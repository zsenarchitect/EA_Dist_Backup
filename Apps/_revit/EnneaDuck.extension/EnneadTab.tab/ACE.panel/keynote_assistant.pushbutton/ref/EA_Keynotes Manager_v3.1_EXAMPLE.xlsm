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zhang\design-repo\EnneadTab-OS\Apps\_revit\EnneaDuck.extension\Ennead.tab\ACE.panel\keynote_assistant.pushbutton\ref\"/>
    </mc:Choice>
  </mc:AlternateContent>
  <xr:revisionPtr revIDLastSave="0" documentId="13_ncr:1_{67741163-6D89-450E-B49F-B3D7F28CF1AD}" xr6:coauthVersionLast="47" xr6:coauthVersionMax="47" xr10:uidLastSave="{00000000-0000-0000-0000-000000000000}"/>
  <bookViews>
    <workbookView xWindow="-18120" yWindow="-6150" windowWidth="18240" windowHeight="28320" activeTab="2" xr2:uid="{27A88F03-D045-4A6B-949A-20A586A136A2}"/>
  </bookViews>
  <sheets>
    <sheet name="Settings" sheetId="1" r:id="rId1"/>
    <sheet name="Database" sheetId="2" r:id="rId2"/>
    <sheet name="Interior Index" sheetId="3" r:id="rId3"/>
    <sheet name="Exterior Index" sheetId="4" r:id="rId4"/>
    <sheet name="UNIFORMAT" sheetId="6" r:id="rId5"/>
    <sheet name="MASTERFORMAT" sheetId="7" r:id="rId6"/>
    <sheet name="Keynote Export" sheetId="5" state="hidden" r:id="rId7"/>
  </sheets>
  <definedNames>
    <definedName name="_xlcn.WorksheetConnection_210722_Dev2.xlsmDatabase" hidden="1">Database[]</definedName>
    <definedName name="_xlnm.Print_Area" localSheetId="1">Database!$B$55:$K$81</definedName>
  </definedNames>
  <calcPr calcId="191029"/>
  <pivotCaches>
    <pivotCache cacheId="0" r:id="rId8"/>
    <pivotCache cacheId="1" r:id="rId9"/>
    <pivotCache cacheId="2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base" name="Database" connection="WorksheetConnection_210722_Dev2.xlsm!Databas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4" i="2" l="1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3" i="2"/>
  <c r="AH4" i="2"/>
  <c r="AI4" i="2" s="1"/>
  <c r="AH5" i="2"/>
  <c r="AJ5" i="2" s="1"/>
  <c r="AK5" i="2" s="1"/>
  <c r="AH6" i="2"/>
  <c r="AI6" i="2" s="1"/>
  <c r="AH7" i="2"/>
  <c r="AI7" i="2" s="1"/>
  <c r="AH8" i="2"/>
  <c r="AI8" i="2" s="1"/>
  <c r="AH9" i="2"/>
  <c r="AI9" i="2" s="1"/>
  <c r="AH10" i="2"/>
  <c r="AJ10" i="2" s="1"/>
  <c r="AK10" i="2" s="1"/>
  <c r="AH11" i="2"/>
  <c r="AI11" i="2" s="1"/>
  <c r="AH12" i="2"/>
  <c r="AI12" i="2" s="1"/>
  <c r="AH13" i="2"/>
  <c r="AI13" i="2" s="1"/>
  <c r="AH14" i="2"/>
  <c r="AI14" i="2" s="1"/>
  <c r="AH15" i="2"/>
  <c r="AI15" i="2" s="1"/>
  <c r="AH16" i="2"/>
  <c r="AI16" i="2" s="1"/>
  <c r="AH17" i="2"/>
  <c r="AJ17" i="2" s="1"/>
  <c r="AK17" i="2" s="1"/>
  <c r="AH18" i="2"/>
  <c r="AI18" i="2" s="1"/>
  <c r="AH19" i="2"/>
  <c r="AI19" i="2" s="1"/>
  <c r="AH20" i="2"/>
  <c r="AI20" i="2" s="1"/>
  <c r="AH21" i="2"/>
  <c r="AI21" i="2" s="1"/>
  <c r="AH22" i="2"/>
  <c r="AI22" i="2" s="1"/>
  <c r="AH23" i="2"/>
  <c r="AI23" i="2" s="1"/>
  <c r="AH24" i="2"/>
  <c r="AI24" i="2" s="1"/>
  <c r="AH25" i="2"/>
  <c r="AI25" i="2" s="1"/>
  <c r="AH26" i="2"/>
  <c r="AI26" i="2" s="1"/>
  <c r="AH27" i="2"/>
  <c r="AI27" i="2" s="1"/>
  <c r="AH28" i="2"/>
  <c r="AI28" i="2" s="1"/>
  <c r="AH29" i="2"/>
  <c r="AJ29" i="2" s="1"/>
  <c r="AK29" i="2" s="1"/>
  <c r="AH30" i="2"/>
  <c r="AI30" i="2" s="1"/>
  <c r="AH31" i="2"/>
  <c r="AI31" i="2" s="1"/>
  <c r="AH32" i="2"/>
  <c r="AI32" i="2" s="1"/>
  <c r="AH33" i="2"/>
  <c r="AI33" i="2" s="1"/>
  <c r="AH34" i="2"/>
  <c r="AJ34" i="2" s="1"/>
  <c r="AK34" i="2" s="1"/>
  <c r="AH35" i="2"/>
  <c r="AI35" i="2" s="1"/>
  <c r="AH36" i="2"/>
  <c r="AI36" i="2" s="1"/>
  <c r="AH37" i="2"/>
  <c r="AI37" i="2" s="1"/>
  <c r="AH38" i="2"/>
  <c r="AI38" i="2" s="1"/>
  <c r="AH39" i="2"/>
  <c r="AI39" i="2" s="1"/>
  <c r="AH40" i="2"/>
  <c r="AI40" i="2" s="1"/>
  <c r="AH41" i="2"/>
  <c r="AJ41" i="2" s="1"/>
  <c r="AK41" i="2" s="1"/>
  <c r="AH42" i="2"/>
  <c r="AI42" i="2" s="1"/>
  <c r="AH43" i="2"/>
  <c r="AI43" i="2" s="1"/>
  <c r="AH44" i="2"/>
  <c r="AI44" i="2" s="1"/>
  <c r="AH45" i="2"/>
  <c r="AI45" i="2" s="1"/>
  <c r="AH46" i="2"/>
  <c r="AI46" i="2" s="1"/>
  <c r="AH47" i="2"/>
  <c r="AI47" i="2" s="1"/>
  <c r="AH48" i="2"/>
  <c r="AI48" i="2" s="1"/>
  <c r="AH49" i="2"/>
  <c r="AI49" i="2" s="1"/>
  <c r="AH50" i="2"/>
  <c r="AI50" i="2" s="1"/>
  <c r="AH51" i="2"/>
  <c r="AI51" i="2" s="1"/>
  <c r="AH52" i="2"/>
  <c r="AI52" i="2" s="1"/>
  <c r="AH53" i="2"/>
  <c r="AJ53" i="2" s="1"/>
  <c r="AK53" i="2" s="1"/>
  <c r="AH54" i="2"/>
  <c r="AI54" i="2" s="1"/>
  <c r="AH55" i="2"/>
  <c r="AI55" i="2" s="1"/>
  <c r="AH56" i="2"/>
  <c r="AI56" i="2" s="1"/>
  <c r="AH57" i="2"/>
  <c r="AI57" i="2" s="1"/>
  <c r="AH58" i="2"/>
  <c r="AI58" i="2" s="1"/>
  <c r="AH59" i="2"/>
  <c r="AI59" i="2" s="1"/>
  <c r="AH60" i="2"/>
  <c r="AI60" i="2" s="1"/>
  <c r="AH61" i="2"/>
  <c r="AI61" i="2" s="1"/>
  <c r="AH62" i="2"/>
  <c r="AI62" i="2" s="1"/>
  <c r="AH63" i="2"/>
  <c r="AI63" i="2" s="1"/>
  <c r="AH64" i="2"/>
  <c r="AI64" i="2" s="1"/>
  <c r="AH65" i="2"/>
  <c r="AJ65" i="2" s="1"/>
  <c r="AK65" i="2" s="1"/>
  <c r="AH66" i="2"/>
  <c r="AI66" i="2" s="1"/>
  <c r="AH67" i="2"/>
  <c r="AI67" i="2" s="1"/>
  <c r="AH68" i="2"/>
  <c r="AI68" i="2" s="1"/>
  <c r="AH69" i="2"/>
  <c r="AI69" i="2" s="1"/>
  <c r="AH70" i="2"/>
  <c r="AI70" i="2" s="1"/>
  <c r="AH71" i="2"/>
  <c r="AI71" i="2" s="1"/>
  <c r="AH72" i="2"/>
  <c r="AI72" i="2" s="1"/>
  <c r="AH73" i="2"/>
  <c r="AI73" i="2" s="1"/>
  <c r="AH74" i="2"/>
  <c r="AI74" i="2" s="1"/>
  <c r="AH75" i="2"/>
  <c r="AI75" i="2" s="1"/>
  <c r="AH76" i="2"/>
  <c r="AI76" i="2" s="1"/>
  <c r="AH77" i="2"/>
  <c r="AJ77" i="2" s="1"/>
  <c r="AK77" i="2" s="1"/>
  <c r="AH78" i="2"/>
  <c r="AI78" i="2" s="1"/>
  <c r="AH79" i="2"/>
  <c r="AI79" i="2" s="1"/>
  <c r="AH80" i="2"/>
  <c r="AI80" i="2" s="1"/>
  <c r="AH81" i="2"/>
  <c r="AI81" i="2" s="1"/>
  <c r="AH82" i="2"/>
  <c r="AI82" i="2" s="1"/>
  <c r="AH83" i="2"/>
  <c r="AI83" i="2" s="1"/>
  <c r="AH84" i="2"/>
  <c r="AI84" i="2" s="1"/>
  <c r="AH85" i="2"/>
  <c r="AI85" i="2" s="1"/>
  <c r="AH86" i="2"/>
  <c r="AI86" i="2" s="1"/>
  <c r="AH87" i="2"/>
  <c r="AI87" i="2" s="1"/>
  <c r="AH88" i="2"/>
  <c r="AI88" i="2" s="1"/>
  <c r="AH89" i="2"/>
  <c r="AJ89" i="2" s="1"/>
  <c r="AK89" i="2" s="1"/>
  <c r="AH90" i="2"/>
  <c r="AI90" i="2" s="1"/>
  <c r="AH91" i="2"/>
  <c r="AI91" i="2" s="1"/>
  <c r="AH92" i="2"/>
  <c r="AI92" i="2" s="1"/>
  <c r="AH93" i="2"/>
  <c r="AI93" i="2" s="1"/>
  <c r="AH94" i="2"/>
  <c r="AI94" i="2" s="1"/>
  <c r="AH95" i="2"/>
  <c r="AI95" i="2" s="1"/>
  <c r="AH96" i="2"/>
  <c r="AI96" i="2" s="1"/>
  <c r="AH97" i="2"/>
  <c r="AI97" i="2" s="1"/>
  <c r="AH98" i="2"/>
  <c r="AI98" i="2" s="1"/>
  <c r="AH99" i="2"/>
  <c r="AI99" i="2" s="1"/>
  <c r="AH100" i="2"/>
  <c r="AI100" i="2" s="1"/>
  <c r="AH101" i="2"/>
  <c r="AJ101" i="2" s="1"/>
  <c r="AK101" i="2" s="1"/>
  <c r="AH102" i="2"/>
  <c r="AI102" i="2" s="1"/>
  <c r="AH103" i="2"/>
  <c r="AI103" i="2" s="1"/>
  <c r="AH104" i="2"/>
  <c r="AI104" i="2" s="1"/>
  <c r="AH105" i="2"/>
  <c r="AI105" i="2" s="1"/>
  <c r="AH106" i="2"/>
  <c r="AI106" i="2" s="1"/>
  <c r="AH107" i="2"/>
  <c r="AI107" i="2" s="1"/>
  <c r="AH108" i="2"/>
  <c r="AI108" i="2" s="1"/>
  <c r="AH109" i="2"/>
  <c r="AI109" i="2" s="1"/>
  <c r="AH110" i="2"/>
  <c r="AI110" i="2" s="1"/>
  <c r="AH111" i="2"/>
  <c r="AI111" i="2" s="1"/>
  <c r="AH112" i="2"/>
  <c r="AI112" i="2" s="1"/>
  <c r="AH113" i="2"/>
  <c r="AJ113" i="2" s="1"/>
  <c r="AK113" i="2" s="1"/>
  <c r="AH114" i="2"/>
  <c r="AI114" i="2" s="1"/>
  <c r="AH115" i="2"/>
  <c r="AI115" i="2" s="1"/>
  <c r="AH116" i="2"/>
  <c r="AI116" i="2" s="1"/>
  <c r="AH117" i="2"/>
  <c r="AI117" i="2" s="1"/>
  <c r="AH118" i="2"/>
  <c r="AI118" i="2" s="1"/>
  <c r="AH119" i="2"/>
  <c r="AI119" i="2" s="1"/>
  <c r="AH120" i="2"/>
  <c r="AI120" i="2" s="1"/>
  <c r="AH121" i="2"/>
  <c r="AI121" i="2" s="1"/>
  <c r="AH122" i="2"/>
  <c r="AI122" i="2" s="1"/>
  <c r="AH123" i="2"/>
  <c r="AI123" i="2" s="1"/>
  <c r="AH124" i="2"/>
  <c r="AI124" i="2" s="1"/>
  <c r="AH125" i="2"/>
  <c r="AJ125" i="2" s="1"/>
  <c r="AK125" i="2" s="1"/>
  <c r="AH126" i="2"/>
  <c r="AI126" i="2" s="1"/>
  <c r="AH127" i="2"/>
  <c r="AI127" i="2" s="1"/>
  <c r="AH128" i="2"/>
  <c r="AI128" i="2" s="1"/>
  <c r="AH129" i="2"/>
  <c r="AI129" i="2" s="1"/>
  <c r="AH130" i="2"/>
  <c r="AI130" i="2" s="1"/>
  <c r="AH131" i="2"/>
  <c r="AI131" i="2" s="1"/>
  <c r="AH132" i="2"/>
  <c r="AI132" i="2" s="1"/>
  <c r="AH133" i="2"/>
  <c r="AI133" i="2" s="1"/>
  <c r="AH134" i="2"/>
  <c r="AI134" i="2" s="1"/>
  <c r="AH135" i="2"/>
  <c r="AI135" i="2" s="1"/>
  <c r="AH136" i="2"/>
  <c r="AI136" i="2" s="1"/>
  <c r="AH137" i="2"/>
  <c r="AI137" i="2" s="1"/>
  <c r="AH138" i="2"/>
  <c r="AI138" i="2" s="1"/>
  <c r="AH139" i="2"/>
  <c r="AI139" i="2" s="1"/>
  <c r="AH140" i="2"/>
  <c r="AI140" i="2" s="1"/>
  <c r="AH141" i="2"/>
  <c r="AI141" i="2" s="1"/>
  <c r="AH142" i="2"/>
  <c r="AI142" i="2" s="1"/>
  <c r="AH143" i="2"/>
  <c r="AI143" i="2" s="1"/>
  <c r="AH144" i="2"/>
  <c r="AI144" i="2" s="1"/>
  <c r="AH145" i="2"/>
  <c r="AI145" i="2" s="1"/>
  <c r="AH146" i="2"/>
  <c r="AI146" i="2" s="1"/>
  <c r="AH147" i="2"/>
  <c r="AI147" i="2" s="1"/>
  <c r="AH148" i="2"/>
  <c r="AI148" i="2" s="1"/>
  <c r="AH149" i="2"/>
  <c r="AJ149" i="2" s="1"/>
  <c r="AK149" i="2" s="1"/>
  <c r="AH150" i="2"/>
  <c r="AI150" i="2" s="1"/>
  <c r="AH151" i="2"/>
  <c r="AI151" i="2" s="1"/>
  <c r="AH152" i="2"/>
  <c r="AI152" i="2" s="1"/>
  <c r="AH153" i="2"/>
  <c r="AI153" i="2" s="1"/>
  <c r="AH154" i="2"/>
  <c r="AI154" i="2" s="1"/>
  <c r="AH155" i="2"/>
  <c r="AI155" i="2" s="1"/>
  <c r="AH156" i="2"/>
  <c r="AI156" i="2" s="1"/>
  <c r="AH157" i="2"/>
  <c r="AI157" i="2" s="1"/>
  <c r="AH158" i="2"/>
  <c r="AI158" i="2" s="1"/>
  <c r="AH159" i="2"/>
  <c r="AI159" i="2" s="1"/>
  <c r="AH160" i="2"/>
  <c r="AI160" i="2" s="1"/>
  <c r="AH161" i="2"/>
  <c r="AJ161" i="2" s="1"/>
  <c r="AK161" i="2" s="1"/>
  <c r="AH162" i="2"/>
  <c r="AI162" i="2" s="1"/>
  <c r="AH163" i="2"/>
  <c r="AI163" i="2" s="1"/>
  <c r="AH164" i="2"/>
  <c r="AI164" i="2" s="1"/>
  <c r="AH165" i="2"/>
  <c r="AI165" i="2" s="1"/>
  <c r="AH166" i="2"/>
  <c r="AI166" i="2" s="1"/>
  <c r="AH167" i="2"/>
  <c r="AI167" i="2" s="1"/>
  <c r="AH168" i="2"/>
  <c r="AI168" i="2" s="1"/>
  <c r="AH169" i="2"/>
  <c r="AI169" i="2" s="1"/>
  <c r="AH170" i="2"/>
  <c r="AI170" i="2" s="1"/>
  <c r="AH171" i="2"/>
  <c r="AI171" i="2" s="1"/>
  <c r="AH172" i="2"/>
  <c r="AI172" i="2" s="1"/>
  <c r="AH173" i="2"/>
  <c r="AI173" i="2" s="1"/>
  <c r="AH174" i="2"/>
  <c r="AI174" i="2" s="1"/>
  <c r="AH175" i="2"/>
  <c r="AI175" i="2" s="1"/>
  <c r="AH176" i="2"/>
  <c r="AI176" i="2" s="1"/>
  <c r="AH177" i="2"/>
  <c r="AI177" i="2" s="1"/>
  <c r="AH178" i="2"/>
  <c r="AI178" i="2" s="1"/>
  <c r="AH179" i="2"/>
  <c r="AI179" i="2" s="1"/>
  <c r="AH180" i="2"/>
  <c r="AI180" i="2" s="1"/>
  <c r="AH181" i="2"/>
  <c r="AI181" i="2" s="1"/>
  <c r="AH182" i="2"/>
  <c r="AI182" i="2" s="1"/>
  <c r="AH183" i="2"/>
  <c r="AI183" i="2" s="1"/>
  <c r="AH184" i="2"/>
  <c r="AI184" i="2" s="1"/>
  <c r="AH185" i="2"/>
  <c r="AI185" i="2" s="1"/>
  <c r="AH186" i="2"/>
  <c r="AI186" i="2" s="1"/>
  <c r="AH187" i="2"/>
  <c r="AI187" i="2" s="1"/>
  <c r="AH188" i="2"/>
  <c r="AI188" i="2" s="1"/>
  <c r="AH189" i="2"/>
  <c r="AI189" i="2" s="1"/>
  <c r="AH190" i="2"/>
  <c r="AI190" i="2" s="1"/>
  <c r="AH191" i="2"/>
  <c r="AI191" i="2" s="1"/>
  <c r="AH192" i="2"/>
  <c r="AI192" i="2" s="1"/>
  <c r="AH193" i="2"/>
  <c r="AI193" i="2" s="1"/>
  <c r="AH194" i="2"/>
  <c r="AI194" i="2" s="1"/>
  <c r="AH195" i="2"/>
  <c r="AI195" i="2" s="1"/>
  <c r="AH196" i="2"/>
  <c r="AI196" i="2" s="1"/>
  <c r="AH197" i="2"/>
  <c r="AI197" i="2" s="1"/>
  <c r="AH198" i="2"/>
  <c r="AI198" i="2" s="1"/>
  <c r="AH199" i="2"/>
  <c r="AI199" i="2" s="1"/>
  <c r="AH200" i="2"/>
  <c r="AI200" i="2" s="1"/>
  <c r="AH201" i="2"/>
  <c r="AI201" i="2" s="1"/>
  <c r="AH202" i="2"/>
  <c r="AI202" i="2" s="1"/>
  <c r="AH203" i="2"/>
  <c r="AI203" i="2" s="1"/>
  <c r="AH204" i="2"/>
  <c r="AI204" i="2" s="1"/>
  <c r="AH205" i="2"/>
  <c r="AI205" i="2" s="1"/>
  <c r="AH3" i="2"/>
  <c r="AI3" i="2" s="1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29" i="2"/>
  <c r="AE130" i="2"/>
  <c r="AE131" i="2"/>
  <c r="AE132" i="2"/>
  <c r="AE133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3" i="2"/>
  <c r="AI17" i="2" l="1"/>
  <c r="AI34" i="2"/>
  <c r="AJ84" i="2"/>
  <c r="AK84" i="2" s="1"/>
  <c r="AJ60" i="2"/>
  <c r="AK60" i="2" s="1"/>
  <c r="AJ48" i="2"/>
  <c r="AK48" i="2" s="1"/>
  <c r="AJ24" i="2"/>
  <c r="AK24" i="2" s="1"/>
  <c r="AJ7" i="2"/>
  <c r="AK7" i="2" s="1"/>
  <c r="AJ12" i="2"/>
  <c r="AK12" i="2" s="1"/>
  <c r="AI89" i="2"/>
  <c r="AI5" i="2"/>
  <c r="AJ72" i="2"/>
  <c r="AK72" i="2" s="1"/>
  <c r="AJ36" i="2"/>
  <c r="AK36" i="2" s="1"/>
  <c r="AJ19" i="2"/>
  <c r="AK19" i="2" s="1"/>
  <c r="AI125" i="2"/>
  <c r="AI10" i="2"/>
  <c r="AJ195" i="2"/>
  <c r="AK195" i="2" s="1"/>
  <c r="AJ183" i="2"/>
  <c r="AK183" i="2" s="1"/>
  <c r="AJ171" i="2"/>
  <c r="AK171" i="2" s="1"/>
  <c r="AJ159" i="2"/>
  <c r="AK159" i="2" s="1"/>
  <c r="AJ147" i="2"/>
  <c r="AK147" i="2" s="1"/>
  <c r="AJ135" i="2"/>
  <c r="AK135" i="2" s="1"/>
  <c r="AJ123" i="2"/>
  <c r="AK123" i="2" s="1"/>
  <c r="AJ111" i="2"/>
  <c r="AK111" i="2" s="1"/>
  <c r="AJ99" i="2"/>
  <c r="AK99" i="2" s="1"/>
  <c r="AJ87" i="2"/>
  <c r="AK87" i="2" s="1"/>
  <c r="AJ75" i="2"/>
  <c r="AK75" i="2" s="1"/>
  <c r="AJ63" i="2"/>
  <c r="AK63" i="2" s="1"/>
  <c r="AJ51" i="2"/>
  <c r="AK51" i="2" s="1"/>
  <c r="AJ39" i="2"/>
  <c r="AK39" i="2" s="1"/>
  <c r="AJ27" i="2"/>
  <c r="AK27" i="2" s="1"/>
  <c r="AJ15" i="2"/>
  <c r="AK15" i="2" s="1"/>
  <c r="AI113" i="2"/>
  <c r="AJ194" i="2"/>
  <c r="AK194" i="2" s="1"/>
  <c r="AJ182" i="2"/>
  <c r="AK182" i="2" s="1"/>
  <c r="AJ170" i="2"/>
  <c r="AK170" i="2" s="1"/>
  <c r="AJ158" i="2"/>
  <c r="AK158" i="2" s="1"/>
  <c r="AJ146" i="2"/>
  <c r="AK146" i="2" s="1"/>
  <c r="AJ134" i="2"/>
  <c r="AK134" i="2" s="1"/>
  <c r="AJ122" i="2"/>
  <c r="AK122" i="2" s="1"/>
  <c r="AJ110" i="2"/>
  <c r="AK110" i="2" s="1"/>
  <c r="AJ98" i="2"/>
  <c r="AK98" i="2" s="1"/>
  <c r="AJ86" i="2"/>
  <c r="AK86" i="2" s="1"/>
  <c r="AJ74" i="2"/>
  <c r="AK74" i="2" s="1"/>
  <c r="AJ62" i="2"/>
  <c r="AK62" i="2" s="1"/>
  <c r="AJ50" i="2"/>
  <c r="AK50" i="2" s="1"/>
  <c r="AJ38" i="2"/>
  <c r="AK38" i="2" s="1"/>
  <c r="AJ26" i="2"/>
  <c r="AK26" i="2" s="1"/>
  <c r="AJ14" i="2"/>
  <c r="AK14" i="2" s="1"/>
  <c r="AI101" i="2"/>
  <c r="AJ205" i="2"/>
  <c r="AK205" i="2" s="1"/>
  <c r="AJ193" i="2"/>
  <c r="AK193" i="2" s="1"/>
  <c r="AJ181" i="2"/>
  <c r="AK181" i="2" s="1"/>
  <c r="AJ169" i="2"/>
  <c r="AK169" i="2" s="1"/>
  <c r="AJ157" i="2"/>
  <c r="AK157" i="2" s="1"/>
  <c r="AJ145" i="2"/>
  <c r="AK145" i="2" s="1"/>
  <c r="AJ133" i="2"/>
  <c r="AK133" i="2" s="1"/>
  <c r="AJ121" i="2"/>
  <c r="AK121" i="2" s="1"/>
  <c r="AJ109" i="2"/>
  <c r="AK109" i="2" s="1"/>
  <c r="AJ97" i="2"/>
  <c r="AK97" i="2" s="1"/>
  <c r="AJ85" i="2"/>
  <c r="AK85" i="2" s="1"/>
  <c r="AJ73" i="2"/>
  <c r="AK73" i="2" s="1"/>
  <c r="AJ61" i="2"/>
  <c r="AK61" i="2" s="1"/>
  <c r="AJ49" i="2"/>
  <c r="AK49" i="2" s="1"/>
  <c r="AJ37" i="2"/>
  <c r="AK37" i="2" s="1"/>
  <c r="AJ25" i="2"/>
  <c r="AK25" i="2" s="1"/>
  <c r="AJ13" i="2"/>
  <c r="AK13" i="2" s="1"/>
  <c r="AJ204" i="2"/>
  <c r="AK204" i="2" s="1"/>
  <c r="AJ192" i="2"/>
  <c r="AK192" i="2" s="1"/>
  <c r="AJ180" i="2"/>
  <c r="AK180" i="2" s="1"/>
  <c r="AJ168" i="2"/>
  <c r="AK168" i="2" s="1"/>
  <c r="AJ156" i="2"/>
  <c r="AK156" i="2" s="1"/>
  <c r="AJ144" i="2"/>
  <c r="AK144" i="2" s="1"/>
  <c r="AJ132" i="2"/>
  <c r="AK132" i="2" s="1"/>
  <c r="AJ120" i="2"/>
  <c r="AK120" i="2" s="1"/>
  <c r="AJ108" i="2"/>
  <c r="AK108" i="2" s="1"/>
  <c r="AJ96" i="2"/>
  <c r="AK96" i="2" s="1"/>
  <c r="AI77" i="2"/>
  <c r="AJ203" i="2"/>
  <c r="AK203" i="2" s="1"/>
  <c r="AJ191" i="2"/>
  <c r="AK191" i="2" s="1"/>
  <c r="AJ179" i="2"/>
  <c r="AK179" i="2" s="1"/>
  <c r="AJ167" i="2"/>
  <c r="AK167" i="2" s="1"/>
  <c r="AJ155" i="2"/>
  <c r="AK155" i="2" s="1"/>
  <c r="AJ143" i="2"/>
  <c r="AK143" i="2" s="1"/>
  <c r="AJ131" i="2"/>
  <c r="AK131" i="2" s="1"/>
  <c r="AJ119" i="2"/>
  <c r="AK119" i="2" s="1"/>
  <c r="AJ107" i="2"/>
  <c r="AK107" i="2" s="1"/>
  <c r="AJ95" i="2"/>
  <c r="AK95" i="2" s="1"/>
  <c r="AJ83" i="2"/>
  <c r="AK83" i="2" s="1"/>
  <c r="AJ71" i="2"/>
  <c r="AK71" i="2" s="1"/>
  <c r="AJ59" i="2"/>
  <c r="AK59" i="2" s="1"/>
  <c r="AJ47" i="2"/>
  <c r="AK47" i="2" s="1"/>
  <c r="AJ35" i="2"/>
  <c r="AK35" i="2" s="1"/>
  <c r="AJ23" i="2"/>
  <c r="AK23" i="2" s="1"/>
  <c r="AJ11" i="2"/>
  <c r="AK11" i="2" s="1"/>
  <c r="AI65" i="2"/>
  <c r="AJ202" i="2"/>
  <c r="AK202" i="2" s="1"/>
  <c r="AJ190" i="2"/>
  <c r="AK190" i="2" s="1"/>
  <c r="AJ178" i="2"/>
  <c r="AK178" i="2" s="1"/>
  <c r="AJ166" i="2"/>
  <c r="AK166" i="2" s="1"/>
  <c r="AJ154" i="2"/>
  <c r="AK154" i="2" s="1"/>
  <c r="AJ142" i="2"/>
  <c r="AK142" i="2" s="1"/>
  <c r="AJ130" i="2"/>
  <c r="AK130" i="2" s="1"/>
  <c r="AJ118" i="2"/>
  <c r="AK118" i="2" s="1"/>
  <c r="AJ106" i="2"/>
  <c r="AK106" i="2" s="1"/>
  <c r="AJ94" i="2"/>
  <c r="AK94" i="2" s="1"/>
  <c r="AJ82" i="2"/>
  <c r="AK82" i="2" s="1"/>
  <c r="AJ70" i="2"/>
  <c r="AK70" i="2" s="1"/>
  <c r="AJ58" i="2"/>
  <c r="AK58" i="2" s="1"/>
  <c r="AJ46" i="2"/>
  <c r="AK46" i="2" s="1"/>
  <c r="AJ22" i="2"/>
  <c r="AK22" i="2" s="1"/>
  <c r="AI53" i="2"/>
  <c r="AJ201" i="2"/>
  <c r="AK201" i="2" s="1"/>
  <c r="AJ189" i="2"/>
  <c r="AK189" i="2" s="1"/>
  <c r="AJ177" i="2"/>
  <c r="AK177" i="2" s="1"/>
  <c r="AJ165" i="2"/>
  <c r="AK165" i="2" s="1"/>
  <c r="AJ153" i="2"/>
  <c r="AK153" i="2" s="1"/>
  <c r="AJ141" i="2"/>
  <c r="AK141" i="2" s="1"/>
  <c r="AJ129" i="2"/>
  <c r="AK129" i="2" s="1"/>
  <c r="AJ117" i="2"/>
  <c r="AK117" i="2" s="1"/>
  <c r="AJ105" i="2"/>
  <c r="AK105" i="2" s="1"/>
  <c r="AJ93" i="2"/>
  <c r="AK93" i="2" s="1"/>
  <c r="AJ81" i="2"/>
  <c r="AK81" i="2" s="1"/>
  <c r="AJ69" i="2"/>
  <c r="AK69" i="2" s="1"/>
  <c r="AJ57" i="2"/>
  <c r="AK57" i="2" s="1"/>
  <c r="AJ45" i="2"/>
  <c r="AK45" i="2" s="1"/>
  <c r="AJ33" i="2"/>
  <c r="AK33" i="2" s="1"/>
  <c r="AJ21" i="2"/>
  <c r="AK21" i="2" s="1"/>
  <c r="AJ9" i="2"/>
  <c r="AK9" i="2" s="1"/>
  <c r="AI41" i="2"/>
  <c r="AJ200" i="2"/>
  <c r="AK200" i="2" s="1"/>
  <c r="AJ188" i="2"/>
  <c r="AK188" i="2" s="1"/>
  <c r="AJ176" i="2"/>
  <c r="AK176" i="2" s="1"/>
  <c r="AJ164" i="2"/>
  <c r="AK164" i="2" s="1"/>
  <c r="AJ152" i="2"/>
  <c r="AK152" i="2" s="1"/>
  <c r="AJ140" i="2"/>
  <c r="AK140" i="2" s="1"/>
  <c r="AJ128" i="2"/>
  <c r="AK128" i="2" s="1"/>
  <c r="AJ116" i="2"/>
  <c r="AK116" i="2" s="1"/>
  <c r="AJ104" i="2"/>
  <c r="AK104" i="2" s="1"/>
  <c r="AJ92" i="2"/>
  <c r="AK92" i="2" s="1"/>
  <c r="AJ80" i="2"/>
  <c r="AK80" i="2" s="1"/>
  <c r="AJ68" i="2"/>
  <c r="AK68" i="2" s="1"/>
  <c r="AJ56" i="2"/>
  <c r="AK56" i="2" s="1"/>
  <c r="AJ44" i="2"/>
  <c r="AK44" i="2" s="1"/>
  <c r="AJ32" i="2"/>
  <c r="AK32" i="2" s="1"/>
  <c r="AJ20" i="2"/>
  <c r="AK20" i="2" s="1"/>
  <c r="AJ8" i="2"/>
  <c r="AK8" i="2" s="1"/>
  <c r="AJ199" i="2"/>
  <c r="AK199" i="2" s="1"/>
  <c r="AJ187" i="2"/>
  <c r="AK187" i="2" s="1"/>
  <c r="AJ175" i="2"/>
  <c r="AK175" i="2" s="1"/>
  <c r="AJ163" i="2"/>
  <c r="AK163" i="2" s="1"/>
  <c r="AJ151" i="2"/>
  <c r="AK151" i="2" s="1"/>
  <c r="AJ139" i="2"/>
  <c r="AK139" i="2" s="1"/>
  <c r="AJ127" i="2"/>
  <c r="AK127" i="2" s="1"/>
  <c r="AJ115" i="2"/>
  <c r="AK115" i="2" s="1"/>
  <c r="AJ103" i="2"/>
  <c r="AK103" i="2" s="1"/>
  <c r="AJ91" i="2"/>
  <c r="AK91" i="2" s="1"/>
  <c r="AJ79" i="2"/>
  <c r="AK79" i="2" s="1"/>
  <c r="AJ67" i="2"/>
  <c r="AK67" i="2" s="1"/>
  <c r="AJ55" i="2"/>
  <c r="AK55" i="2" s="1"/>
  <c r="AJ43" i="2"/>
  <c r="AK43" i="2" s="1"/>
  <c r="AJ31" i="2"/>
  <c r="AK31" i="2" s="1"/>
  <c r="AI161" i="2"/>
  <c r="AI29" i="2"/>
  <c r="AJ198" i="2"/>
  <c r="AK198" i="2" s="1"/>
  <c r="AJ186" i="2"/>
  <c r="AK186" i="2" s="1"/>
  <c r="AJ174" i="2"/>
  <c r="AK174" i="2" s="1"/>
  <c r="AJ162" i="2"/>
  <c r="AK162" i="2" s="1"/>
  <c r="AJ150" i="2"/>
  <c r="AK150" i="2" s="1"/>
  <c r="AJ138" i="2"/>
  <c r="AK138" i="2" s="1"/>
  <c r="AJ126" i="2"/>
  <c r="AK126" i="2" s="1"/>
  <c r="AJ114" i="2"/>
  <c r="AK114" i="2" s="1"/>
  <c r="AJ102" i="2"/>
  <c r="AK102" i="2" s="1"/>
  <c r="AJ90" i="2"/>
  <c r="AK90" i="2" s="1"/>
  <c r="AJ78" i="2"/>
  <c r="AK78" i="2" s="1"/>
  <c r="AJ66" i="2"/>
  <c r="AK66" i="2" s="1"/>
  <c r="AJ54" i="2"/>
  <c r="AK54" i="2" s="1"/>
  <c r="AJ42" i="2"/>
  <c r="AK42" i="2" s="1"/>
  <c r="AJ30" i="2"/>
  <c r="AK30" i="2" s="1"/>
  <c r="AJ18" i="2"/>
  <c r="AK18" i="2" s="1"/>
  <c r="AJ6" i="2"/>
  <c r="AK6" i="2" s="1"/>
  <c r="AI149" i="2"/>
  <c r="AJ197" i="2"/>
  <c r="AK197" i="2" s="1"/>
  <c r="AJ185" i="2"/>
  <c r="AK185" i="2" s="1"/>
  <c r="AJ173" i="2"/>
  <c r="AK173" i="2" s="1"/>
  <c r="AJ137" i="2"/>
  <c r="AK137" i="2" s="1"/>
  <c r="AJ196" i="2"/>
  <c r="AK196" i="2" s="1"/>
  <c r="AJ184" i="2"/>
  <c r="AK184" i="2" s="1"/>
  <c r="AJ172" i="2"/>
  <c r="AK172" i="2" s="1"/>
  <c r="AJ160" i="2"/>
  <c r="AK160" i="2" s="1"/>
  <c r="AJ148" i="2"/>
  <c r="AK148" i="2" s="1"/>
  <c r="AJ136" i="2"/>
  <c r="AK136" i="2" s="1"/>
  <c r="AJ124" i="2"/>
  <c r="AK124" i="2" s="1"/>
  <c r="AJ112" i="2"/>
  <c r="AK112" i="2" s="1"/>
  <c r="AJ100" i="2"/>
  <c r="AK100" i="2" s="1"/>
  <c r="AJ88" i="2"/>
  <c r="AK88" i="2" s="1"/>
  <c r="AJ76" i="2"/>
  <c r="AK76" i="2" s="1"/>
  <c r="AJ64" i="2"/>
  <c r="AK64" i="2" s="1"/>
  <c r="AJ52" i="2"/>
  <c r="AK52" i="2" s="1"/>
  <c r="AJ40" i="2"/>
  <c r="AK40" i="2" s="1"/>
  <c r="AJ28" i="2"/>
  <c r="AK28" i="2" s="1"/>
  <c r="AJ16" i="2"/>
  <c r="AK16" i="2" s="1"/>
  <c r="AJ4" i="2"/>
  <c r="AK4" i="2" s="1"/>
  <c r="AJ3" i="2"/>
  <c r="AK3" i="2" s="1"/>
  <c r="D23" i="1"/>
  <c r="D2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40B5A-A454-4C6F-A26B-F884E48489A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FC92766-63BF-4C99-9C08-73F8C0A58BE1}" name="WorksheetConnection_210722_Dev2.xlsm!Database" type="102" refreshedVersion="8" minRefreshableVersion="5">
    <extLst>
      <ext xmlns:x15="http://schemas.microsoft.com/office/spreadsheetml/2010/11/main" uri="{DE250136-89BD-433C-8126-D09CA5730AF9}">
        <x15:connection id="Database" autoDelete="1">
          <x15:rangePr sourceName="_xlcn.WorksheetConnection_210722_Dev2.xlsmDatabase"/>
        </x15:connection>
      </ext>
    </extLst>
  </connection>
</connections>
</file>

<file path=xl/sharedStrings.xml><?xml version="1.0" encoding="utf-8"?>
<sst xmlns="http://schemas.openxmlformats.org/spreadsheetml/2006/main" count="17548" uniqueCount="8596">
  <si>
    <t>INTERIOR INDEX</t>
  </si>
  <si>
    <t>EXTERIOR INDEX</t>
  </si>
  <si>
    <t>FORMAT</t>
  </si>
  <si>
    <t>DIVISION #</t>
  </si>
  <si>
    <t>DIVISION NAME</t>
  </si>
  <si>
    <t>SECTION #</t>
  </si>
  <si>
    <t>SECTION NAME</t>
  </si>
  <si>
    <t>KEYNOTE #</t>
  </si>
  <si>
    <t>KEYNOTE DESCRIPTION</t>
  </si>
  <si>
    <t>BASE</t>
  </si>
  <si>
    <t>INT. WALL</t>
  </si>
  <si>
    <t>CEILING</t>
  </si>
  <si>
    <t>FLOOR</t>
  </si>
  <si>
    <t>MILLWORK</t>
  </si>
  <si>
    <t>INT. OTHER</t>
  </si>
  <si>
    <t>ROOF</t>
  </si>
  <si>
    <t>EXT. WALL</t>
  </si>
  <si>
    <t>FENESTRATION</t>
  </si>
  <si>
    <t>EXT. OTHER</t>
  </si>
  <si>
    <t>SOURCE</t>
  </si>
  <si>
    <t>PRODUCT</t>
  </si>
  <si>
    <t>CAT. NO.</t>
  </si>
  <si>
    <t>COLOR</t>
  </si>
  <si>
    <t>FINISH</t>
  </si>
  <si>
    <t>SIZE</t>
  </si>
  <si>
    <t>CONTACT</t>
  </si>
  <si>
    <t>REMARKS</t>
  </si>
  <si>
    <t>HELPER1</t>
  </si>
  <si>
    <t>KEYSORT1</t>
  </si>
  <si>
    <t>KEYSORT2</t>
  </si>
  <si>
    <t>KEYSORT3</t>
  </si>
  <si>
    <t>TABLESORT</t>
  </si>
  <si>
    <t>KEYTIER1</t>
  </si>
  <si>
    <t>KEYTIER1_DESC</t>
  </si>
  <si>
    <t>KEYTIER2</t>
  </si>
  <si>
    <t>KEYTIER2_DESC</t>
  </si>
  <si>
    <t>MASTERSPEC</t>
  </si>
  <si>
    <t>DIVISION 03 - CONCRETE</t>
  </si>
  <si>
    <t>g</t>
  </si>
  <si>
    <t>CNC-50</t>
  </si>
  <si>
    <t>n</t>
  </si>
  <si>
    <t>CNC-51</t>
  </si>
  <si>
    <t>PCC-50</t>
  </si>
  <si>
    <t>GFC-50</t>
  </si>
  <si>
    <t>DIVISION 04 - MASONRY</t>
  </si>
  <si>
    <t>BR-50</t>
  </si>
  <si>
    <t>CMU-50</t>
  </si>
  <si>
    <t>ST-50</t>
  </si>
  <si>
    <t>CST-50</t>
  </si>
  <si>
    <t>DIVISION 05 - METALS</t>
  </si>
  <si>
    <t>MF-50</t>
  </si>
  <si>
    <t>RLG-50</t>
  </si>
  <si>
    <t>GRT-50</t>
  </si>
  <si>
    <t>MTL-50</t>
  </si>
  <si>
    <t>RLG-51</t>
  </si>
  <si>
    <t>RLG-52</t>
  </si>
  <si>
    <t>DIVISION 06 - WOOD, PLASTICS, AND COMPOSITES</t>
  </si>
  <si>
    <t>DIVISION 07 - THERMAL AND MOISTURE PROTECTION</t>
  </si>
  <si>
    <t>MP-50</t>
  </si>
  <si>
    <t>TC-50</t>
  </si>
  <si>
    <t>RFG-50</t>
  </si>
  <si>
    <t>RFG-51</t>
  </si>
  <si>
    <t>EJ-50</t>
  </si>
  <si>
    <t>DIVISION 08 - OPENINGS</t>
  </si>
  <si>
    <t>CW-50</t>
  </si>
  <si>
    <t>GL-50</t>
  </si>
  <si>
    <t>LVR-50</t>
  </si>
  <si>
    <t>DIVISION 09 - FINISHES</t>
  </si>
  <si>
    <t>STC-50</t>
  </si>
  <si>
    <t>DIVISION 10 - SPECIALTIES</t>
  </si>
  <si>
    <t>DIVISION 12 - FURNISHINGS</t>
  </si>
  <si>
    <t>NOTES</t>
  </si>
  <si>
    <t>ARCH NOTES</t>
  </si>
  <si>
    <t>BY CATEGORY</t>
  </si>
  <si>
    <t>CASEWORK/MILLWORK</t>
  </si>
  <si>
    <t>101</t>
  </si>
  <si>
    <t>102</t>
  </si>
  <si>
    <t>103</t>
  </si>
  <si>
    <t>CURTAINWALL</t>
  </si>
  <si>
    <t>201</t>
  </si>
  <si>
    <t>202</t>
  </si>
  <si>
    <t>203</t>
  </si>
  <si>
    <t>DETAIL ITEMS</t>
  </si>
  <si>
    <t>301</t>
  </si>
  <si>
    <t>302</t>
  </si>
  <si>
    <t>303</t>
  </si>
  <si>
    <t>DOORS</t>
  </si>
  <si>
    <t>401</t>
  </si>
  <si>
    <t>402</t>
  </si>
  <si>
    <t>403</t>
  </si>
  <si>
    <t>ELEVATORS</t>
  </si>
  <si>
    <t>501</t>
  </si>
  <si>
    <t>502</t>
  </si>
  <si>
    <t>503</t>
  </si>
  <si>
    <t>EQUIPMENT</t>
  </si>
  <si>
    <t>FLOORS</t>
  </si>
  <si>
    <t>703</t>
  </si>
  <si>
    <t>FURNITURE</t>
  </si>
  <si>
    <t>GENERAL ANNOTATIONS</t>
  </si>
  <si>
    <t>901</t>
  </si>
  <si>
    <t>ALIGN</t>
  </si>
  <si>
    <t>902</t>
  </si>
  <si>
    <t>ALIGN WITH FACE OF WALL BELOW</t>
  </si>
  <si>
    <t>903</t>
  </si>
  <si>
    <t>OPEN TO BELOW</t>
  </si>
  <si>
    <t>904</t>
  </si>
  <si>
    <t>OPEN TO ABOVE</t>
  </si>
  <si>
    <t>905</t>
  </si>
  <si>
    <t>OUTLINE OF FLOOR ABOVE, SHOWN DASHED</t>
  </si>
  <si>
    <t>906</t>
  </si>
  <si>
    <t>OUTLINE OF SOFFIT ABOVE, SHOWN DASHED</t>
  </si>
  <si>
    <t>907</t>
  </si>
  <si>
    <t>EDGE OF EXTERIOR ENVELOPE ABOVE</t>
  </si>
  <si>
    <t>908</t>
  </si>
  <si>
    <t>EDGE OF SURFACE BELOW</t>
  </si>
  <si>
    <t>909</t>
  </si>
  <si>
    <t>EDGE OF CANOPY ABOVE</t>
  </si>
  <si>
    <t>910</t>
  </si>
  <si>
    <t>EDGE OF FOUNDATION BELOW</t>
  </si>
  <si>
    <t>911</t>
  </si>
  <si>
    <t>EDGE OF BRIDGE ABOVE</t>
  </si>
  <si>
    <t>912</t>
  </si>
  <si>
    <t>EDGE OF SURFACE ABOVE</t>
  </si>
  <si>
    <t>913</t>
  </si>
  <si>
    <t>EDGE OF SHAFT OPENING BELOW</t>
  </si>
  <si>
    <t>914</t>
  </si>
  <si>
    <t>FINISH TO MATCH ADJACENT WALL</t>
  </si>
  <si>
    <t>915</t>
  </si>
  <si>
    <t>ACCESSIBLE ROUTE</t>
  </si>
  <si>
    <t>916</t>
  </si>
  <si>
    <t>AREAWAY ABOVE</t>
  </si>
  <si>
    <t>917</t>
  </si>
  <si>
    <t>SLOPE TO DRAIN</t>
  </si>
  <si>
    <t>918</t>
  </si>
  <si>
    <t>OMITTED THIS AREA FOR CLARITY</t>
  </si>
  <si>
    <t>919</t>
  </si>
  <si>
    <t xml:space="preserve">ADD  LAYER TYPE 'X' GYPSUM BOARD TO EACH SIDE FOR UL #419 1-HR FIRE RATING </t>
  </si>
  <si>
    <t>RAMPS</t>
  </si>
  <si>
    <t>1101</t>
  </si>
  <si>
    <t>1102</t>
  </si>
  <si>
    <t>1103</t>
  </si>
  <si>
    <t>ROOFS</t>
  </si>
  <si>
    <t>1201</t>
  </si>
  <si>
    <t>1202</t>
  </si>
  <si>
    <t>1203</t>
  </si>
  <si>
    <t>SITE</t>
  </si>
  <si>
    <t>1301</t>
  </si>
  <si>
    <t>1302</t>
  </si>
  <si>
    <t>1303</t>
  </si>
  <si>
    <t>STAIRS</t>
  </si>
  <si>
    <t>1401</t>
  </si>
  <si>
    <t>1402</t>
  </si>
  <si>
    <t>1403</t>
  </si>
  <si>
    <t>TOILET ACCESSORIES</t>
  </si>
  <si>
    <t>1501</t>
  </si>
  <si>
    <t>1502</t>
  </si>
  <si>
    <t>1503</t>
  </si>
  <si>
    <t>WALLS</t>
  </si>
  <si>
    <t>1601</t>
  </si>
  <si>
    <t>1602</t>
  </si>
  <si>
    <t>1603</t>
  </si>
  <si>
    <t>WINDOWS</t>
  </si>
  <si>
    <t>1701</t>
  </si>
  <si>
    <t>1702</t>
  </si>
  <si>
    <t>1703</t>
  </si>
  <si>
    <t>SYSTEM NOTES</t>
  </si>
  <si>
    <t>AV</t>
  </si>
  <si>
    <t>5101</t>
  </si>
  <si>
    <t>5102</t>
  </si>
  <si>
    <t>5103</t>
  </si>
  <si>
    <t>COMM</t>
  </si>
  <si>
    <t>5201</t>
  </si>
  <si>
    <t>5202</t>
  </si>
  <si>
    <t>5203</t>
  </si>
  <si>
    <t>ELECTRICAL</t>
  </si>
  <si>
    <t>5301</t>
  </si>
  <si>
    <t>5302</t>
  </si>
  <si>
    <t>5303</t>
  </si>
  <si>
    <t>FIRE PROTECTION</t>
  </si>
  <si>
    <t>5401</t>
  </si>
  <si>
    <t>5402</t>
  </si>
  <si>
    <t>5403</t>
  </si>
  <si>
    <t>LAB</t>
  </si>
  <si>
    <t>5501</t>
  </si>
  <si>
    <t>5502</t>
  </si>
  <si>
    <t>5503</t>
  </si>
  <si>
    <t>LIGHTING</t>
  </si>
  <si>
    <t>5601</t>
  </si>
  <si>
    <t>5602</t>
  </si>
  <si>
    <t>5603</t>
  </si>
  <si>
    <t>MECHANICAL</t>
  </si>
  <si>
    <t>5701</t>
  </si>
  <si>
    <t>5702</t>
  </si>
  <si>
    <t>5703</t>
  </si>
  <si>
    <t>PLUMBING</t>
  </si>
  <si>
    <t>5704</t>
  </si>
  <si>
    <t>5705</t>
  </si>
  <si>
    <t>5706</t>
  </si>
  <si>
    <t>STRUCTURAL</t>
  </si>
  <si>
    <t>7101</t>
  </si>
  <si>
    <t>7102</t>
  </si>
  <si>
    <t>7103</t>
  </si>
  <si>
    <t>UNIFORMAT</t>
  </si>
  <si>
    <t>B</t>
  </si>
  <si>
    <t>SHELL</t>
  </si>
  <si>
    <t>B20</t>
  </si>
  <si>
    <t>Exterior Vertical Enclosures</t>
  </si>
  <si>
    <t>B2010.20</t>
  </si>
  <si>
    <t>Exterior Wall Construction</t>
  </si>
  <si>
    <t>B2020.30</t>
  </si>
  <si>
    <t>Exterior Window Wall</t>
  </si>
  <si>
    <t>C</t>
  </si>
  <si>
    <t>INTERIORS</t>
  </si>
  <si>
    <t>C10</t>
  </si>
  <si>
    <t>Interior Construction</t>
  </si>
  <si>
    <t>C1010.10</t>
  </si>
  <si>
    <t>Interior Fixed Partitions</t>
  </si>
  <si>
    <t>KEYNOTE ID</t>
  </si>
  <si>
    <t>BASIS OF DESIGN</t>
  </si>
  <si>
    <t>CAT.NO.</t>
  </si>
  <si>
    <t>SPEC SECTION</t>
  </si>
  <si>
    <t>Material Indices: Surface Categories</t>
  </si>
  <si>
    <t>Order</t>
  </si>
  <si>
    <t>Interior</t>
  </si>
  <si>
    <t>Exterior</t>
  </si>
  <si>
    <t>WALL</t>
  </si>
  <si>
    <t>OTHER</t>
  </si>
  <si>
    <t>For Instructions on how to use this tool, please see EI Page: https://ei.ennead.com/toolbox/BIMManual_01/02.16.3_Keynoting.aspx</t>
  </si>
  <si>
    <t>EXTERIOR</t>
  </si>
  <si>
    <t>INTERIOR</t>
  </si>
  <si>
    <t>REP_KEYTIER1</t>
  </si>
  <si>
    <t>REP_KEYTIER1DESC</t>
  </si>
  <si>
    <t>EXT</t>
  </si>
  <si>
    <t>INT</t>
  </si>
  <si>
    <t>REP_KEYTIER2DESC</t>
  </si>
  <si>
    <t>601</t>
  </si>
  <si>
    <t>602</t>
  </si>
  <si>
    <t>603</t>
  </si>
  <si>
    <t>701</t>
  </si>
  <si>
    <t>702</t>
  </si>
  <si>
    <t>801</t>
  </si>
  <si>
    <t>802</t>
  </si>
  <si>
    <t>REP_KEYNOTEDESC</t>
  </si>
  <si>
    <t>ADD  LAYER TYPE 'X' GYPSUM BOARD TO EACH SIDE FOR UL #419 1-HR FIRE RATING</t>
  </si>
  <si>
    <t>REP_KEYTIER2</t>
  </si>
  <si>
    <t>Macros</t>
  </si>
  <si>
    <t>These are the default categories. For modifications, please contact Applied Computing</t>
  </si>
  <si>
    <t>Settings For Interior and Exterior Index</t>
  </si>
  <si>
    <t>Font:</t>
  </si>
  <si>
    <t>Header Text Size:</t>
  </si>
  <si>
    <t>Header Bold:</t>
  </si>
  <si>
    <t>Body Text Size:</t>
  </si>
  <si>
    <t>Arial Narrow</t>
  </si>
  <si>
    <t>DO NOT MODIFY</t>
  </si>
  <si>
    <t>Important Things to Note:</t>
  </si>
  <si>
    <t>Do not edit the column headers on the Database tab, this may break the Indices.</t>
  </si>
  <si>
    <t>All Keynote #'s must be unique</t>
  </si>
  <si>
    <t>SOFFIT</t>
  </si>
  <si>
    <t>PAVING</t>
  </si>
  <si>
    <t>NUMBER</t>
  </si>
  <si>
    <t>DESCRIPTION</t>
  </si>
  <si>
    <t>LEVEL</t>
  </si>
  <si>
    <t>MasterFormat (CSI)</t>
  </si>
  <si>
    <t>UniFormat</t>
  </si>
  <si>
    <t>Construction Systems and Assemblies (2010 Edition)</t>
  </si>
  <si>
    <t>Project Description</t>
  </si>
  <si>
    <t>N/A</t>
  </si>
  <si>
    <t>Project Summary</t>
  </si>
  <si>
    <t>1010.10</t>
  </si>
  <si>
    <t>Summary of Work</t>
  </si>
  <si>
    <t>1010.30</t>
  </si>
  <si>
    <t>Multiple Contract Summaries</t>
  </si>
  <si>
    <t>1010.50</t>
  </si>
  <si>
    <t>Work Restrictions</t>
  </si>
  <si>
    <t>Project Program</t>
  </si>
  <si>
    <t>1020.10</t>
  </si>
  <si>
    <t>Site Program</t>
  </si>
  <si>
    <t>1020.50</t>
  </si>
  <si>
    <t>Facility Program</t>
  </si>
  <si>
    <t>Project Criteria</t>
  </si>
  <si>
    <t>1030.10</t>
  </si>
  <si>
    <t>Zoning Requirements</t>
  </si>
  <si>
    <t>1030.15</t>
  </si>
  <si>
    <t>Planned Unit Development Requirements</t>
  </si>
  <si>
    <t>1030.20</t>
  </si>
  <si>
    <t>Code Analysis</t>
  </si>
  <si>
    <t>1030.40</t>
  </si>
  <si>
    <t>Design Loads</t>
  </si>
  <si>
    <t>1030.50</t>
  </si>
  <si>
    <t>Sustainable Design Requirements</t>
  </si>
  <si>
    <t>Facility Environmental Requirements</t>
  </si>
  <si>
    <t>Indoor Air Quality Requirements</t>
  </si>
  <si>
    <t>1030.70</t>
  </si>
  <si>
    <t>Historic Restoration Requirements</t>
  </si>
  <si>
    <t>Existing Conditions</t>
  </si>
  <si>
    <t>1040.30</t>
  </si>
  <si>
    <t>Assessment</t>
  </si>
  <si>
    <t>1040.50</t>
  </si>
  <si>
    <t>Subsurface Investigation</t>
  </si>
  <si>
    <t>Owner’s Work</t>
  </si>
  <si>
    <t>Funding</t>
  </si>
  <si>
    <t>1090.10</t>
  </si>
  <si>
    <t>Budget</t>
  </si>
  <si>
    <t>1090.30</t>
  </si>
  <si>
    <t>Sources</t>
  </si>
  <si>
    <t>1090.50</t>
  </si>
  <si>
    <t>Cash Flow</t>
  </si>
  <si>
    <t>Owner Development</t>
  </si>
  <si>
    <t>Site Acquisition</t>
  </si>
  <si>
    <t>2010.10</t>
  </si>
  <si>
    <t>Site Purchase</t>
  </si>
  <si>
    <t>2010.20</t>
  </si>
  <si>
    <t>Site Lease</t>
  </si>
  <si>
    <t>2010.40</t>
  </si>
  <si>
    <t>Rights-of-Way and Easements</t>
  </si>
  <si>
    <t>Permits</t>
  </si>
  <si>
    <t>2020.10</t>
  </si>
  <si>
    <t>Zoning Permits</t>
  </si>
  <si>
    <t>Planned Unit Development</t>
  </si>
  <si>
    <t>2020.30</t>
  </si>
  <si>
    <t>Building Permits</t>
  </si>
  <si>
    <t>2020.50</t>
  </si>
  <si>
    <t>Regulatory Required Permits</t>
  </si>
  <si>
    <t>Professional Services</t>
  </si>
  <si>
    <t>2030.10</t>
  </si>
  <si>
    <t>Project Managers</t>
  </si>
  <si>
    <t>2030.20</t>
  </si>
  <si>
    <t>Design Professionals</t>
  </si>
  <si>
    <t>2030.30</t>
  </si>
  <si>
    <t>Other Consultants</t>
  </si>
  <si>
    <t>2030.40</t>
  </si>
  <si>
    <t>Testing Laboratories</t>
  </si>
  <si>
    <t>2030.50</t>
  </si>
  <si>
    <t>Special Inspectors</t>
  </si>
  <si>
    <t>2030.60</t>
  </si>
  <si>
    <t>Attorneys</t>
  </si>
  <si>
    <t>2030.70</t>
  </si>
  <si>
    <t>Land/Project Development</t>
  </si>
  <si>
    <t>Other Activities</t>
  </si>
  <si>
    <t>2050.10</t>
  </si>
  <si>
    <t>Advertising and Promotion</t>
  </si>
  <si>
    <t>2050.30</t>
  </si>
  <si>
    <t>Relocations</t>
  </si>
  <si>
    <t>2050.50</t>
  </si>
  <si>
    <t>Rezoning</t>
  </si>
  <si>
    <t>2050.70</t>
  </si>
  <si>
    <t>Code Appeals and Variances</t>
  </si>
  <si>
    <t>Budget Project Contingencies</t>
  </si>
  <si>
    <t>2080.10</t>
  </si>
  <si>
    <t>Budget Design Contingencies</t>
  </si>
  <si>
    <t>2080.20</t>
  </si>
  <si>
    <t>Budget Construction Contingencies</t>
  </si>
  <si>
    <t>2080.40</t>
  </si>
  <si>
    <t>Budget Unforeseen Subsurface Conditions</t>
  </si>
  <si>
    <t>2080.60</t>
  </si>
  <si>
    <t>Budget Project Delays</t>
  </si>
  <si>
    <t>Budget Financing</t>
  </si>
  <si>
    <t>2090.10</t>
  </si>
  <si>
    <t>Construction Loans</t>
  </si>
  <si>
    <t>2090.30</t>
  </si>
  <si>
    <t>Permanent Loans</t>
  </si>
  <si>
    <t>Procurement Requirements</t>
  </si>
  <si>
    <t>Project Delivery</t>
  </si>
  <si>
    <t>3010.10</t>
  </si>
  <si>
    <t>Project Delivery Methods</t>
  </si>
  <si>
    <t>3010.30</t>
  </si>
  <si>
    <t>Number of Construction Contracts</t>
  </si>
  <si>
    <t>3010.50</t>
  </si>
  <si>
    <t>Methods of Payment</t>
  </si>
  <si>
    <t>Solicitation</t>
  </si>
  <si>
    <t>3020.10</t>
  </si>
  <si>
    <t>Advertisements and Invitations</t>
  </si>
  <si>
    <t>Instructions for Procurement</t>
  </si>
  <si>
    <t>3030.10</t>
  </si>
  <si>
    <t>Instructions</t>
  </si>
  <si>
    <t>Supplementary Instructions</t>
  </si>
  <si>
    <t>3030.20</t>
  </si>
  <si>
    <t>Procurement Definitions</t>
  </si>
  <si>
    <t>3030.30</t>
  </si>
  <si>
    <t>Procurement Scopes</t>
  </si>
  <si>
    <t>3030.50</t>
  </si>
  <si>
    <t>Procurement Meetings</t>
  </si>
  <si>
    <t>3030.70</t>
  </si>
  <si>
    <t>Procurement Substitution Procedures</t>
  </si>
  <si>
    <t>Available Project Information</t>
  </si>
  <si>
    <t>3040.10</t>
  </si>
  <si>
    <t>Preliminary Schedules</t>
  </si>
  <si>
    <t>Project Budget Information</t>
  </si>
  <si>
    <t>3040.30</t>
  </si>
  <si>
    <t>Existing Condition Information</t>
  </si>
  <si>
    <t>Survey Information</t>
  </si>
  <si>
    <t>3040.40</t>
  </si>
  <si>
    <t>Environmental Assessment Information</t>
  </si>
  <si>
    <t>Existing Material Information</t>
  </si>
  <si>
    <t>3040.50</t>
  </si>
  <si>
    <t>Existing Hazardous Material Information</t>
  </si>
  <si>
    <t>Geophysical Data</t>
  </si>
  <si>
    <t>3040.60</t>
  </si>
  <si>
    <t>Geotechnical Data</t>
  </si>
  <si>
    <t>3040.90</t>
  </si>
  <si>
    <t>Permit Application</t>
  </si>
  <si>
    <t>Procurement Forms and Supplements</t>
  </si>
  <si>
    <t>3050.10</t>
  </si>
  <si>
    <t>Bid Forms</t>
  </si>
  <si>
    <t>3050.20</t>
  </si>
  <si>
    <t>Proposal Forms</t>
  </si>
  <si>
    <t>3050.30</t>
  </si>
  <si>
    <t>Procurement Form Supplements</t>
  </si>
  <si>
    <t>3050.50</t>
  </si>
  <si>
    <t>Representations and Certifications</t>
  </si>
  <si>
    <t>Contracting Requirements</t>
  </si>
  <si>
    <t>Contracting Forms and Supplements</t>
  </si>
  <si>
    <t>4010.10</t>
  </si>
  <si>
    <t>Notice of Award</t>
  </si>
  <si>
    <t>4010.30</t>
  </si>
  <si>
    <t>Agreement Forms</t>
  </si>
  <si>
    <t>Agreement Form Supplements</t>
  </si>
  <si>
    <t>4010.50</t>
  </si>
  <si>
    <t>Notice to Proceed</t>
  </si>
  <si>
    <t>Project Forms</t>
  </si>
  <si>
    <t>4020.10</t>
  </si>
  <si>
    <t>Bond Forms</t>
  </si>
  <si>
    <t>4020.30</t>
  </si>
  <si>
    <t>Certificates and Other Forms</t>
  </si>
  <si>
    <t>4020.50</t>
  </si>
  <si>
    <t>Clarification and Modification Forms</t>
  </si>
  <si>
    <t>4020.70</t>
  </si>
  <si>
    <t>Closeout Forms</t>
  </si>
  <si>
    <t>Conditions of the Contract</t>
  </si>
  <si>
    <t>4030.10</t>
  </si>
  <si>
    <t>Contracting Definitions</t>
  </si>
  <si>
    <t>4030.30</t>
  </si>
  <si>
    <t>General Conditions</t>
  </si>
  <si>
    <t>Supplementary Conditions</t>
  </si>
  <si>
    <t>Revisions, Clarifications, and Modifications</t>
  </si>
  <si>
    <t>4040.10</t>
  </si>
  <si>
    <t>Precontract Revisions</t>
  </si>
  <si>
    <t>4040.30</t>
  </si>
  <si>
    <t>Record Clarifications and Proposals</t>
  </si>
  <si>
    <t>4040.50</t>
  </si>
  <si>
    <t>Record Modifications</t>
  </si>
  <si>
    <t>A</t>
  </si>
  <si>
    <t>Substructure</t>
  </si>
  <si>
    <t>A10</t>
  </si>
  <si>
    <t>Foundations</t>
  </si>
  <si>
    <t>A1010</t>
  </si>
  <si>
    <t>Standard Foundations</t>
  </si>
  <si>
    <t>A1010.10</t>
  </si>
  <si>
    <t>Wall Foundations</t>
  </si>
  <si>
    <t>Multiple Values</t>
  </si>
  <si>
    <t>A1010.30</t>
  </si>
  <si>
    <t>Column Foundations</t>
  </si>
  <si>
    <t>A1010.90</t>
  </si>
  <si>
    <t>Standard Foundation Supplementary Components</t>
  </si>
  <si>
    <t>A1020</t>
  </si>
  <si>
    <t>Special Foundations</t>
  </si>
  <si>
    <t>A1020.10</t>
  </si>
  <si>
    <t>Driven Piles</t>
  </si>
  <si>
    <t>A1020.15</t>
  </si>
  <si>
    <t>Bored Piles</t>
  </si>
  <si>
    <t>A1020.20</t>
  </si>
  <si>
    <t>Caissons</t>
  </si>
  <si>
    <t>A1020.30</t>
  </si>
  <si>
    <t>Special Foundation Walls</t>
  </si>
  <si>
    <t>A1020.40</t>
  </si>
  <si>
    <t>Foundation Anchors</t>
  </si>
  <si>
    <t>A1020.50</t>
  </si>
  <si>
    <t>Underpinning</t>
  </si>
  <si>
    <t>A1020.60</t>
  </si>
  <si>
    <t>Raft Foundations</t>
  </si>
  <si>
    <t>A1020.70</t>
  </si>
  <si>
    <t>Pile Caps</t>
  </si>
  <si>
    <t>A1020.80</t>
  </si>
  <si>
    <t>Grade Beams</t>
  </si>
  <si>
    <t>A20</t>
  </si>
  <si>
    <t>Subgrade Enclosures</t>
  </si>
  <si>
    <t>A2010</t>
  </si>
  <si>
    <t>Walls for Subgrade Enclosures</t>
  </si>
  <si>
    <t>A2010.10</t>
  </si>
  <si>
    <t>Subgrade Enclosure Wall Construction</t>
  </si>
  <si>
    <t>A2010.20</t>
  </si>
  <si>
    <t>Subgrade Enclosure Wall Interior Skin</t>
  </si>
  <si>
    <t>A2010.90</t>
  </si>
  <si>
    <t>Subgrade Enclosure Wall Supplementary Components</t>
  </si>
  <si>
    <t>A40</t>
  </si>
  <si>
    <t>Slabs-on-Grade</t>
  </si>
  <si>
    <t>A4010</t>
  </si>
  <si>
    <t>Standard Slabs-on-Grade</t>
  </si>
  <si>
    <t>A4020</t>
  </si>
  <si>
    <t>Structural Slabs-on-Grade</t>
  </si>
  <si>
    <t>A4030</t>
  </si>
  <si>
    <t>Slab Trenches</t>
  </si>
  <si>
    <t>A4040</t>
  </si>
  <si>
    <t>Pits and Bases</t>
  </si>
  <si>
    <t>A4090</t>
  </si>
  <si>
    <t>Slab-On-Grade Supplementary Components</t>
  </si>
  <si>
    <t>A4090.10</t>
  </si>
  <si>
    <t>Perimeter Insulation</t>
  </si>
  <si>
    <t>A4090.20</t>
  </si>
  <si>
    <t>Vapor Retarder</t>
  </si>
  <si>
    <t>A4090.30</t>
  </si>
  <si>
    <t>Waterproofing</t>
  </si>
  <si>
    <t>A4090.50</t>
  </si>
  <si>
    <t>Mud Slab</t>
  </si>
  <si>
    <t>A4090.60</t>
  </si>
  <si>
    <t>Subbase Layer</t>
  </si>
  <si>
    <t>A60</t>
  </si>
  <si>
    <t>Water and Gas Mitigation</t>
  </si>
  <si>
    <t>A6010</t>
  </si>
  <si>
    <t>Building Subdrainage</t>
  </si>
  <si>
    <t>A6010.10</t>
  </si>
  <si>
    <t>Foundation Drainage</t>
  </si>
  <si>
    <t>A6010.20</t>
  </si>
  <si>
    <t>Underslab Drainage</t>
  </si>
  <si>
    <t>A6020</t>
  </si>
  <si>
    <t>Off-Gassing Mitigation</t>
  </si>
  <si>
    <t>A6020.10</t>
  </si>
  <si>
    <t>Radon Mitigation</t>
  </si>
  <si>
    <t>A6020.50</t>
  </si>
  <si>
    <t>Methane Mitigation</t>
  </si>
  <si>
    <t>A90</t>
  </si>
  <si>
    <t>Substructure Related Activities</t>
  </si>
  <si>
    <t>A9010</t>
  </si>
  <si>
    <t>Substructure Excavation</t>
  </si>
  <si>
    <t>A9010.10</t>
  </si>
  <si>
    <t>Backfill and Compaction</t>
  </si>
  <si>
    <t>A9020</t>
  </si>
  <si>
    <t>Construction Dewatering</t>
  </si>
  <si>
    <t>A9030</t>
  </si>
  <si>
    <t>Excavation Support</t>
  </si>
  <si>
    <t>A9030.10</t>
  </si>
  <si>
    <t>Anchor Tiebacks</t>
  </si>
  <si>
    <t>A9030.20</t>
  </si>
  <si>
    <t>Cofferdams</t>
  </si>
  <si>
    <t>A9030.40</t>
  </si>
  <si>
    <t>Cribbing and Walers</t>
  </si>
  <si>
    <t>A9030.60</t>
  </si>
  <si>
    <t>Ground Freezing</t>
  </si>
  <si>
    <t>A9030.70</t>
  </si>
  <si>
    <t>Slurry Walls</t>
  </si>
  <si>
    <t>A9040</t>
  </si>
  <si>
    <t>Soil Treatment</t>
  </si>
  <si>
    <t>Shell</t>
  </si>
  <si>
    <t>B10</t>
  </si>
  <si>
    <t>Superstructure</t>
  </si>
  <si>
    <t>B1010</t>
  </si>
  <si>
    <t>Floor Construction</t>
  </si>
  <si>
    <t>B1010.10</t>
  </si>
  <si>
    <t>Floor Structural Frame</t>
  </si>
  <si>
    <t>B1010.20</t>
  </si>
  <si>
    <t>Floor Decks, Slabs, and Toppings</t>
  </si>
  <si>
    <t>B1010.30</t>
  </si>
  <si>
    <t>Balcony Floor Construction</t>
  </si>
  <si>
    <t>B1010.40</t>
  </si>
  <si>
    <t>Mezzanine Floor Construction</t>
  </si>
  <si>
    <t>B1010.50</t>
  </si>
  <si>
    <t>Ramps</t>
  </si>
  <si>
    <t>B1010.90</t>
  </si>
  <si>
    <t>Floor Construction Supplementary Components</t>
  </si>
  <si>
    <t>B1020</t>
  </si>
  <si>
    <t>Roof Construction</t>
  </si>
  <si>
    <t>B1020.10</t>
  </si>
  <si>
    <t>Roof Structural Frame</t>
  </si>
  <si>
    <t>B1020.20</t>
  </si>
  <si>
    <t>Roof Decks, Slabs, and Sheathing</t>
  </si>
  <si>
    <t>B1020.30</t>
  </si>
  <si>
    <t>Canopy Construction</t>
  </si>
  <si>
    <t>B1020.90</t>
  </si>
  <si>
    <t>Roof Construction Supplementary Components</t>
  </si>
  <si>
    <t>B1080</t>
  </si>
  <si>
    <t>Stairs</t>
  </si>
  <si>
    <t>B1080.10</t>
  </si>
  <si>
    <t>Stair Construction</t>
  </si>
  <si>
    <t>B1080.30</t>
  </si>
  <si>
    <t>Stair Soffits</t>
  </si>
  <si>
    <t>B1080.50</t>
  </si>
  <si>
    <t>Stair Railings</t>
  </si>
  <si>
    <t>B1080.60</t>
  </si>
  <si>
    <t>Fire Escapes</t>
  </si>
  <si>
    <t>B1080.70</t>
  </si>
  <si>
    <t>Metal Walkways</t>
  </si>
  <si>
    <t>B1080.80</t>
  </si>
  <si>
    <t>Ladders</t>
  </si>
  <si>
    <t>B2010</t>
  </si>
  <si>
    <t>Exterior Walls</t>
  </si>
  <si>
    <t>B2010.10</t>
  </si>
  <si>
    <t>Exterior Wall Veneer</t>
  </si>
  <si>
    <t>B2010.30</t>
  </si>
  <si>
    <t>Exterior Wall Interior Skin</t>
  </si>
  <si>
    <t>B2010.40</t>
  </si>
  <si>
    <t>Fabricated Exterior Wall Assemblies</t>
  </si>
  <si>
    <t>B2010.50</t>
  </si>
  <si>
    <t>Parapets</t>
  </si>
  <si>
    <t>B2010.60</t>
  </si>
  <si>
    <t>Equipment Screens</t>
  </si>
  <si>
    <t>B2010.80</t>
  </si>
  <si>
    <t>Exterior Wall Supplementary Components</t>
  </si>
  <si>
    <t>B2010.90</t>
  </si>
  <si>
    <t>Exterior Wall Opening Supplementary Components</t>
  </si>
  <si>
    <t>B2020</t>
  </si>
  <si>
    <t>Exterior Windows</t>
  </si>
  <si>
    <t>B2020.10</t>
  </si>
  <si>
    <t>Exterior Operating Windows</t>
  </si>
  <si>
    <t>B2020.20</t>
  </si>
  <si>
    <t>Exterior Fixed Windows</t>
  </si>
  <si>
    <t>B2020.50</t>
  </si>
  <si>
    <t>Exterior Special Function Windows</t>
  </si>
  <si>
    <t>B2050</t>
  </si>
  <si>
    <t>Exterior Doors and Grilles</t>
  </si>
  <si>
    <t>B2050.10</t>
  </si>
  <si>
    <t>Exterior Entrance Doors</t>
  </si>
  <si>
    <t>B2050.20</t>
  </si>
  <si>
    <t>Exterior Utility Doors</t>
  </si>
  <si>
    <t>08 10 00</t>
  </si>
  <si>
    <t>B2050.30</t>
  </si>
  <si>
    <t>Exterior Oversize Doors</t>
  </si>
  <si>
    <t>B2050.40</t>
  </si>
  <si>
    <t>Exterior Special Function Doors</t>
  </si>
  <si>
    <t>B2050.60</t>
  </si>
  <si>
    <t>Exterior Grilles</t>
  </si>
  <si>
    <t>B2050.70</t>
  </si>
  <si>
    <t>Exterior Gates</t>
  </si>
  <si>
    <t>B2050.90</t>
  </si>
  <si>
    <t>Exterior Door Supplementary Components</t>
  </si>
  <si>
    <t>B2070</t>
  </si>
  <si>
    <t>Exterior Louvers and Vents</t>
  </si>
  <si>
    <t>B2070.10</t>
  </si>
  <si>
    <t>Exterior Louvers</t>
  </si>
  <si>
    <t>B2070.50</t>
  </si>
  <si>
    <t>Exterior Vents</t>
  </si>
  <si>
    <t>B2080</t>
  </si>
  <si>
    <t>Exterior Wall Appurtenances</t>
  </si>
  <si>
    <t>B2080.10</t>
  </si>
  <si>
    <t>Exterior Fixed Grilles and Screens</t>
  </si>
  <si>
    <t>B2080.30</t>
  </si>
  <si>
    <t>Exterior Opening Protection Devices</t>
  </si>
  <si>
    <t>B2080.50</t>
  </si>
  <si>
    <t>Exterior Balcony Walls and Railings</t>
  </si>
  <si>
    <t>B2080.70</t>
  </si>
  <si>
    <t>Exterior Fabrications</t>
  </si>
  <si>
    <t>B2080.80</t>
  </si>
  <si>
    <t>Bird Control Devices</t>
  </si>
  <si>
    <t>B2090</t>
  </si>
  <si>
    <t>Exterior Wall Specialties</t>
  </si>
  <si>
    <t>B30</t>
  </si>
  <si>
    <t>Exterior Horizontal Enclosures</t>
  </si>
  <si>
    <t>B3010</t>
  </si>
  <si>
    <t>Roofing</t>
  </si>
  <si>
    <t>B3010.10</t>
  </si>
  <si>
    <t>Steep Slope Roofing</t>
  </si>
  <si>
    <t>B3010.50</t>
  </si>
  <si>
    <t>Low-Slope Roofing</t>
  </si>
  <si>
    <t>B3010.70</t>
  </si>
  <si>
    <t>Canopy Roofing</t>
  </si>
  <si>
    <t>B3010.90</t>
  </si>
  <si>
    <t>Roofing Supplementary Components</t>
  </si>
  <si>
    <t>B3020</t>
  </si>
  <si>
    <t>Roof Appurtenances</t>
  </si>
  <si>
    <t>B3020.10</t>
  </si>
  <si>
    <t>Roof Accessories</t>
  </si>
  <si>
    <t>B3020.30</t>
  </si>
  <si>
    <t>Roof Specialties</t>
  </si>
  <si>
    <t>B3020.70</t>
  </si>
  <si>
    <t>Rainwater Management</t>
  </si>
  <si>
    <t>B3040</t>
  </si>
  <si>
    <t>Traffic Bearing Horizontal Enclosures</t>
  </si>
  <si>
    <t>B3040.10</t>
  </si>
  <si>
    <t>Traffic Bearing Coatings</t>
  </si>
  <si>
    <t>B3040.30</t>
  </si>
  <si>
    <t>Horizontal Waterproofing Membrane</t>
  </si>
  <si>
    <t>B3040.50</t>
  </si>
  <si>
    <t>Wear Surfaces</t>
  </si>
  <si>
    <t>B3040.90</t>
  </si>
  <si>
    <t>Horizontal Enclosure Supplementary Components</t>
  </si>
  <si>
    <t>B3060</t>
  </si>
  <si>
    <t>Horizontal Openings</t>
  </si>
  <si>
    <t>B3060.10</t>
  </si>
  <si>
    <t>Roof Windows and Skylights</t>
  </si>
  <si>
    <t>B3060.50</t>
  </si>
  <si>
    <t>Vents and Hatches</t>
  </si>
  <si>
    <t>B3060.90</t>
  </si>
  <si>
    <t>Horizontal Opening Supplementary Components</t>
  </si>
  <si>
    <t>B3080</t>
  </si>
  <si>
    <t>Overhead Exterior Enclosures</t>
  </si>
  <si>
    <t>B3080.10</t>
  </si>
  <si>
    <t>Exterior Ceilings</t>
  </si>
  <si>
    <t>B3080.20</t>
  </si>
  <si>
    <t>Exterior Soffits</t>
  </si>
  <si>
    <t>B3080.30</t>
  </si>
  <si>
    <t>Exterior Bulkheads</t>
  </si>
  <si>
    <t>Interiors</t>
  </si>
  <si>
    <t>C1010</t>
  </si>
  <si>
    <t>Interior Partitions</t>
  </si>
  <si>
    <t>C1010.20</t>
  </si>
  <si>
    <t>Interior Glazed Partitions</t>
  </si>
  <si>
    <t>C1010.40</t>
  </si>
  <si>
    <t>Interior Demountable Partitions</t>
  </si>
  <si>
    <t>C1010.50</t>
  </si>
  <si>
    <t>Interior Operable Partitions</t>
  </si>
  <si>
    <t>C1010.70</t>
  </si>
  <si>
    <t>Interior Screens</t>
  </si>
  <si>
    <t>C1010.90</t>
  </si>
  <si>
    <t>Interior Partition Supplementary Components</t>
  </si>
  <si>
    <t>C1020</t>
  </si>
  <si>
    <t>Interior Windows</t>
  </si>
  <si>
    <t>C1020.10</t>
  </si>
  <si>
    <t>Interior Operating Windows</t>
  </si>
  <si>
    <t>C1020.20</t>
  </si>
  <si>
    <t>Interior Fixed Windows</t>
  </si>
  <si>
    <t>C1020.50</t>
  </si>
  <si>
    <t>Interior Special Function Windows</t>
  </si>
  <si>
    <t>C1020.90</t>
  </si>
  <si>
    <t>Interior Window Supplementary Components</t>
  </si>
  <si>
    <t>C1030</t>
  </si>
  <si>
    <t>Interior Doors</t>
  </si>
  <si>
    <t>C1030.10</t>
  </si>
  <si>
    <t>Interior Swinging Doors</t>
  </si>
  <si>
    <t>C1030.20</t>
  </si>
  <si>
    <t>Interior Entrance Doors</t>
  </si>
  <si>
    <t>C1030.25</t>
  </si>
  <si>
    <t>Interior Sliding Doors</t>
  </si>
  <si>
    <t>C1030.30</t>
  </si>
  <si>
    <t>Interior Folding Doors</t>
  </si>
  <si>
    <t>C1030.40</t>
  </si>
  <si>
    <t>Interior Coiling Doors</t>
  </si>
  <si>
    <t>C1030.50</t>
  </si>
  <si>
    <t>Interior Panel Doors</t>
  </si>
  <si>
    <t>C1030.70</t>
  </si>
  <si>
    <t>Interior Special Function Doors</t>
  </si>
  <si>
    <t>C1030.80</t>
  </si>
  <si>
    <t>Interior Access Doors and Panels</t>
  </si>
  <si>
    <t>C1030.90</t>
  </si>
  <si>
    <t>Interior Door Supplementary Components</t>
  </si>
  <si>
    <t>C1040</t>
  </si>
  <si>
    <t>Interior Grilles and Gates</t>
  </si>
  <si>
    <t>C1040.10</t>
  </si>
  <si>
    <t>Interior Grilles</t>
  </si>
  <si>
    <t>C1040.50</t>
  </si>
  <si>
    <t>Interior Gates</t>
  </si>
  <si>
    <t>C1060</t>
  </si>
  <si>
    <t>Raised Floor Construction</t>
  </si>
  <si>
    <t>C1060.10</t>
  </si>
  <si>
    <t>Access Flooring</t>
  </si>
  <si>
    <t>C1060.30</t>
  </si>
  <si>
    <t>Platform/Stage Floors</t>
  </si>
  <si>
    <t>C1070</t>
  </si>
  <si>
    <t>Suspended Ceiling Construction</t>
  </si>
  <si>
    <t>C1070.10</t>
  </si>
  <si>
    <t>Acoustical Suspended Ceilings</t>
  </si>
  <si>
    <t>C1070.20</t>
  </si>
  <si>
    <t>Suspended Plaster and Gypsum Board Ceilings</t>
  </si>
  <si>
    <t>C1070.50</t>
  </si>
  <si>
    <t>Specialty Suspended Ceilings</t>
  </si>
  <si>
    <t>C1070.70</t>
  </si>
  <si>
    <t>Special Function Suspended Ceilings</t>
  </si>
  <si>
    <t>C1070.90</t>
  </si>
  <si>
    <t>Ceiling Suspension Components</t>
  </si>
  <si>
    <t>C1090</t>
  </si>
  <si>
    <t>Interior Specialties</t>
  </si>
  <si>
    <t>C1090.10</t>
  </si>
  <si>
    <t>Interior Railings and Handrails</t>
  </si>
  <si>
    <t>C1090.15</t>
  </si>
  <si>
    <t>Interior Louvers</t>
  </si>
  <si>
    <t>C1090.20</t>
  </si>
  <si>
    <t>Information Specialties</t>
  </si>
  <si>
    <t>C1090.25</t>
  </si>
  <si>
    <t>Compartments and Cubicles</t>
  </si>
  <si>
    <t>C1090.30</t>
  </si>
  <si>
    <t>Service Walls</t>
  </si>
  <si>
    <t>C1090.35</t>
  </si>
  <si>
    <t>Wall and Door Protection</t>
  </si>
  <si>
    <t>C1090.40</t>
  </si>
  <si>
    <t>Toilet, Bath, and Laundry Accessories</t>
  </si>
  <si>
    <t>C1090.45</t>
  </si>
  <si>
    <t>Interior Gas Lighting</t>
  </si>
  <si>
    <t>10 84 16</t>
  </si>
  <si>
    <t>C1090.50</t>
  </si>
  <si>
    <t>Fireplaces and Stoves</t>
  </si>
  <si>
    <t>C1090.60</t>
  </si>
  <si>
    <t>Safety Specialties</t>
  </si>
  <si>
    <t>C1090.70</t>
  </si>
  <si>
    <t>Storage Specialties</t>
  </si>
  <si>
    <t>C1090.90</t>
  </si>
  <si>
    <t>Other Interior Specialties</t>
  </si>
  <si>
    <t>C20</t>
  </si>
  <si>
    <t>Interior Finishes</t>
  </si>
  <si>
    <t>C2010</t>
  </si>
  <si>
    <t>Wall Finishes</t>
  </si>
  <si>
    <t>C2010.10</t>
  </si>
  <si>
    <t>Tile Wall Finish</t>
  </si>
  <si>
    <t>C2010.20</t>
  </si>
  <si>
    <t>Wall Paneling</t>
  </si>
  <si>
    <t>C2010.30</t>
  </si>
  <si>
    <t>Wall Coverings</t>
  </si>
  <si>
    <t>C2010.35</t>
  </si>
  <si>
    <t>Wall Carpeting</t>
  </si>
  <si>
    <t>C2010.50</t>
  </si>
  <si>
    <t>Stone Facing</t>
  </si>
  <si>
    <t>C2010.60</t>
  </si>
  <si>
    <t>Special Wall Surfacing</t>
  </si>
  <si>
    <t>C2010.70</t>
  </si>
  <si>
    <t>Wall Painting and Coating</t>
  </si>
  <si>
    <t>C2010.80</t>
  </si>
  <si>
    <t>Acoustical Wall Treatment</t>
  </si>
  <si>
    <t>C2010.90</t>
  </si>
  <si>
    <t>Wall Finish Supplementary Components</t>
  </si>
  <si>
    <t>C2020</t>
  </si>
  <si>
    <t>Interior Fabrications</t>
  </si>
  <si>
    <t>C2030</t>
  </si>
  <si>
    <t>Flooring</t>
  </si>
  <si>
    <t>09 60 00</t>
  </si>
  <si>
    <t>C2030.10</t>
  </si>
  <si>
    <t>Flooring Treatment</t>
  </si>
  <si>
    <t>C2030.20</t>
  </si>
  <si>
    <t>Tile Flooring</t>
  </si>
  <si>
    <t>C2030.30</t>
  </si>
  <si>
    <t>Specialty Flooring</t>
  </si>
  <si>
    <t>C2030.40</t>
  </si>
  <si>
    <t>Masonry Flooring</t>
  </si>
  <si>
    <t>C2030.45</t>
  </si>
  <si>
    <t>Wood Flooring</t>
  </si>
  <si>
    <t>C2030.50</t>
  </si>
  <si>
    <t>Resilient Flooring</t>
  </si>
  <si>
    <t>C2030.60</t>
  </si>
  <si>
    <t>Terrazzo Flooring</t>
  </si>
  <si>
    <t>C2030.70</t>
  </si>
  <si>
    <t>Fluid-Applied Flooring</t>
  </si>
  <si>
    <t>C2030.75</t>
  </si>
  <si>
    <t>Carpeting</t>
  </si>
  <si>
    <t>C2030.80</t>
  </si>
  <si>
    <t>Athletic Flooring</t>
  </si>
  <si>
    <t>C2030.85</t>
  </si>
  <si>
    <t>Entrance Flooring</t>
  </si>
  <si>
    <t>C2030.90</t>
  </si>
  <si>
    <t>Flooring Supplementary Components</t>
  </si>
  <si>
    <t>C2040</t>
  </si>
  <si>
    <t>Stair Finishes</t>
  </si>
  <si>
    <t>C2040.20</t>
  </si>
  <si>
    <t>Tile Stair Finish</t>
  </si>
  <si>
    <t>C2040.40</t>
  </si>
  <si>
    <t>Masonry Stair Finish</t>
  </si>
  <si>
    <t>C2040.45</t>
  </si>
  <si>
    <t>Wood Stair Finish</t>
  </si>
  <si>
    <t>C2040.50</t>
  </si>
  <si>
    <t>Resilient Stair Finish</t>
  </si>
  <si>
    <t>C2040.60</t>
  </si>
  <si>
    <t>Terrazzo Stair Finish</t>
  </si>
  <si>
    <t>C2040.75</t>
  </si>
  <si>
    <t>Carpeted Stair Finish</t>
  </si>
  <si>
    <t>C2050</t>
  </si>
  <si>
    <t>Ceiling Finishes</t>
  </si>
  <si>
    <t>C2050.10</t>
  </si>
  <si>
    <t>Plaster and Gypsum Board Finish</t>
  </si>
  <si>
    <t>C2050.20</t>
  </si>
  <si>
    <t>Ceiling Paneling</t>
  </si>
  <si>
    <t>C2050.70</t>
  </si>
  <si>
    <t>Ceiling Painting and Coating</t>
  </si>
  <si>
    <t>C2050.80</t>
  </si>
  <si>
    <t>Acoustical Ceiling Treatment</t>
  </si>
  <si>
    <t>C2050.90</t>
  </si>
  <si>
    <t>Ceiling Finish Supplementary Components</t>
  </si>
  <si>
    <t>C2090</t>
  </si>
  <si>
    <t>Interior Finish Schedules</t>
  </si>
  <si>
    <t>D</t>
  </si>
  <si>
    <t>Services</t>
  </si>
  <si>
    <t>D10</t>
  </si>
  <si>
    <t>Conveying</t>
  </si>
  <si>
    <t>D1010</t>
  </si>
  <si>
    <t>Vertical Conveying Systems</t>
  </si>
  <si>
    <t>D1010.10</t>
  </si>
  <si>
    <t>Elevators</t>
  </si>
  <si>
    <t>D1010.20</t>
  </si>
  <si>
    <t>Lifts</t>
  </si>
  <si>
    <t>D1010.30</t>
  </si>
  <si>
    <t>Escalators</t>
  </si>
  <si>
    <t>D1010.50</t>
  </si>
  <si>
    <t>Dumbwaiters</t>
  </si>
  <si>
    <t>D1010.60</t>
  </si>
  <si>
    <t>Moving Ramps</t>
  </si>
  <si>
    <t>D1030</t>
  </si>
  <si>
    <t>Horizontal Conveying</t>
  </si>
  <si>
    <t>D1030.10</t>
  </si>
  <si>
    <t>Moving Walks</t>
  </si>
  <si>
    <t>D1030.30</t>
  </si>
  <si>
    <t>Turntables</t>
  </si>
  <si>
    <t>D1030.50</t>
  </si>
  <si>
    <t>Passenger Loading Bridges</t>
  </si>
  <si>
    <t>D1030.70</t>
  </si>
  <si>
    <t>People Movers</t>
  </si>
  <si>
    <t>D1050</t>
  </si>
  <si>
    <t>Material Handling</t>
  </si>
  <si>
    <t>D1050.10</t>
  </si>
  <si>
    <t>Cranes</t>
  </si>
  <si>
    <t>D1050.20</t>
  </si>
  <si>
    <t>Hoists</t>
  </si>
  <si>
    <t>D1050.30</t>
  </si>
  <si>
    <t>Derricks</t>
  </si>
  <si>
    <t>D1050.40</t>
  </si>
  <si>
    <t>Conveyors</t>
  </si>
  <si>
    <t>D1050.50</t>
  </si>
  <si>
    <t>Baggage Handling Equipment</t>
  </si>
  <si>
    <t>D1050.60</t>
  </si>
  <si>
    <t>Chutes</t>
  </si>
  <si>
    <t>D1050.70</t>
  </si>
  <si>
    <t>Pneumatic Tube Systems</t>
  </si>
  <si>
    <t>D1080</t>
  </si>
  <si>
    <t>Operable Access Systems</t>
  </si>
  <si>
    <t>D1080.10</t>
  </si>
  <si>
    <t>Suspended Scaffolding</t>
  </si>
  <si>
    <t>D1080.20</t>
  </si>
  <si>
    <t>Rope Climbers</t>
  </si>
  <si>
    <t>D1080.30</t>
  </si>
  <si>
    <t>Elevating Platforms</t>
  </si>
  <si>
    <t>D1080.40</t>
  </si>
  <si>
    <t>Powered Scaffolding</t>
  </si>
  <si>
    <t>D1080.50</t>
  </si>
  <si>
    <t>Building Envelope Access</t>
  </si>
  <si>
    <t>D20</t>
  </si>
  <si>
    <t>Plumbing</t>
  </si>
  <si>
    <t>D2010</t>
  </si>
  <si>
    <t>Domestic Water Distribution</t>
  </si>
  <si>
    <t>D2010.10</t>
  </si>
  <si>
    <t>Facility Potable-Water Storage Tanks</t>
  </si>
  <si>
    <t>D2010.20</t>
  </si>
  <si>
    <t>Domestic Water Equipment</t>
  </si>
  <si>
    <t>D2010.40</t>
  </si>
  <si>
    <t>Domestic Water Piping</t>
  </si>
  <si>
    <t>D2010.60</t>
  </si>
  <si>
    <t>Plumbing Fixtures</t>
  </si>
  <si>
    <t>D2010.90</t>
  </si>
  <si>
    <t>Domestic Water Distribution Supplementary Components</t>
  </si>
  <si>
    <t>D2020</t>
  </si>
  <si>
    <t>Sanitary Drainage</t>
  </si>
  <si>
    <t>D2020.10</t>
  </si>
  <si>
    <t>Sanitary Sewerage Equipment</t>
  </si>
  <si>
    <t>D2020.30</t>
  </si>
  <si>
    <t>Sanitary Sewerage Piping</t>
  </si>
  <si>
    <t>D2020.90</t>
  </si>
  <si>
    <t>Sanitary Drainage Supplementary Components</t>
  </si>
  <si>
    <t>D2030</t>
  </si>
  <si>
    <t>Building Support Plumbing Systems</t>
  </si>
  <si>
    <t>D2030.10</t>
  </si>
  <si>
    <t>Stormwater Drainage Equipment</t>
  </si>
  <si>
    <t>D2030.20</t>
  </si>
  <si>
    <t>Stormwater Drainage Piping</t>
  </si>
  <si>
    <t>D2030.30</t>
  </si>
  <si>
    <t>Facility Stormwater Drains</t>
  </si>
  <si>
    <t>D2030.60</t>
  </si>
  <si>
    <t>Gray Water Systems</t>
  </si>
  <si>
    <t>D2030.90</t>
  </si>
  <si>
    <t>Building Support Plumbing System Supplementary Components</t>
  </si>
  <si>
    <t>D2050</t>
  </si>
  <si>
    <t>General Service Compressed-Air</t>
  </si>
  <si>
    <t>D2060</t>
  </si>
  <si>
    <t>Process Support Plumbing Systems</t>
  </si>
  <si>
    <t>D2060.10</t>
  </si>
  <si>
    <t>Compressed-Air Systems</t>
  </si>
  <si>
    <t>D2060.20</t>
  </si>
  <si>
    <t>Vacuum Systems</t>
  </si>
  <si>
    <t>D2060.30</t>
  </si>
  <si>
    <t>Gas Systems</t>
  </si>
  <si>
    <t>D2060.40</t>
  </si>
  <si>
    <t>Chemical-Waste Systems</t>
  </si>
  <si>
    <t>D2060.50</t>
  </si>
  <si>
    <t>Processed Water Systems</t>
  </si>
  <si>
    <t>D2060.90</t>
  </si>
  <si>
    <t>Process Support Plumbing System Supplementary Components</t>
  </si>
  <si>
    <t>D30</t>
  </si>
  <si>
    <t>Heating, Ventilation, and Air Conditioning (HVAC)</t>
  </si>
  <si>
    <t>D3010</t>
  </si>
  <si>
    <t>Facility Fuel Systems</t>
  </si>
  <si>
    <t>D3010.10</t>
  </si>
  <si>
    <t>Fuel Piping</t>
  </si>
  <si>
    <t>D3010.30</t>
  </si>
  <si>
    <t>Fuel Pumps</t>
  </si>
  <si>
    <t>D3010.50</t>
  </si>
  <si>
    <t>Fuel Storage Tanks</t>
  </si>
  <si>
    <t>D3020</t>
  </si>
  <si>
    <t>Heating Systems</t>
  </si>
  <si>
    <t>D3020.10</t>
  </si>
  <si>
    <t>Heat Generation</t>
  </si>
  <si>
    <t>D3020.30</t>
  </si>
  <si>
    <t>Thermal Heat Storage</t>
  </si>
  <si>
    <t>D3020.70</t>
  </si>
  <si>
    <t>Decentralized Heating Equipment</t>
  </si>
  <si>
    <t>D3020.90</t>
  </si>
  <si>
    <t>Heating System Supplementary Components</t>
  </si>
  <si>
    <t>D3030</t>
  </si>
  <si>
    <t>Cooling Systems</t>
  </si>
  <si>
    <t>D3030.10</t>
  </si>
  <si>
    <t>Central Cooling</t>
  </si>
  <si>
    <t>D3030.30</t>
  </si>
  <si>
    <t>Evaporative Air-Cooling</t>
  </si>
  <si>
    <t>D3030.50</t>
  </si>
  <si>
    <t>Thermal Cooling Storage</t>
  </si>
  <si>
    <t>D3030.70</t>
  </si>
  <si>
    <t>Decentralized Cooling</t>
  </si>
  <si>
    <t>D3030.90</t>
  </si>
  <si>
    <t>Cooling System Supplementary Components</t>
  </si>
  <si>
    <t>D3050</t>
  </si>
  <si>
    <t>Facility HVAC Distribution Systems</t>
  </si>
  <si>
    <t>D3050.10</t>
  </si>
  <si>
    <t>Facility Hydronic Distribution</t>
  </si>
  <si>
    <t>D3050.30</t>
  </si>
  <si>
    <t>Facility Steam Distribution</t>
  </si>
  <si>
    <t>D3050.50</t>
  </si>
  <si>
    <t>HVAC Air Distribution</t>
  </si>
  <si>
    <t>D3050.90</t>
  </si>
  <si>
    <t>Facility Distribution Systems Supplementary Components</t>
  </si>
  <si>
    <t>D3060</t>
  </si>
  <si>
    <t>Ventilation</t>
  </si>
  <si>
    <t>D3060.10</t>
  </si>
  <si>
    <t>Supply Air</t>
  </si>
  <si>
    <t>D3060.20</t>
  </si>
  <si>
    <t>Return Air</t>
  </si>
  <si>
    <t>D3060.30</t>
  </si>
  <si>
    <t>Exhaust Air</t>
  </si>
  <si>
    <t>D3060.40</t>
  </si>
  <si>
    <t>Outside Air</t>
  </si>
  <si>
    <t>D3060.60</t>
  </si>
  <si>
    <t>Air-to-Air Energy Recovery</t>
  </si>
  <si>
    <t>D3060.70</t>
  </si>
  <si>
    <t>HVAC Air Cleaning</t>
  </si>
  <si>
    <t>D3060.90</t>
  </si>
  <si>
    <t>Ventilation Supplementary Components</t>
  </si>
  <si>
    <t>D3070</t>
  </si>
  <si>
    <t>Special Purpose HVAC Systems</t>
  </si>
  <si>
    <t>D3070.10</t>
  </si>
  <si>
    <t>Snow Melting</t>
  </si>
  <si>
    <t>D40</t>
  </si>
  <si>
    <t>Fire Protection</t>
  </si>
  <si>
    <t>D4010</t>
  </si>
  <si>
    <t>Fire Suppression</t>
  </si>
  <si>
    <t>D4010.10</t>
  </si>
  <si>
    <t>Water-Based Fire-Suppression</t>
  </si>
  <si>
    <t>D4010.50</t>
  </si>
  <si>
    <t>Fire-Extinguishing</t>
  </si>
  <si>
    <t>D4010.90</t>
  </si>
  <si>
    <t>Fire Suppression Supplementary Components</t>
  </si>
  <si>
    <t>D4030</t>
  </si>
  <si>
    <t>Fire Protection Specialties</t>
  </si>
  <si>
    <t>D4030.10</t>
  </si>
  <si>
    <t>Fire Protection Cabinets</t>
  </si>
  <si>
    <t>D4030.30</t>
  </si>
  <si>
    <t>Fire Extinguishers</t>
  </si>
  <si>
    <t>D4030.50</t>
  </si>
  <si>
    <t>Breathing Air Replenishment Systems</t>
  </si>
  <si>
    <t>D4030.70</t>
  </si>
  <si>
    <t>Fire Extinguisher Accessories</t>
  </si>
  <si>
    <t>D50</t>
  </si>
  <si>
    <t>Electrical</t>
  </si>
  <si>
    <t>D5010</t>
  </si>
  <si>
    <t>Facility Power Generation</t>
  </si>
  <si>
    <t>D5010.10</t>
  </si>
  <si>
    <t>Packaged Generator Assemblies</t>
  </si>
  <si>
    <t>D5010.20</t>
  </si>
  <si>
    <t>Battery Equipment</t>
  </si>
  <si>
    <t>D5010.30</t>
  </si>
  <si>
    <t>Photovoltaic Collectors</t>
  </si>
  <si>
    <t>D5010.40</t>
  </si>
  <si>
    <t>Fuel Cells</t>
  </si>
  <si>
    <t>D5010.60</t>
  </si>
  <si>
    <t>Power Filtering and Conditioning</t>
  </si>
  <si>
    <t>D5010.70</t>
  </si>
  <si>
    <t>Transfer Switches</t>
  </si>
  <si>
    <t>D5010.90</t>
  </si>
  <si>
    <t>Facility Power Generation Supplementary Components</t>
  </si>
  <si>
    <t>D5020</t>
  </si>
  <si>
    <t>Electrical Service and Distribution</t>
  </si>
  <si>
    <t>D5020.10</t>
  </si>
  <si>
    <t>Electrical Service</t>
  </si>
  <si>
    <t>D5020.30</t>
  </si>
  <si>
    <t>Power Distribution</t>
  </si>
  <si>
    <t>D5020.70</t>
  </si>
  <si>
    <t>Facility Grounding</t>
  </si>
  <si>
    <t>D5020.90</t>
  </si>
  <si>
    <t>Electrical Service and Distribution Supplementary Components</t>
  </si>
  <si>
    <t>D5030</t>
  </si>
  <si>
    <t>General Purpose Electrical Power</t>
  </si>
  <si>
    <t>D5030.10</t>
  </si>
  <si>
    <t>Branch Wiring System</t>
  </si>
  <si>
    <t>D5030.50</t>
  </si>
  <si>
    <t>Wiring Devices</t>
  </si>
  <si>
    <t>D5030.90</t>
  </si>
  <si>
    <t>General Purpose Electrical Power Supplementary Components</t>
  </si>
  <si>
    <t>D5040</t>
  </si>
  <si>
    <t>Lighting</t>
  </si>
  <si>
    <t>D5040.10</t>
  </si>
  <si>
    <t>Lighting Control</t>
  </si>
  <si>
    <t>D5040.20</t>
  </si>
  <si>
    <t>Branch Wiring for Lighting</t>
  </si>
  <si>
    <t>D5040.50</t>
  </si>
  <si>
    <t>Lighting Fixtures</t>
  </si>
  <si>
    <t>D5040.90</t>
  </si>
  <si>
    <t>Lighting Supplementary Components</t>
  </si>
  <si>
    <t>D5080</t>
  </si>
  <si>
    <t>Miscellaneous Electrical Systems</t>
  </si>
  <si>
    <t>D5080.10</t>
  </si>
  <si>
    <t>Lightning Protection</t>
  </si>
  <si>
    <t>D5080.40</t>
  </si>
  <si>
    <t>Cathodic Protection</t>
  </si>
  <si>
    <t>D5080.70</t>
  </si>
  <si>
    <t>Transient Voltage Suppression</t>
  </si>
  <si>
    <t>D5080.90</t>
  </si>
  <si>
    <t>Miscellaneous Electrical Systems Supplementary Components</t>
  </si>
  <si>
    <t>D60</t>
  </si>
  <si>
    <t>Communications</t>
  </si>
  <si>
    <t>D6010</t>
  </si>
  <si>
    <t>Data Communications</t>
  </si>
  <si>
    <t>D6010.10</t>
  </si>
  <si>
    <t>Data Communications Network Equipment</t>
  </si>
  <si>
    <t>D6010.20</t>
  </si>
  <si>
    <t>Data Communications Hardware</t>
  </si>
  <si>
    <t>D6010.30</t>
  </si>
  <si>
    <t>Data Communications Peripheral Data Equipment</t>
  </si>
  <si>
    <t>D6010.50</t>
  </si>
  <si>
    <t>Data Communications Software</t>
  </si>
  <si>
    <t>D6010.60</t>
  </si>
  <si>
    <t>Data Communication Program and Integration Services</t>
  </si>
  <si>
    <t>D6020</t>
  </si>
  <si>
    <t>Voice Communications</t>
  </si>
  <si>
    <t>D6020.10</t>
  </si>
  <si>
    <t>Voice Communications Switching and Routing Equipment</t>
  </si>
  <si>
    <t>D6020.20</t>
  </si>
  <si>
    <t>Voice Communications Terminal Equipment</t>
  </si>
  <si>
    <t>D6020.30</t>
  </si>
  <si>
    <t>Voice Communications Messaging</t>
  </si>
  <si>
    <t>D6020.40</t>
  </si>
  <si>
    <t>Call Accounting</t>
  </si>
  <si>
    <t>D6020.50</t>
  </si>
  <si>
    <t>Call Management</t>
  </si>
  <si>
    <t>D6030</t>
  </si>
  <si>
    <t>Audio-Video Communication</t>
  </si>
  <si>
    <t>D6030.10</t>
  </si>
  <si>
    <t>Audio-Video Systems</t>
  </si>
  <si>
    <t>D6030.50</t>
  </si>
  <si>
    <t>Electronic Digital Systems</t>
  </si>
  <si>
    <t>D6060</t>
  </si>
  <si>
    <t>Distributed Communications and Monitoring</t>
  </si>
  <si>
    <t>D6060.10</t>
  </si>
  <si>
    <t>Distributed Audio-Video</t>
  </si>
  <si>
    <t>D6060.30</t>
  </si>
  <si>
    <t>Healthcare Communications and Monitoring</t>
  </si>
  <si>
    <t>D6060.50</t>
  </si>
  <si>
    <t>Distributed Systems</t>
  </si>
  <si>
    <t>D6090</t>
  </si>
  <si>
    <t>Communications Supplementary Components</t>
  </si>
  <si>
    <t>D6090.10</t>
  </si>
  <si>
    <t>Supplementary Components</t>
  </si>
  <si>
    <t>D70</t>
  </si>
  <si>
    <t>Electronic Safety and Security</t>
  </si>
  <si>
    <t>D7010</t>
  </si>
  <si>
    <t>Access Control and Intrusion Detection</t>
  </si>
  <si>
    <t>D7010.10</t>
  </si>
  <si>
    <t>Access Control</t>
  </si>
  <si>
    <t>D7010.50</t>
  </si>
  <si>
    <t>Intrusion Detection</t>
  </si>
  <si>
    <t>D7030</t>
  </si>
  <si>
    <t>Electronic Surveillance</t>
  </si>
  <si>
    <t>D7030.10</t>
  </si>
  <si>
    <t>Video Surveillance</t>
  </si>
  <si>
    <t>D7030.50</t>
  </si>
  <si>
    <t>Electronic Personal Protection</t>
  </si>
  <si>
    <t>D7050</t>
  </si>
  <si>
    <t>Detection and Alarm</t>
  </si>
  <si>
    <t>D7050.10</t>
  </si>
  <si>
    <t>Fire Detection and Alarm</t>
  </si>
  <si>
    <t>D7050.20</t>
  </si>
  <si>
    <t>Radiation Detection and Alarm</t>
  </si>
  <si>
    <t>D7050.30</t>
  </si>
  <si>
    <t>Fuel-Gas Detection and Alarm</t>
  </si>
  <si>
    <t>D7050.40</t>
  </si>
  <si>
    <t>Fuel-Oil Detection and Alarm</t>
  </si>
  <si>
    <t>D7050.50</t>
  </si>
  <si>
    <t>Refrigeration Detection and Alarm</t>
  </si>
  <si>
    <t>D7050.60</t>
  </si>
  <si>
    <t>Water Intrusion Detection and Alarm</t>
  </si>
  <si>
    <t>D7070</t>
  </si>
  <si>
    <t>Electronic Monitoring and Control</t>
  </si>
  <si>
    <t>D7070.10</t>
  </si>
  <si>
    <t>Electronic Detention Monitoring and Control</t>
  </si>
  <si>
    <t>D7090</t>
  </si>
  <si>
    <t>Electronic Safety and Security Supplementary Components</t>
  </si>
  <si>
    <t>D7090.10</t>
  </si>
  <si>
    <t>D80</t>
  </si>
  <si>
    <t>Integrated Automation</t>
  </si>
  <si>
    <t>D8010</t>
  </si>
  <si>
    <t>Integrated Automation Facility Controls</t>
  </si>
  <si>
    <t>D8010.10</t>
  </si>
  <si>
    <t>Integrated Automation Control of Equipment</t>
  </si>
  <si>
    <t>D8010.20</t>
  </si>
  <si>
    <t>Integrated Automation Control of Conveying Equipment</t>
  </si>
  <si>
    <t>D8010.30</t>
  </si>
  <si>
    <t>Integrated Automation Control of Fire-Suppression Systems</t>
  </si>
  <si>
    <t>D8010.40</t>
  </si>
  <si>
    <t>Integrated Automation Control of Plumbing Systems</t>
  </si>
  <si>
    <t>D8010.50</t>
  </si>
  <si>
    <t>Integrated Automation Control of HVAC Systems</t>
  </si>
  <si>
    <t>D8010.60</t>
  </si>
  <si>
    <t>Integrated Automation Control of Electrical Systems</t>
  </si>
  <si>
    <t>D8010.70</t>
  </si>
  <si>
    <t>Integrated Automation Control of Communication Systems</t>
  </si>
  <si>
    <t>D8010.80</t>
  </si>
  <si>
    <t>Integrated Automation Control of Electronic Safety and Security Systems</t>
  </si>
  <si>
    <t>D8010.90</t>
  </si>
  <si>
    <t>Integrated Automation Supplementary Components</t>
  </si>
  <si>
    <t>E</t>
  </si>
  <si>
    <t>Equipment and Furnishings</t>
  </si>
  <si>
    <t>E10</t>
  </si>
  <si>
    <t>Equipment</t>
  </si>
  <si>
    <t>E1010</t>
  </si>
  <si>
    <t>Vehicle and Pedestrian Equipment</t>
  </si>
  <si>
    <t>E1010.10</t>
  </si>
  <si>
    <t>Vehicle Servicing Equipment</t>
  </si>
  <si>
    <t>E1010.30</t>
  </si>
  <si>
    <t>Interior Parking Control Equipment</t>
  </si>
  <si>
    <t>E1010.50</t>
  </si>
  <si>
    <t>Loading Dock Equipment</t>
  </si>
  <si>
    <t>E1010.70</t>
  </si>
  <si>
    <t>Interior Pedestrian Control Equipment</t>
  </si>
  <si>
    <t>E1030</t>
  </si>
  <si>
    <t>Commercial Equipment</t>
  </si>
  <si>
    <t>E1030.10</t>
  </si>
  <si>
    <t>Mercantile and Service Equipment</t>
  </si>
  <si>
    <t>E1030.20</t>
  </si>
  <si>
    <t>Vault Equipment</t>
  </si>
  <si>
    <t>E1030.25</t>
  </si>
  <si>
    <t>Teller and Service Equipment</t>
  </si>
  <si>
    <t>E1030.30</t>
  </si>
  <si>
    <t>Refrigerated Display Equipment</t>
  </si>
  <si>
    <t>E1030.35</t>
  </si>
  <si>
    <t>Commercial Laundry and and Dry Cleaning Equipment</t>
  </si>
  <si>
    <t>E1030.40</t>
  </si>
  <si>
    <t>Maintenance Equipment</t>
  </si>
  <si>
    <t>E1030.50</t>
  </si>
  <si>
    <t>Hospitality Equipment</t>
  </si>
  <si>
    <t>E1030.55</t>
  </si>
  <si>
    <t>Unit Kitchens</t>
  </si>
  <si>
    <t>E1030.60</t>
  </si>
  <si>
    <t>Photographic Processing Equipment</t>
  </si>
  <si>
    <t>E1030.70</t>
  </si>
  <si>
    <t>Postal, Packaging, and Shipping Equipment</t>
  </si>
  <si>
    <t>E1030.75</t>
  </si>
  <si>
    <t>Office Equipment</t>
  </si>
  <si>
    <t>E1030.80</t>
  </si>
  <si>
    <t>Foodservice Equipment</t>
  </si>
  <si>
    <t>E1040</t>
  </si>
  <si>
    <t>Institutional Equipment</t>
  </si>
  <si>
    <t>E1040.10</t>
  </si>
  <si>
    <t>Educational and Scientific Equipment</t>
  </si>
  <si>
    <t>E1040.20</t>
  </si>
  <si>
    <t>Healthcare Equipment</t>
  </si>
  <si>
    <t>E1040.40</t>
  </si>
  <si>
    <t>Religious Equipment</t>
  </si>
  <si>
    <t>E1040.60</t>
  </si>
  <si>
    <t>Security Equipment</t>
  </si>
  <si>
    <t>E1040.70</t>
  </si>
  <si>
    <t>Detention Equipment</t>
  </si>
  <si>
    <t>E1060</t>
  </si>
  <si>
    <t>Residential Equipment</t>
  </si>
  <si>
    <t>E1060.10</t>
  </si>
  <si>
    <t>Residential Appliances</t>
  </si>
  <si>
    <t>E1060.50</t>
  </si>
  <si>
    <t>Retractable Stairs</t>
  </si>
  <si>
    <t>E1060.70</t>
  </si>
  <si>
    <t>Residential Ceiling Fans</t>
  </si>
  <si>
    <t>E1070</t>
  </si>
  <si>
    <t>Entertainment and Recreational Equipment</t>
  </si>
  <si>
    <t>E1070.10</t>
  </si>
  <si>
    <t>Theater and Stage Equipment</t>
  </si>
  <si>
    <t>E1070.20</t>
  </si>
  <si>
    <t>Musical Equipment</t>
  </si>
  <si>
    <t>E1070.50</t>
  </si>
  <si>
    <t>Athletic Equipment</t>
  </si>
  <si>
    <t>E1070.60</t>
  </si>
  <si>
    <t>Recreational Equipment</t>
  </si>
  <si>
    <t>E1090</t>
  </si>
  <si>
    <t>Other Equipment</t>
  </si>
  <si>
    <t>E1090.10</t>
  </si>
  <si>
    <t>Solid Waste Handling Equipment</t>
  </si>
  <si>
    <t>E1090.30</t>
  </si>
  <si>
    <t>Agricultural Equipment</t>
  </si>
  <si>
    <t>E1090.40</t>
  </si>
  <si>
    <t>Horticultural Equipment</t>
  </si>
  <si>
    <t>E1090.60</t>
  </si>
  <si>
    <t>Decontamination Equipment</t>
  </si>
  <si>
    <t>E20</t>
  </si>
  <si>
    <t>Furnishings</t>
  </si>
  <si>
    <t>E2010</t>
  </si>
  <si>
    <t>Fixed Furnishings</t>
  </si>
  <si>
    <t>E2010.10</t>
  </si>
  <si>
    <t>Fixed Art</t>
  </si>
  <si>
    <t>E2010.20</t>
  </si>
  <si>
    <t>Window Treatments</t>
  </si>
  <si>
    <t>E2010.30</t>
  </si>
  <si>
    <t>Casework</t>
  </si>
  <si>
    <t>E2010.70</t>
  </si>
  <si>
    <t>Fixed Multiple Seating</t>
  </si>
  <si>
    <t>E2010.90</t>
  </si>
  <si>
    <t>Other Fixed Furnishings</t>
  </si>
  <si>
    <t>E2050</t>
  </si>
  <si>
    <t>Movable Furnishings</t>
  </si>
  <si>
    <t>E2050.10</t>
  </si>
  <si>
    <t>Movable Art</t>
  </si>
  <si>
    <t>E2050.30</t>
  </si>
  <si>
    <t>Furniture</t>
  </si>
  <si>
    <t>E2050.40</t>
  </si>
  <si>
    <t>Accessories</t>
  </si>
  <si>
    <t>E2050.60</t>
  </si>
  <si>
    <t>Movable Multiple Seating</t>
  </si>
  <si>
    <t>E2050.90</t>
  </si>
  <si>
    <t>Other Movable Furnishings</t>
  </si>
  <si>
    <t>F</t>
  </si>
  <si>
    <t>Special Construction and Demolition</t>
  </si>
  <si>
    <t>F10</t>
  </si>
  <si>
    <t>Special Construction</t>
  </si>
  <si>
    <t>F1010</t>
  </si>
  <si>
    <t>Integrated Construction</t>
  </si>
  <si>
    <t>F1010.10</t>
  </si>
  <si>
    <t>Building Modules</t>
  </si>
  <si>
    <t>F1010.50</t>
  </si>
  <si>
    <t>Manufactured/Fabricated Rooms</t>
  </si>
  <si>
    <t>F1010.70</t>
  </si>
  <si>
    <t>Modular Mezzanines</t>
  </si>
  <si>
    <t>F1020</t>
  </si>
  <si>
    <t>Special Structures</t>
  </si>
  <si>
    <t>F1020.10</t>
  </si>
  <si>
    <t>Fabric Structures</t>
  </si>
  <si>
    <t>F1020.20</t>
  </si>
  <si>
    <t>Space Frames</t>
  </si>
  <si>
    <t>F1020.30</t>
  </si>
  <si>
    <t>Geodesic Structures</t>
  </si>
  <si>
    <t>F1020.40</t>
  </si>
  <si>
    <t>Manufacturer-Engineered Structures</t>
  </si>
  <si>
    <t>F1020.60</t>
  </si>
  <si>
    <t>Manufactured Canopies</t>
  </si>
  <si>
    <t>F1020.65</t>
  </si>
  <si>
    <t>Rammed Earth Construction</t>
  </si>
  <si>
    <t>F1020.70</t>
  </si>
  <si>
    <t>Towers</t>
  </si>
  <si>
    <t>F1030</t>
  </si>
  <si>
    <t>Special Function Construction</t>
  </si>
  <si>
    <t>F1030.10</t>
  </si>
  <si>
    <t>Sound and Vibration Control</t>
  </si>
  <si>
    <t>F1030.30</t>
  </si>
  <si>
    <t>Seismic Control</t>
  </si>
  <si>
    <t>F1030.50</t>
  </si>
  <si>
    <t>Radiation Protection</t>
  </si>
  <si>
    <t>F1050</t>
  </si>
  <si>
    <t>Special Facility Components</t>
  </si>
  <si>
    <t>F1050.10</t>
  </si>
  <si>
    <t>Pools</t>
  </si>
  <si>
    <t>F1050.20</t>
  </si>
  <si>
    <t>Interior Fountains</t>
  </si>
  <si>
    <t>F1050.30</t>
  </si>
  <si>
    <t>Interior Water Features</t>
  </si>
  <si>
    <t>F1050.40</t>
  </si>
  <si>
    <t>Aquariums</t>
  </si>
  <si>
    <t>F1050.50</t>
  </si>
  <si>
    <t>Amusement Park Structures and Equipment</t>
  </si>
  <si>
    <t>F1050.60</t>
  </si>
  <si>
    <t>Ice Rinks</t>
  </si>
  <si>
    <t>F1050.70</t>
  </si>
  <si>
    <t>Animal Containment</t>
  </si>
  <si>
    <t>F1060</t>
  </si>
  <si>
    <t>Athletic and Recreational Special Construction</t>
  </si>
  <si>
    <t>F1060.10</t>
  </si>
  <si>
    <t>Indoor Soccer Boards</t>
  </si>
  <si>
    <t>F1060.20</t>
  </si>
  <si>
    <t>Safety Netting</t>
  </si>
  <si>
    <t>F1060.30</t>
  </si>
  <si>
    <t>Arena Football Boards</t>
  </si>
  <si>
    <t>F1060.40</t>
  </si>
  <si>
    <t>Floor Sockets</t>
  </si>
  <si>
    <t>F1060.50</t>
  </si>
  <si>
    <t>Athletic and Recreational Court Walls</t>
  </si>
  <si>
    <t>F1060.60</t>
  </si>
  <si>
    <t>Demountable Athletic Surfaces</t>
  </si>
  <si>
    <t>F1080</t>
  </si>
  <si>
    <t>Special Instrumentation</t>
  </si>
  <si>
    <t>F1080.10</t>
  </si>
  <si>
    <t>Stress Instrumentation</t>
  </si>
  <si>
    <t>F1080.20</t>
  </si>
  <si>
    <t>Seismic Instrumentation</t>
  </si>
  <si>
    <t>F1080.40</t>
  </si>
  <si>
    <t>Meteorological Instrumentation</t>
  </si>
  <si>
    <t>F1080.60</t>
  </si>
  <si>
    <t>Earth Movement Monitoring</t>
  </si>
  <si>
    <t>F20</t>
  </si>
  <si>
    <t>Facility Remediation</t>
  </si>
  <si>
    <t>F2010</t>
  </si>
  <si>
    <t>Hazardous Materials Remediation</t>
  </si>
  <si>
    <t>F2010.10</t>
  </si>
  <si>
    <t>Transportation and Disposal of Hazardous Materials</t>
  </si>
  <si>
    <t>F2010.20</t>
  </si>
  <si>
    <t>Asbestos Remediation</t>
  </si>
  <si>
    <t>F2010.30</t>
  </si>
  <si>
    <t>Lead Remediation</t>
  </si>
  <si>
    <t>F2010.40</t>
  </si>
  <si>
    <t>Polychlorinate Biphenyl Remediation</t>
  </si>
  <si>
    <t>F2010.50</t>
  </si>
  <si>
    <t>Mold Remediation</t>
  </si>
  <si>
    <t>F30</t>
  </si>
  <si>
    <t>Demolition</t>
  </si>
  <si>
    <t>F3010</t>
  </si>
  <si>
    <t>Structure Demolition</t>
  </si>
  <si>
    <t>F3010.10</t>
  </si>
  <si>
    <t>Building Demolition</t>
  </si>
  <si>
    <t>F3010.30</t>
  </si>
  <si>
    <t>Tower Demolition</t>
  </si>
  <si>
    <t>F3010.50</t>
  </si>
  <si>
    <t>Bridge Demolition</t>
  </si>
  <si>
    <t>F3010.70</t>
  </si>
  <si>
    <t>Dam Demolition</t>
  </si>
  <si>
    <t>F3030</t>
  </si>
  <si>
    <t>Selective Demolition</t>
  </si>
  <si>
    <t>F3030.10</t>
  </si>
  <si>
    <t>Selective Building Demolition</t>
  </si>
  <si>
    <t>F3030.30</t>
  </si>
  <si>
    <t>Selective Interior Demolition</t>
  </si>
  <si>
    <t>F3030.50</t>
  </si>
  <si>
    <t>Selective Bridge Demolition</t>
  </si>
  <si>
    <t>F3030.70</t>
  </si>
  <si>
    <t>Selective Historic Demolition</t>
  </si>
  <si>
    <t>F3050</t>
  </si>
  <si>
    <t>Structure Moving</t>
  </si>
  <si>
    <t>F3050.10</t>
  </si>
  <si>
    <t>Structure Relocation</t>
  </si>
  <si>
    <t>F3050.30</t>
  </si>
  <si>
    <t>Structure Raising</t>
  </si>
  <si>
    <t>G</t>
  </si>
  <si>
    <t>Sitework</t>
  </si>
  <si>
    <t>G10</t>
  </si>
  <si>
    <t>Site Preparation</t>
  </si>
  <si>
    <t>G1010</t>
  </si>
  <si>
    <t>Site Clearing</t>
  </si>
  <si>
    <t>G1010.10</t>
  </si>
  <si>
    <t>Clearing and Grubbing</t>
  </si>
  <si>
    <t>G1010.30</t>
  </si>
  <si>
    <t>Tree and Shrub Removal and Trimming</t>
  </si>
  <si>
    <t>G1010.50</t>
  </si>
  <si>
    <t>Earth Stripping and Stockpiling</t>
  </si>
  <si>
    <t>G1020</t>
  </si>
  <si>
    <t>Site Elements Demolition</t>
  </si>
  <si>
    <t>G1020.10</t>
  </si>
  <si>
    <t>Utility Demolition</t>
  </si>
  <si>
    <t>G1020.30</t>
  </si>
  <si>
    <t>Infrastructure Demolition</t>
  </si>
  <si>
    <t>G1020.50</t>
  </si>
  <si>
    <t>Selective Site Demolition</t>
  </si>
  <si>
    <t>G1030</t>
  </si>
  <si>
    <t>Site Element Relocations</t>
  </si>
  <si>
    <t>G1030.10</t>
  </si>
  <si>
    <t>Utility Relocation</t>
  </si>
  <si>
    <t>G1050</t>
  </si>
  <si>
    <t>Site Remediation</t>
  </si>
  <si>
    <t>G1050.10</t>
  </si>
  <si>
    <t>Physical Decontamination</t>
  </si>
  <si>
    <t>G1050.15</t>
  </si>
  <si>
    <t>Chemical Decontamination</t>
  </si>
  <si>
    <t>G1050.20</t>
  </si>
  <si>
    <t>Thermal Decontamination</t>
  </si>
  <si>
    <t>G1050.25</t>
  </si>
  <si>
    <t>Biological Decontamination</t>
  </si>
  <si>
    <t>G1050.30</t>
  </si>
  <si>
    <t>Remediation Soil Stabilization</t>
  </si>
  <si>
    <t>G1050.40</t>
  </si>
  <si>
    <t>Site Containment</t>
  </si>
  <si>
    <t>G1050.45</t>
  </si>
  <si>
    <t>Sinkhole Remediation</t>
  </si>
  <si>
    <t>G1050.50</t>
  </si>
  <si>
    <t>Hazardous Waste Drum Handling</t>
  </si>
  <si>
    <t>G1050.60</t>
  </si>
  <si>
    <t>Contaminated Site Material Removal</t>
  </si>
  <si>
    <t>G1050.80</t>
  </si>
  <si>
    <t>Water Remediation</t>
  </si>
  <si>
    <t>G1070</t>
  </si>
  <si>
    <t>Site Earthwork</t>
  </si>
  <si>
    <t>G1070.10</t>
  </si>
  <si>
    <t>Grading</t>
  </si>
  <si>
    <t>G1070.20</t>
  </si>
  <si>
    <t>Excavation and Fill</t>
  </si>
  <si>
    <t>G1070.30</t>
  </si>
  <si>
    <t>Embankments</t>
  </si>
  <si>
    <t>G1070.35</t>
  </si>
  <si>
    <t>Erosion and Sedimentation Controls</t>
  </si>
  <si>
    <t>G1070.40</t>
  </si>
  <si>
    <t>Soil Stabilization</t>
  </si>
  <si>
    <t>G1070.45</t>
  </si>
  <si>
    <t>Rock Stabilization</t>
  </si>
  <si>
    <t>G1070.50</t>
  </si>
  <si>
    <t>Soil Reinforcement</t>
  </si>
  <si>
    <t>G1070.55</t>
  </si>
  <si>
    <t>Slope Protection</t>
  </si>
  <si>
    <t>G1070.60</t>
  </si>
  <si>
    <t>Gabions</t>
  </si>
  <si>
    <t>G1070.65</t>
  </si>
  <si>
    <t>Riprap</t>
  </si>
  <si>
    <t>G1070.70</t>
  </si>
  <si>
    <t>Wetlands</t>
  </si>
  <si>
    <t>G1070.80</t>
  </si>
  <si>
    <t>Earth Dams</t>
  </si>
  <si>
    <t>G1070.90</t>
  </si>
  <si>
    <t>Site Soil Treatment</t>
  </si>
  <si>
    <t>G20</t>
  </si>
  <si>
    <t>Site Improvements</t>
  </si>
  <si>
    <t>G2010</t>
  </si>
  <si>
    <t>Roadways</t>
  </si>
  <si>
    <t>G2010.10</t>
  </si>
  <si>
    <t>Roadway Pavement</t>
  </si>
  <si>
    <t>G2010.20</t>
  </si>
  <si>
    <t>Roadway Curbs and Gutters</t>
  </si>
  <si>
    <t>G2010.40</t>
  </si>
  <si>
    <t>Roadway Appurtenances</t>
  </si>
  <si>
    <t>G2010.70</t>
  </si>
  <si>
    <t>Roadway Lighting</t>
  </si>
  <si>
    <t>G2010.80</t>
  </si>
  <si>
    <t>Vehicle Fare Collection</t>
  </si>
  <si>
    <t>G2020</t>
  </si>
  <si>
    <t>Parking Lots</t>
  </si>
  <si>
    <t>G2020.10</t>
  </si>
  <si>
    <t>Parking Lot Pavement</t>
  </si>
  <si>
    <t>G2020.20</t>
  </si>
  <si>
    <t>Parking Lot Curbs and Gutters</t>
  </si>
  <si>
    <t>G2020.40</t>
  </si>
  <si>
    <t>Parking Lot Appurtenances</t>
  </si>
  <si>
    <t>G2020.70</t>
  </si>
  <si>
    <t>Parking Lot Lighting</t>
  </si>
  <si>
    <t>G2020.80</t>
  </si>
  <si>
    <t>Exterior Parking Control Equipment</t>
  </si>
  <si>
    <t>G2030</t>
  </si>
  <si>
    <t>Pedestrian Plazas and Walkways</t>
  </si>
  <si>
    <t>G2030.10</t>
  </si>
  <si>
    <t>Pedestrian Pavement</t>
  </si>
  <si>
    <t>G2030.20</t>
  </si>
  <si>
    <t>Pedestrian Pavement Curbs and Gutters</t>
  </si>
  <si>
    <t>G2030.30</t>
  </si>
  <si>
    <t>Exterior Steps and Ramps</t>
  </si>
  <si>
    <t>G2030.40</t>
  </si>
  <si>
    <t>Pedestrian Pavement Appurtenances</t>
  </si>
  <si>
    <t>G2030.70</t>
  </si>
  <si>
    <t>Plaza and Walkway Lighting</t>
  </si>
  <si>
    <t>G2030.80</t>
  </si>
  <si>
    <t>Exterior Pedestrian Control Equipment</t>
  </si>
  <si>
    <t>G2040</t>
  </si>
  <si>
    <t>Airfields</t>
  </si>
  <si>
    <t>G2040.10</t>
  </si>
  <si>
    <t>Aviation Pavement</t>
  </si>
  <si>
    <t>G2040.20</t>
  </si>
  <si>
    <t>Aviation Pavement Curbs and Gutters</t>
  </si>
  <si>
    <t>G2040.40</t>
  </si>
  <si>
    <t>Aviation Pavement Appurtenances</t>
  </si>
  <si>
    <t>G2040.70</t>
  </si>
  <si>
    <t>Airfield Lighting</t>
  </si>
  <si>
    <t>G2040.80</t>
  </si>
  <si>
    <t>Airfield Signaling and Control Equipment</t>
  </si>
  <si>
    <t>G2050</t>
  </si>
  <si>
    <t>Athletic, Recreational, and Playfield Areas</t>
  </si>
  <si>
    <t>G2050.10</t>
  </si>
  <si>
    <t>Athletic Areas</t>
  </si>
  <si>
    <t>G2050.30</t>
  </si>
  <si>
    <t>Recreational Areas</t>
  </si>
  <si>
    <t>G2050.50</t>
  </si>
  <si>
    <t>Playfield Areas</t>
  </si>
  <si>
    <t>G2060</t>
  </si>
  <si>
    <t>Site Development</t>
  </si>
  <si>
    <t>G2060.10</t>
  </si>
  <si>
    <t>Exterior Fountains</t>
  </si>
  <si>
    <t>G2060.20</t>
  </si>
  <si>
    <t>Fences and Gates</t>
  </si>
  <si>
    <t>G2060.25</t>
  </si>
  <si>
    <t>Site Furnishings</t>
  </si>
  <si>
    <t>G2060.30</t>
  </si>
  <si>
    <t>Exterior Signage</t>
  </si>
  <si>
    <t>G2060.35</t>
  </si>
  <si>
    <t>Flagpoles</t>
  </si>
  <si>
    <t>G2060.40</t>
  </si>
  <si>
    <t>Covers and Shelters</t>
  </si>
  <si>
    <t>G2060.45</t>
  </si>
  <si>
    <t>Exterior Gas Lighting</t>
  </si>
  <si>
    <t>G2060.50</t>
  </si>
  <si>
    <t>Site Equipment</t>
  </si>
  <si>
    <t>G2060.60</t>
  </si>
  <si>
    <t>Retaining Walls</t>
  </si>
  <si>
    <t>G2060.70</t>
  </si>
  <si>
    <t>Site Bridges</t>
  </si>
  <si>
    <t>G2060.80</t>
  </si>
  <si>
    <t>Site Screening Devices</t>
  </si>
  <si>
    <t>G2060.85</t>
  </si>
  <si>
    <t>Site Specialties</t>
  </si>
  <si>
    <t>G2080</t>
  </si>
  <si>
    <t>Landscaping</t>
  </si>
  <si>
    <t>G2080.10</t>
  </si>
  <si>
    <t>Planting Irrigation</t>
  </si>
  <si>
    <t>G2080.20</t>
  </si>
  <si>
    <t>Turf and Grasses</t>
  </si>
  <si>
    <t>G2080.30</t>
  </si>
  <si>
    <t>Plants</t>
  </si>
  <si>
    <t>G2080.50</t>
  </si>
  <si>
    <t>Planting Accessories</t>
  </si>
  <si>
    <t>G2080.70</t>
  </si>
  <si>
    <t>Landscape Lighting</t>
  </si>
  <si>
    <t>G2080.80</t>
  </si>
  <si>
    <t>Landscaping Activities</t>
  </si>
  <si>
    <t>G30</t>
  </si>
  <si>
    <t>Liquid and Gas Site Utilities</t>
  </si>
  <si>
    <t>G3010</t>
  </si>
  <si>
    <t>Water Utilities</t>
  </si>
  <si>
    <t>G3010.10</t>
  </si>
  <si>
    <t>Site Domestic Water Distribution</t>
  </si>
  <si>
    <t>G3010.30</t>
  </si>
  <si>
    <t>Site Fire Protection Water Distribution</t>
  </si>
  <si>
    <t>G3010.50</t>
  </si>
  <si>
    <t>Site Irrigation Water Distribution</t>
  </si>
  <si>
    <t>G3020</t>
  </si>
  <si>
    <t>Sanitary Sewerage Utilities</t>
  </si>
  <si>
    <t>G3020.10</t>
  </si>
  <si>
    <t>Sanitary Sewerage Utility Connection</t>
  </si>
  <si>
    <t>G3020.20</t>
  </si>
  <si>
    <t>G3020.40</t>
  </si>
  <si>
    <t>Utility Septic Tanks</t>
  </si>
  <si>
    <t>G3020.50</t>
  </si>
  <si>
    <t>Sanitary Sewerage Structures</t>
  </si>
  <si>
    <t>G3020.60</t>
  </si>
  <si>
    <t>Sanitary Sewerage Lagoons</t>
  </si>
  <si>
    <t>G3030</t>
  </si>
  <si>
    <t>Storm Drainage Utilities</t>
  </si>
  <si>
    <t>G3030.10</t>
  </si>
  <si>
    <t>Storm Drainage Utility Connection</t>
  </si>
  <si>
    <t>G3030.20</t>
  </si>
  <si>
    <t>Storm Drainage Piping</t>
  </si>
  <si>
    <t>G3030.30</t>
  </si>
  <si>
    <t>Culverts</t>
  </si>
  <si>
    <t>G3030.40</t>
  </si>
  <si>
    <t>Site Storm Water Drains</t>
  </si>
  <si>
    <t>G3030.50</t>
  </si>
  <si>
    <t>Storm Drainage Pumps</t>
  </si>
  <si>
    <t>G3030.60</t>
  </si>
  <si>
    <t>Site Subdrainage</t>
  </si>
  <si>
    <t>G3030.70</t>
  </si>
  <si>
    <t>Storm Drainage Ponds and Reservoirs</t>
  </si>
  <si>
    <t>G3050</t>
  </si>
  <si>
    <t>Site Energy Distribution</t>
  </si>
  <si>
    <t>G3050.10</t>
  </si>
  <si>
    <t>Site Hydronic Heating Distribution</t>
  </si>
  <si>
    <t>G3050.20</t>
  </si>
  <si>
    <t>Site Steam Energy Distribution</t>
  </si>
  <si>
    <t>G3050.40</t>
  </si>
  <si>
    <t>Site Hydronic Cooling Distribution</t>
  </si>
  <si>
    <t>G3060</t>
  </si>
  <si>
    <t>Site Fuel Distribution</t>
  </si>
  <si>
    <t>G3060.10</t>
  </si>
  <si>
    <t>Site Gas Distribution</t>
  </si>
  <si>
    <t>G3060.20</t>
  </si>
  <si>
    <t>Site Fuel-Oil Distribution</t>
  </si>
  <si>
    <t>G3060.30</t>
  </si>
  <si>
    <t>Site Gasoline Distribution</t>
  </si>
  <si>
    <t>G3060.40</t>
  </si>
  <si>
    <t>Site Diesel Fuel Distribution</t>
  </si>
  <si>
    <t>G3060.60</t>
  </si>
  <si>
    <t>Site Aviation Fuel Distribution</t>
  </si>
  <si>
    <t>G3090</t>
  </si>
  <si>
    <t>Liquid and Gas Site Utilities Supplementary Components</t>
  </si>
  <si>
    <t>G3090.10</t>
  </si>
  <si>
    <t>G40</t>
  </si>
  <si>
    <t>Electrical Site Improvements</t>
  </si>
  <si>
    <t>G4010</t>
  </si>
  <si>
    <t>Site Electric Distribution Systems</t>
  </si>
  <si>
    <t>G4010.10</t>
  </si>
  <si>
    <t>Electrical Utility Services</t>
  </si>
  <si>
    <t>G4010.20</t>
  </si>
  <si>
    <t>Electric Transmission and Distribution</t>
  </si>
  <si>
    <t>G4010.30</t>
  </si>
  <si>
    <t>Electrical Substations</t>
  </si>
  <si>
    <t>G4010.40</t>
  </si>
  <si>
    <t>Electrical Transformers</t>
  </si>
  <si>
    <t>G4010.50</t>
  </si>
  <si>
    <t>Electrical Switchgear and Protection Devices</t>
  </si>
  <si>
    <t>G4010.70</t>
  </si>
  <si>
    <t>Site Grounding</t>
  </si>
  <si>
    <t>G4010.90</t>
  </si>
  <si>
    <t>Electrical Distribution System Instrumentation and Controls</t>
  </si>
  <si>
    <t>G4050</t>
  </si>
  <si>
    <t>Site Lighting</t>
  </si>
  <si>
    <t>G4050.10</t>
  </si>
  <si>
    <t>Area Lighting</t>
  </si>
  <si>
    <t>G4050.20</t>
  </si>
  <si>
    <t>Flood Lighting</t>
  </si>
  <si>
    <t>G4050.50</t>
  </si>
  <si>
    <t>Building Illumination</t>
  </si>
  <si>
    <t>G4050.90</t>
  </si>
  <si>
    <t>Exterior Lighting Supplementary Components</t>
  </si>
  <si>
    <t>G50</t>
  </si>
  <si>
    <t>Site Communications</t>
  </si>
  <si>
    <t>G5010</t>
  </si>
  <si>
    <t>Site Communications Systems</t>
  </si>
  <si>
    <t>G5010.10</t>
  </si>
  <si>
    <t>Site Communications Structures</t>
  </si>
  <si>
    <t>G5010.30</t>
  </si>
  <si>
    <t>Site Communications Distribution</t>
  </si>
  <si>
    <t>G5010.50</t>
  </si>
  <si>
    <t>Wireless Communications Distribution</t>
  </si>
  <si>
    <t>G90</t>
  </si>
  <si>
    <t>Miscellaneous Site Construction</t>
  </si>
  <si>
    <t>G9010</t>
  </si>
  <si>
    <t>Tunnels</t>
  </si>
  <si>
    <t>G9010.10</t>
  </si>
  <si>
    <t>Vehicular Tunnels</t>
  </si>
  <si>
    <t>G9010.20</t>
  </si>
  <si>
    <t>Pedestrian Tunnels</t>
  </si>
  <si>
    <t>G9010.40</t>
  </si>
  <si>
    <t>Service Tunnels</t>
  </si>
  <si>
    <t>G9010.90</t>
  </si>
  <si>
    <t>Tunnel Construction Related Activities</t>
  </si>
  <si>
    <t>Z</t>
  </si>
  <si>
    <t>General</t>
  </si>
  <si>
    <t>Z10</t>
  </si>
  <si>
    <t>General Requirements</t>
  </si>
  <si>
    <t>Z1010</t>
  </si>
  <si>
    <t>Price and Payment Procedures</t>
  </si>
  <si>
    <t>Z1010.10</t>
  </si>
  <si>
    <t>Allowances</t>
  </si>
  <si>
    <t>Z1010.20</t>
  </si>
  <si>
    <t>Unit Prices</t>
  </si>
  <si>
    <t>Z1010.30</t>
  </si>
  <si>
    <t>Alternates</t>
  </si>
  <si>
    <t>Z1010.40</t>
  </si>
  <si>
    <t>Value Analysis</t>
  </si>
  <si>
    <t>Z1010.50</t>
  </si>
  <si>
    <t>Substitution Procedures</t>
  </si>
  <si>
    <t>Z1010.60</t>
  </si>
  <si>
    <t>Contract Modification Procedures</t>
  </si>
  <si>
    <t>Z1010.70</t>
  </si>
  <si>
    <t>Payment Procedures</t>
  </si>
  <si>
    <t>Z1020</t>
  </si>
  <si>
    <t>Administrative Requirements</t>
  </si>
  <si>
    <t>Z1020.10</t>
  </si>
  <si>
    <t>Project Management and Coordination</t>
  </si>
  <si>
    <t>Z1020.30</t>
  </si>
  <si>
    <t>Construction Progress Documentation</t>
  </si>
  <si>
    <t>Z1020.50</t>
  </si>
  <si>
    <t>Submittal Procedures</t>
  </si>
  <si>
    <t>Z1020.70</t>
  </si>
  <si>
    <t>Special Procedures</t>
  </si>
  <si>
    <t>Z1040</t>
  </si>
  <si>
    <t>Quality Requirements</t>
  </si>
  <si>
    <t>Z1040.10</t>
  </si>
  <si>
    <t>Regulatory Requirements</t>
  </si>
  <si>
    <t>Z1040.30</t>
  </si>
  <si>
    <t>References</t>
  </si>
  <si>
    <t>Z1040.40</t>
  </si>
  <si>
    <t>Quality Assurance</t>
  </si>
  <si>
    <t>Z1040.80</t>
  </si>
  <si>
    <t>Quality Control</t>
  </si>
  <si>
    <t>Z1050</t>
  </si>
  <si>
    <t>Temporary Facilities and Controls</t>
  </si>
  <si>
    <t>Z1050.10</t>
  </si>
  <si>
    <t>Temporary Utilities</t>
  </si>
  <si>
    <t>Z1050.20</t>
  </si>
  <si>
    <t>Construction Facilities</t>
  </si>
  <si>
    <t>Z1050.25</t>
  </si>
  <si>
    <t>Temporary Construction</t>
  </si>
  <si>
    <t>Z1050.30</t>
  </si>
  <si>
    <t>Construction Aids</t>
  </si>
  <si>
    <t>Z1050.35</t>
  </si>
  <si>
    <t>Temporary Vehicular Access and Parking</t>
  </si>
  <si>
    <t>Z1050.40</t>
  </si>
  <si>
    <t>Temporary Barriers and Enclosures</t>
  </si>
  <si>
    <t>Z1050.50</t>
  </si>
  <si>
    <t>Temporary Controls</t>
  </si>
  <si>
    <t>Z1050.70</t>
  </si>
  <si>
    <t>Project Identification</t>
  </si>
  <si>
    <t>Z1060</t>
  </si>
  <si>
    <t>Product Requirements</t>
  </si>
  <si>
    <t>Z1060.10</t>
  </si>
  <si>
    <t>Common Product Requirements</t>
  </si>
  <si>
    <t>Z1060.20</t>
  </si>
  <si>
    <t>Product Options</t>
  </si>
  <si>
    <t>Z1060.30</t>
  </si>
  <si>
    <t>Owner-Furnished Products</t>
  </si>
  <si>
    <t>Z1060.40</t>
  </si>
  <si>
    <t>Product Delivery Requirements</t>
  </si>
  <si>
    <t>Z1060.50</t>
  </si>
  <si>
    <t>Product Storage and Handling Requirements</t>
  </si>
  <si>
    <t>Z1070</t>
  </si>
  <si>
    <t>Execution and Closeout Requirements</t>
  </si>
  <si>
    <t>Z1070.10</t>
  </si>
  <si>
    <t>Examination and Preparation</t>
  </si>
  <si>
    <t>Z1070.20</t>
  </si>
  <si>
    <t>Execution</t>
  </si>
  <si>
    <t>Z1070.30</t>
  </si>
  <si>
    <t>Cleaning and Waste Management</t>
  </si>
  <si>
    <t>Z1070.40</t>
  </si>
  <si>
    <t>Starting and Adjusting</t>
  </si>
  <si>
    <t>Z1070.50</t>
  </si>
  <si>
    <t>Protecting Installed Construction</t>
  </si>
  <si>
    <t>Z1070.60</t>
  </si>
  <si>
    <t>Closeout Procedures</t>
  </si>
  <si>
    <t>Z1070.70</t>
  </si>
  <si>
    <t>Closeout Submittals</t>
  </si>
  <si>
    <t>Z1070.80</t>
  </si>
  <si>
    <t>Demonstration and Training</t>
  </si>
  <si>
    <t>Z1090</t>
  </si>
  <si>
    <t>Life Cycle Activities</t>
  </si>
  <si>
    <t>Z1090.10</t>
  </si>
  <si>
    <t>Commissioning</t>
  </si>
  <si>
    <t>Z1090.30</t>
  </si>
  <si>
    <t>Facility Operation</t>
  </si>
  <si>
    <t>Z1090.50</t>
  </si>
  <si>
    <t>Facility Maintenance</t>
  </si>
  <si>
    <t>Z1090.80</t>
  </si>
  <si>
    <t>Facility Decommissioning</t>
  </si>
  <si>
    <t>Z70</t>
  </si>
  <si>
    <t>Taxes, Permits, Insurance and Bonds</t>
  </si>
  <si>
    <t>Z7010</t>
  </si>
  <si>
    <t>Taxes</t>
  </si>
  <si>
    <t>Z7030</t>
  </si>
  <si>
    <t>License Fees</t>
  </si>
  <si>
    <t>Z7050</t>
  </si>
  <si>
    <t>Permit Costs</t>
  </si>
  <si>
    <t>Z7070</t>
  </si>
  <si>
    <t>Bond Fees</t>
  </si>
  <si>
    <t>Z90</t>
  </si>
  <si>
    <t>Fees and Contingencies</t>
  </si>
  <si>
    <t>Z9010</t>
  </si>
  <si>
    <t>Overhead</t>
  </si>
  <si>
    <t>Z9030</t>
  </si>
  <si>
    <t>Profit</t>
  </si>
  <si>
    <t>Z9050</t>
  </si>
  <si>
    <t>Construction Contingencies</t>
  </si>
  <si>
    <t>Z9050.10</t>
  </si>
  <si>
    <t>Design Contingencies</t>
  </si>
  <si>
    <t>Z9050.30</t>
  </si>
  <si>
    <t>Bidding Contingencies</t>
  </si>
  <si>
    <t>Z9050.50</t>
  </si>
  <si>
    <t>Escalation Contingencies</t>
  </si>
  <si>
    <t>Z9090</t>
  </si>
  <si>
    <t>Financing Costs</t>
  </si>
  <si>
    <t>UniFormat (CSI)</t>
  </si>
  <si>
    <t>MasterFormat</t>
  </si>
  <si>
    <t>Master List of Numbers and Titles Classified by Work Results (2010 Edition)</t>
  </si>
  <si>
    <t>Project Coordination</t>
  </si>
  <si>
    <t>Facility Services Coordination</t>
  </si>
  <si>
    <t>Multiple Contract Coordination</t>
  </si>
  <si>
    <t>Project Meetings</t>
  </si>
  <si>
    <t>Preconstruction Meetings</t>
  </si>
  <si>
    <t>Site Mobilization Meetings</t>
  </si>
  <si>
    <t>Progress Meetings</t>
  </si>
  <si>
    <t>Preinstallation Meetings</t>
  </si>
  <si>
    <t>Project Web Site</t>
  </si>
  <si>
    <t>Electronic Communication Protocols</t>
  </si>
  <si>
    <t>Scheduling of Work</t>
  </si>
  <si>
    <t>Construction Progress Schedule</t>
  </si>
  <si>
    <t>Network Analysis Schedules</t>
  </si>
  <si>
    <t>Submittals Schedule</t>
  </si>
  <si>
    <t>Survey and Layout Data</t>
  </si>
  <si>
    <t>Construction Progress Reporting</t>
  </si>
  <si>
    <t>Periodic Work Observation</t>
  </si>
  <si>
    <t>Photographic Documentation</t>
  </si>
  <si>
    <t>Video Monitoring and Documentation</t>
  </si>
  <si>
    <t>Purchase Order Tracking</t>
  </si>
  <si>
    <t>Special Project Procedures</t>
  </si>
  <si>
    <t>Special Project Procedures for Airport Facilities</t>
  </si>
  <si>
    <t>Special Project Procedures for Detention Facilities</t>
  </si>
  <si>
    <t>Special Project Procedures for Health care Facilities</t>
  </si>
  <si>
    <t>Special Project Procedures for Clean Rooms</t>
  </si>
  <si>
    <t>Special Project Procedures for Contaminated Sites</t>
  </si>
  <si>
    <t>Alteration Project Procedures</t>
  </si>
  <si>
    <t>Owner Safety Requirements</t>
  </si>
  <si>
    <t>Governmental Safety Requirements</t>
  </si>
  <si>
    <t>Health, Safety, and Emergency Response Procedures</t>
  </si>
  <si>
    <t>Health, Safety, and Emergency Response Procedures for Contaminated Sites</t>
  </si>
  <si>
    <t>Infection Control Procedures</t>
  </si>
  <si>
    <t>Environmental Procedures</t>
  </si>
  <si>
    <t>Environmental Procedures for Hazardous Materials</t>
  </si>
  <si>
    <t>Environmental Procedures for Toxic Materials</t>
  </si>
  <si>
    <t>Indoor Air Quality Procedures</t>
  </si>
  <si>
    <t>Security Procedures</t>
  </si>
  <si>
    <t>Sustainability Certification Project Requirements</t>
  </si>
  <si>
    <t>Sustainability Certification Project Procedures</t>
  </si>
  <si>
    <t>Historic Treatment Procedures</t>
  </si>
  <si>
    <t>Temporary Electricity</t>
  </si>
  <si>
    <t>Temporary Fire Protection</t>
  </si>
  <si>
    <t>Temporary Fuel Oil</t>
  </si>
  <si>
    <t>Temporary Heating, Cooling, and Ventilating</t>
  </si>
  <si>
    <t>Temporary Lighting</t>
  </si>
  <si>
    <t>Temporary Natural-Gas</t>
  </si>
  <si>
    <t>Temporary Telecommunications</t>
  </si>
  <si>
    <t>Temporary Water</t>
  </si>
  <si>
    <t>Field Offices and Sheds</t>
  </si>
  <si>
    <t>First Aid Facilities</t>
  </si>
  <si>
    <t>Sanitary Facilities</t>
  </si>
  <si>
    <t>Temporary Bridges</t>
  </si>
  <si>
    <t>Temporary Decking</t>
  </si>
  <si>
    <t>Temporary Overpasses</t>
  </si>
  <si>
    <t>Temporary Ramps</t>
  </si>
  <si>
    <t>Temporary Runarounds</t>
  </si>
  <si>
    <t>Temporary Elevators</t>
  </si>
  <si>
    <t>Temporary Hoists</t>
  </si>
  <si>
    <t>Temporary Cranes</t>
  </si>
  <si>
    <t>Temporary Scaffolding and Platforms</t>
  </si>
  <si>
    <t>Temporary Swing Staging</t>
  </si>
  <si>
    <t>Vehicular Access and Parking</t>
  </si>
  <si>
    <t>Temporary Access Roads</t>
  </si>
  <si>
    <t>Haul Routes</t>
  </si>
  <si>
    <t>Temporary Parking Areas</t>
  </si>
  <si>
    <t>Temporary Roads</t>
  </si>
  <si>
    <t>Traffic Control</t>
  </si>
  <si>
    <t>Staging Areas</t>
  </si>
  <si>
    <t>Temporary Air Barriers</t>
  </si>
  <si>
    <t>Temporary Dust Barriers</t>
  </si>
  <si>
    <t>Temporary Noise Barriers</t>
  </si>
  <si>
    <t>Temporary Barricades</t>
  </si>
  <si>
    <t>Temporary Fencing</t>
  </si>
  <si>
    <t>Temporary Protective Walkways</t>
  </si>
  <si>
    <t>Temporary Security Barriers</t>
  </si>
  <si>
    <t>Temporary Security Enclosures</t>
  </si>
  <si>
    <t>Temporary Tree and Plant Protection</t>
  </si>
  <si>
    <t>Temporary Erosion and Sediment Control</t>
  </si>
  <si>
    <t>Temporary Pest Control</t>
  </si>
  <si>
    <t>Temporary Environmental Controls</t>
  </si>
  <si>
    <t>Temporary Storm Water Pollution Control</t>
  </si>
  <si>
    <t>Temporary Project Signage</t>
  </si>
  <si>
    <t>Temporary Interior Signage</t>
  </si>
  <si>
    <t>Mobilization</t>
  </si>
  <si>
    <t>Acceptance of Conditions</t>
  </si>
  <si>
    <t>Field Engineering</t>
  </si>
  <si>
    <t>Construction Layout</t>
  </si>
  <si>
    <t>Construction Surveying</t>
  </si>
  <si>
    <t>Protection of Adjacent Construction</t>
  </si>
  <si>
    <t>Application</t>
  </si>
  <si>
    <t>Erection</t>
  </si>
  <si>
    <t>Installation</t>
  </si>
  <si>
    <t>Bracing and Anchoring</t>
  </si>
  <si>
    <t>Existing Products</t>
  </si>
  <si>
    <t>Cutting and Patching</t>
  </si>
  <si>
    <t>Progress Cleaning</t>
  </si>
  <si>
    <t>Site Maintenance</t>
  </si>
  <si>
    <t>Construction Waste Management and Disposal</t>
  </si>
  <si>
    <t>Final Cleaning</t>
  </si>
  <si>
    <t>Checkout Procedures</t>
  </si>
  <si>
    <t>Startup Procedures</t>
  </si>
  <si>
    <t>Preliminary Closeout Reviews</t>
  </si>
  <si>
    <t>Final Closeout Review</t>
  </si>
  <si>
    <t>Closeout Requirements</t>
  </si>
  <si>
    <t>Completion and Correction List</t>
  </si>
  <si>
    <t>Maintenance Contracts</t>
  </si>
  <si>
    <t>Operation and Maintenance Data</t>
  </si>
  <si>
    <t>Operation Data</t>
  </si>
  <si>
    <t>Maintenance Data</t>
  </si>
  <si>
    <t>Preventative Maintenance Instructions</t>
  </si>
  <si>
    <t>Final Site Survey</t>
  </si>
  <si>
    <t>Bonds</t>
  </si>
  <si>
    <t>Warranties</t>
  </si>
  <si>
    <t>Project Record Documents</t>
  </si>
  <si>
    <t>Spare Parts</t>
  </si>
  <si>
    <t>Extra Stock Materials</t>
  </si>
  <si>
    <t>Sustainable Design Closeout Documentation</t>
  </si>
  <si>
    <t>General Commissioning Requirements</t>
  </si>
  <si>
    <t>Facility Substructure Commissioning</t>
  </si>
  <si>
    <t>Foundation Commissioning</t>
  </si>
  <si>
    <t>Basement Construction Commissioning</t>
  </si>
  <si>
    <t>Facility Shell Commissioning</t>
  </si>
  <si>
    <t>Superstructure Commissioning</t>
  </si>
  <si>
    <t>Exterior Enclosure Commissioning</t>
  </si>
  <si>
    <t>Roofing Commissioning</t>
  </si>
  <si>
    <t>Interiors Commissioning</t>
  </si>
  <si>
    <t>Interior Construction Commissioning</t>
  </si>
  <si>
    <t>Stairways Commissioning</t>
  </si>
  <si>
    <t>Interior Finishes Commissioning</t>
  </si>
  <si>
    <t>Facility Operation Procedures</t>
  </si>
  <si>
    <t>Facility Maintenance Procedures</t>
  </si>
  <si>
    <t>Recycling Programs</t>
  </si>
  <si>
    <t>Facility Decommissioning Procedures</t>
  </si>
  <si>
    <t>Selective Facility Services Demolition</t>
  </si>
  <si>
    <t>Maintenance of Existing Conditions</t>
  </si>
  <si>
    <t>Maintenance of Site Remediation</t>
  </si>
  <si>
    <t>Maintenance of Underground Storage Tank Removal</t>
  </si>
  <si>
    <t>Maintenance of Facility Remediation</t>
  </si>
  <si>
    <t>Maintenance of Hazardous Waste Drum Handling</t>
  </si>
  <si>
    <t>Common Work Results for Existing Conditions</t>
  </si>
  <si>
    <t>Geosynthetics for Existing Conditions</t>
  </si>
  <si>
    <t>Geotextiles for Existing Conditions</t>
  </si>
  <si>
    <t>Geomembranes for Existing Conditions</t>
  </si>
  <si>
    <t>Geogrids for Existing Conditions</t>
  </si>
  <si>
    <t>Commissioning of Existing Conditions</t>
  </si>
  <si>
    <t>Surveys</t>
  </si>
  <si>
    <t>Site Surveys</t>
  </si>
  <si>
    <t>Boundary and Survey Markers</t>
  </si>
  <si>
    <t>Archeological and Historic Surveys</t>
  </si>
  <si>
    <t>Measured Drawings</t>
  </si>
  <si>
    <t>Existing Conditions Assessment</t>
  </si>
  <si>
    <t>Movement and Vibration Assessment</t>
  </si>
  <si>
    <t>Acoustic Assessment</t>
  </si>
  <si>
    <t>Traffic Assessment</t>
  </si>
  <si>
    <t>Accessibility Assessment</t>
  </si>
  <si>
    <t>Environmental Assessment</t>
  </si>
  <si>
    <t>Natural Environment Assessment</t>
  </si>
  <si>
    <t>Air Assessment</t>
  </si>
  <si>
    <t>Water Assessment</t>
  </si>
  <si>
    <t>Land Assessment</t>
  </si>
  <si>
    <t>Chemical Sampling and Analysis of Soils</t>
  </si>
  <si>
    <t>Transboundary and Global Environmental Aspects Assessment</t>
  </si>
  <si>
    <t>Existing Material Assessment</t>
  </si>
  <si>
    <t>Existing Concrete Assessment</t>
  </si>
  <si>
    <t>Concrete Assessment Drilling</t>
  </si>
  <si>
    <t>Existing Masonry Assessment</t>
  </si>
  <si>
    <t>Masonry Assessment Drilling</t>
  </si>
  <si>
    <t>Existing Metals Assessment</t>
  </si>
  <si>
    <t>Welding Investigations</t>
  </si>
  <si>
    <t>Existing Wood, Plastics, and Composites Assessment</t>
  </si>
  <si>
    <t>Existing Thermal and Moisture Protection Assessment</t>
  </si>
  <si>
    <t>Waterproofing Investigations</t>
  </si>
  <si>
    <t>Roofing Investigations</t>
  </si>
  <si>
    <t>Hazardous Material Assessment</t>
  </si>
  <si>
    <t>Asbestos Assessment</t>
  </si>
  <si>
    <t>Lead Assessment</t>
  </si>
  <si>
    <t>Polychlorinate Biphenyl Assessment</t>
  </si>
  <si>
    <t>Biological Assessment</t>
  </si>
  <si>
    <t>Mold Assessment</t>
  </si>
  <si>
    <t>Hazardous Waste Drum Assessment</t>
  </si>
  <si>
    <t>Geophysical Investigations</t>
  </si>
  <si>
    <t>Seismic Investigations</t>
  </si>
  <si>
    <t>Gravity Investigations</t>
  </si>
  <si>
    <t>Magnetic Investigations</t>
  </si>
  <si>
    <t>Electromagnetic Investigations</t>
  </si>
  <si>
    <t>Electrical Resistivity Investigations</t>
  </si>
  <si>
    <t>Magnetotelluric Investigations</t>
  </si>
  <si>
    <t>Geotechnical Investigations</t>
  </si>
  <si>
    <t>Subsurface Drilling and Sampling</t>
  </si>
  <si>
    <t>Material Testing</t>
  </si>
  <si>
    <t>Exploratory Excavations</t>
  </si>
  <si>
    <t>Geotechnical Monitoring Before Construction</t>
  </si>
  <si>
    <t>Groundwater Monitoring Before Construction</t>
  </si>
  <si>
    <t>Demolition and Structure Moving</t>
  </si>
  <si>
    <t>Paving Removal</t>
  </si>
  <si>
    <t>Utility Line Removal</t>
  </si>
  <si>
    <t>Railtrack Removal</t>
  </si>
  <si>
    <t>Removal and Salvage of Construction Materials</t>
  </si>
  <si>
    <t>Deconstruction of Structures</t>
  </si>
  <si>
    <t>Deconstruction of Buildings</t>
  </si>
  <si>
    <t>Removal and Salvage of Historic Construction Materials</t>
  </si>
  <si>
    <t>Building Relocation</t>
  </si>
  <si>
    <t>Building Raising</t>
  </si>
  <si>
    <t>Coagulation and Flocculation Decontamination</t>
  </si>
  <si>
    <t>Reverse-Osmosis Decontamination</t>
  </si>
  <si>
    <t>Solidification and Stabilization Decontamination</t>
  </si>
  <si>
    <t>Mechanical Filtration Decontamination</t>
  </si>
  <si>
    <t>Radioactive Decontamination</t>
  </si>
  <si>
    <t>Surface Cleaning Decontamination</t>
  </si>
  <si>
    <t>High-Pressure Water Cleaning Decontamination</t>
  </si>
  <si>
    <t>Vacuum Sweeping Cleaning Decontamination</t>
  </si>
  <si>
    <t>Surface Removal Decontamination</t>
  </si>
  <si>
    <t>Surface Removal Decontamination by Grinding</t>
  </si>
  <si>
    <t>Surface Removal Decontamination by Sand Blasting</t>
  </si>
  <si>
    <t>Surface Removal Decontamination by Ultrasound</t>
  </si>
  <si>
    <t>Chemical Precipitation Decontamination</t>
  </si>
  <si>
    <t>Ion Change Decontamination</t>
  </si>
  <si>
    <t>Neutralization Decontamination</t>
  </si>
  <si>
    <t>Incineration Decontamination</t>
  </si>
  <si>
    <t>Remediation of Contaminated Soils and Sludges by Incineration</t>
  </si>
  <si>
    <t>Thermal Desorption Decontamination</t>
  </si>
  <si>
    <t>Remediation of Contaminated Soils by Thermal Desorption</t>
  </si>
  <si>
    <t>Vitrification Decontamination</t>
  </si>
  <si>
    <t>Aerobic Processes Decontamination</t>
  </si>
  <si>
    <t>Anaerobic Processes Decontamination</t>
  </si>
  <si>
    <t>Bioremediation Decontamination</t>
  </si>
  <si>
    <t>Bioremediation Using Landfarming</t>
  </si>
  <si>
    <t>Bioremediation of Soils Using Windrow Composting</t>
  </si>
  <si>
    <t>Bioremediation Using Bacteria Injection</t>
  </si>
  <si>
    <t>Soil Washing through Separation/Solubilization</t>
  </si>
  <si>
    <t>Organic Decontamination</t>
  </si>
  <si>
    <t>Waste Containment</t>
  </si>
  <si>
    <t>Geomembrane Waste Containment</t>
  </si>
  <si>
    <t>Gas Containment</t>
  </si>
  <si>
    <t>Fluid-Applied Gas Barrier</t>
  </si>
  <si>
    <t>Sinkhole Remediation by Grouting</t>
  </si>
  <si>
    <t>Sinkhole Remediation by Compaction Grouting</t>
  </si>
  <si>
    <t>Sinkhole Remediation by Cap Grouting</t>
  </si>
  <si>
    <t>Sinkhole Remediation by Backfilling</t>
  </si>
  <si>
    <t>Snow Control</t>
  </si>
  <si>
    <t>Snow Fencing</t>
  </si>
  <si>
    <t>Snow Avalanche Control</t>
  </si>
  <si>
    <t>Removal and Disposal of Contaminated Soils</t>
  </si>
  <si>
    <t>Excavation and Handling of Contaminated Material</t>
  </si>
  <si>
    <t>Removal and Disposal of Polychlorinate Biphenyl Contaminated Soils</t>
  </si>
  <si>
    <t>Removal and Disposal of Asbestos Contaminated Soils</t>
  </si>
  <si>
    <t>Removal and Disposal of Organically Contaminated Soils</t>
  </si>
  <si>
    <t>Hazardous Waste Recovery Processes</t>
  </si>
  <si>
    <t>Air and Steam Stripping</t>
  </si>
  <si>
    <t>Soil Vapor Extraction</t>
  </si>
  <si>
    <t>Soil Washing and Flushing</t>
  </si>
  <si>
    <t>Underground Storage Tank Removal</t>
  </si>
  <si>
    <t>Landfill Construction and Storage</t>
  </si>
  <si>
    <t>Groundwater Treatment</t>
  </si>
  <si>
    <t>Water Decontamination</t>
  </si>
  <si>
    <t>Chemical Water Decontamination</t>
  </si>
  <si>
    <t>Biological Water Decontamination</t>
  </si>
  <si>
    <t>Electrolysis Water Decontamination</t>
  </si>
  <si>
    <t>Asbestos Abatement</t>
  </si>
  <si>
    <t>Glovebag Asbestos Abatement</t>
  </si>
  <si>
    <t>Precautions for Asbestos Abatement</t>
  </si>
  <si>
    <t>Asbestos Floor Tile and Mastic Abatement</t>
  </si>
  <si>
    <t>Engineering Control of Asbestos Containing Materials</t>
  </si>
  <si>
    <t>Removal and Disposal of Asbestos Containing Materials</t>
  </si>
  <si>
    <t>Lead Hazard Control Activities</t>
  </si>
  <si>
    <t>Lead-Based Paint Remediation</t>
  </si>
  <si>
    <t>Lead-Based Paint Abatement</t>
  </si>
  <si>
    <t>Removal and Disposal of Material Containing Lead</t>
  </si>
  <si>
    <t>Lead-Based Paint Removal and Disposal</t>
  </si>
  <si>
    <t>Handling of Lighting Ballasts and Lamps Containing PCBs and Mercury</t>
  </si>
  <si>
    <t>Removal and Disposal of Polychlorinate Biphenyls</t>
  </si>
  <si>
    <t>Precautions for Mold Remediation</t>
  </si>
  <si>
    <t>Mold Remediation Preparation and Containment</t>
  </si>
  <si>
    <t>Mold Remediation Clearance Air Sampling</t>
  </si>
  <si>
    <t>Removal and Disposal of Materials with Mold</t>
  </si>
  <si>
    <t>Concrete</t>
  </si>
  <si>
    <t>Non-Expanding Waterstops</t>
  </si>
  <si>
    <t>Expanding Waterstops</t>
  </si>
  <si>
    <t>Combination Expanding and Injection Hose Waterstops</t>
  </si>
  <si>
    <t>Injection Hose Waterstops</t>
  </si>
  <si>
    <t>Concrete Construction Joints</t>
  </si>
  <si>
    <t>Glass Fiber-Reinforced Polymer Reinforcement Bars</t>
  </si>
  <si>
    <t>Organic Fiber-Reinforced Polymer Reinforcement Bars</t>
  </si>
  <si>
    <t>Carbon Fiber-Reinforced Polymer Reinforcement Bars</t>
  </si>
  <si>
    <t>Maintenance of Concrete</t>
  </si>
  <si>
    <t>Maintenance of Concrete Forming and Accessories</t>
  </si>
  <si>
    <t>Maintenance of Concrete Reinforcing</t>
  </si>
  <si>
    <t>Maintenance of Stressing Tendons</t>
  </si>
  <si>
    <t>Maintenance of Cast-in-Place Concrete</t>
  </si>
  <si>
    <t>Cleaning of Cast-in-Place Concrete</t>
  </si>
  <si>
    <t>Resurfacing of Cast-in-Place Concrete</t>
  </si>
  <si>
    <t>Rehabilitation of Cast-in-Place Concrete</t>
  </si>
  <si>
    <t>Strengthening of Cast-in-Place Concrete</t>
  </si>
  <si>
    <t>Maintenance of Precast Concrete</t>
  </si>
  <si>
    <t>Cleaning of Precast Concrete</t>
  </si>
  <si>
    <t>Resurfacing of Precast Concrete</t>
  </si>
  <si>
    <t>Rehabilitation of Precast Concrete</t>
  </si>
  <si>
    <t>Strengthening of Precast Concrete</t>
  </si>
  <si>
    <t>Maintenance of Cast Decks and Underlayment</t>
  </si>
  <si>
    <t>Cleaning Cast Decks and Underlayment</t>
  </si>
  <si>
    <t>Resurfacing of Cast Decks and Underlayment</t>
  </si>
  <si>
    <t>Rehabilitation of Cast Decks and Underlayment</t>
  </si>
  <si>
    <t>Strengthening of Cast Decks and Underlayment</t>
  </si>
  <si>
    <t>Maintenance of Grouting</t>
  </si>
  <si>
    <t>Maintenance of Mass Concrete</t>
  </si>
  <si>
    <t>Maintenance of Concrete Cutting and Boring</t>
  </si>
  <si>
    <t>Common Work Results for Concrete</t>
  </si>
  <si>
    <t>Commissioning of Concrete</t>
  </si>
  <si>
    <t>Concrete Forming and Accessories</t>
  </si>
  <si>
    <t>Concrete Forming</t>
  </si>
  <si>
    <t>Structural Cast-in-Place Concrete Forming</t>
  </si>
  <si>
    <t>Concrete Slip Forming</t>
  </si>
  <si>
    <t>Concrete Shoring</t>
  </si>
  <si>
    <t>Falsework</t>
  </si>
  <si>
    <t>Architectural Cast-in Place Concrete Forming</t>
  </si>
  <si>
    <t>Concrete Form Liners</t>
  </si>
  <si>
    <t>Insulating Concrete Forming</t>
  </si>
  <si>
    <t>Permanent Stair Forming</t>
  </si>
  <si>
    <t>Concrete Accessories</t>
  </si>
  <si>
    <t>Waterstops</t>
  </si>
  <si>
    <t>Concrete Reinforcing</t>
  </si>
  <si>
    <t>Reinforcement Bars</t>
  </si>
  <si>
    <t>Plain Steel Reinforcement Bars</t>
  </si>
  <si>
    <t>Galvanized Reinforcement Steel Bars</t>
  </si>
  <si>
    <t>Epoxy-Coated Reinforcement Steel Bars</t>
  </si>
  <si>
    <t>Stainless Steel Reinforcement Bars</t>
  </si>
  <si>
    <t>Composite Reinforcement Bars</t>
  </si>
  <si>
    <t>Fabric and Grid Reinforcing</t>
  </si>
  <si>
    <t>Galvanized Welded Wire Fabric Reinforcing</t>
  </si>
  <si>
    <t>Epoxy-Coated Welded Wire Fabric Reinforcing</t>
  </si>
  <si>
    <t>Composite Grid Reinforcing</t>
  </si>
  <si>
    <t>Stressed Tendon Reinforcing</t>
  </si>
  <si>
    <t>Fibrous Reinforcing</t>
  </si>
  <si>
    <t>Composite Reinforcing</t>
  </si>
  <si>
    <t>Glass Fiber-Reinforced Polymer Reinforcing</t>
  </si>
  <si>
    <t>Organic Fiber-Reinforced Polymer Reinforcing</t>
  </si>
  <si>
    <t>Carbon Fiber-Reinforced Polymer Reinforcing</t>
  </si>
  <si>
    <t>Cast-in-Place Concrete</t>
  </si>
  <si>
    <t>Miscellaneous Cast-in-Place Concrete</t>
  </si>
  <si>
    <t>Structural Concrete</t>
  </si>
  <si>
    <t>Heavyweight Structural Concrete</t>
  </si>
  <si>
    <t>Lightweight Structural Concrete</t>
  </si>
  <si>
    <t>Shrinkage-Compensating Structural Concrete</t>
  </si>
  <si>
    <t>High-Performance Structural Concrete</t>
  </si>
  <si>
    <t>Ultra High-Performance Structural Concrete</t>
  </si>
  <si>
    <t>Self-Compacting Concrete</t>
  </si>
  <si>
    <t>Architectural Concrete</t>
  </si>
  <si>
    <t>Heavyweight Architectural Concrete</t>
  </si>
  <si>
    <t>Lightweight Architectural Concrete</t>
  </si>
  <si>
    <t>Low Density Concrete</t>
  </si>
  <si>
    <t>Concrete Finishing</t>
  </si>
  <si>
    <t>High-Tolerance Concrete Floor Finishing</t>
  </si>
  <si>
    <t>Heavy-Duty Concrete Floor Finishing</t>
  </si>
  <si>
    <t>Colored Concrete Finishing</t>
  </si>
  <si>
    <t>Exposed Aggregate Concrete Finishing</t>
  </si>
  <si>
    <t>Grooved Concrete Surface Finishing</t>
  </si>
  <si>
    <t>Tooled Concrete Finishing</t>
  </si>
  <si>
    <t>Stamped Concrete Finishing</t>
  </si>
  <si>
    <t>Polished Concrete Finishing</t>
  </si>
  <si>
    <t>Specialty Placed Concrete</t>
  </si>
  <si>
    <t>Shotcrete</t>
  </si>
  <si>
    <t>Pumped Concrete</t>
  </si>
  <si>
    <t>Pneumatically Placed Concrete</t>
  </si>
  <si>
    <t>Roller-Compacted Concrete</t>
  </si>
  <si>
    <t>Underwater Placed Concrete</t>
  </si>
  <si>
    <t>Post-Tensioned Concrete</t>
  </si>
  <si>
    <t>Post-Tensioned Concrete Preparation</t>
  </si>
  <si>
    <t>Unbonded Post-Tensioned Concrete</t>
  </si>
  <si>
    <t>Bonded Post-Tensioned Concrete</t>
  </si>
  <si>
    <t>Concrete Curing</t>
  </si>
  <si>
    <t>Water Concrete Curing</t>
  </si>
  <si>
    <t>Sand Concrete Curing</t>
  </si>
  <si>
    <t>Membrane Concrete Curing</t>
  </si>
  <si>
    <t>Chemical Compound Membrane Concrete Curing</t>
  </si>
  <si>
    <t>Sheet Membrane Concrete Curing</t>
  </si>
  <si>
    <t>Precast Concrete</t>
  </si>
  <si>
    <t>Precast Structural Concrete</t>
  </si>
  <si>
    <t>Precast Concrete Hollow Core Planks</t>
  </si>
  <si>
    <t>Precast Concrete Slabs</t>
  </si>
  <si>
    <t>Precast Concrete Stairs</t>
  </si>
  <si>
    <t>Precast Structural Pretensioned Concrete</t>
  </si>
  <si>
    <t>Precast Structural Post-Tensioned Concrete</t>
  </si>
  <si>
    <t>Precast Architectural Concrete</t>
  </si>
  <si>
    <t>Faced Architectural Precast Concrete</t>
  </si>
  <si>
    <t>Precast Architectural Pretensioned Concrete</t>
  </si>
  <si>
    <t>Precast Architectural Post-Tensioned Concrete</t>
  </si>
  <si>
    <t>Site-Cast Concrete</t>
  </si>
  <si>
    <t>Tilt-Up Concrete</t>
  </si>
  <si>
    <t>Lift-Slab Concrete</t>
  </si>
  <si>
    <t>Precast Concrete Specialties</t>
  </si>
  <si>
    <t>Precast Concrete Bollards</t>
  </si>
  <si>
    <t>Precast Concrete Splash Blocks</t>
  </si>
  <si>
    <t>Precast Concrete Stair Treads</t>
  </si>
  <si>
    <t>Precast Pre-Framed Concrete Panels</t>
  </si>
  <si>
    <t>Precast Concrete Trim</t>
  </si>
  <si>
    <t>Glass-Fiber-Reinforced Concrete</t>
  </si>
  <si>
    <t>Glass-Fiber-Reinforced Concrete Column Covers</t>
  </si>
  <si>
    <t>Glass-Fiber-Reinforced Concrete Spandrels</t>
  </si>
  <si>
    <t>Glass-Fiber-Reinforced Concrete Trim</t>
  </si>
  <si>
    <t>Cast Decks and Underlayment</t>
  </si>
  <si>
    <t>Cast Roof Decks</t>
  </si>
  <si>
    <t>Cementitious Wood Fiber Decks</t>
  </si>
  <si>
    <t>Gypsum Concrete Roof Decks</t>
  </si>
  <si>
    <t>Lightweight Concrete Roof Insulation</t>
  </si>
  <si>
    <t>Composite Concrete Roof Insulation</t>
  </si>
  <si>
    <t>Lightweight Insulating Concrete</t>
  </si>
  <si>
    <t>Lightweight Cellular Insulating Concrete</t>
  </si>
  <si>
    <t>Lightweight Aggregate Insulating Concrete</t>
  </si>
  <si>
    <t>Concrete Topping</t>
  </si>
  <si>
    <t>Emery-Aggregate Concrete Topping</t>
  </si>
  <si>
    <t>Iron-Aggregate Concrete Topping</t>
  </si>
  <si>
    <t>Cast Underlayment</t>
  </si>
  <si>
    <t>Gypsum Cement Underlayment</t>
  </si>
  <si>
    <t>Hydraulic Cement Underlayment</t>
  </si>
  <si>
    <t>Grouting</t>
  </si>
  <si>
    <t>Cementitious Grouting</t>
  </si>
  <si>
    <t>Dry-Pack Grouting</t>
  </si>
  <si>
    <t>Non-Shrink Grouting</t>
  </si>
  <si>
    <t>Non-Metallic Non-Shrink Grouting</t>
  </si>
  <si>
    <t>Metallic Non-Shrink Grouting</t>
  </si>
  <si>
    <t>Epoxy Grouting</t>
  </si>
  <si>
    <t>Injection Grouting</t>
  </si>
  <si>
    <t>Epoxy Injection Grouting</t>
  </si>
  <si>
    <t>Mass Concrete</t>
  </si>
  <si>
    <t>Mass Concrete for Raft Foundations</t>
  </si>
  <si>
    <t>Mass Concrete for Dams</t>
  </si>
  <si>
    <t>Concrete Cutting and Boring</t>
  </si>
  <si>
    <t>Concrete Cutting</t>
  </si>
  <si>
    <t>Flat Concrete Sawing</t>
  </si>
  <si>
    <t>Track Mounted Concrete Wall Sawing</t>
  </si>
  <si>
    <t>Wire Concrete Wall Sawing</t>
  </si>
  <si>
    <t>Hand Concrete Wall Sawing</t>
  </si>
  <si>
    <t>Chain Concrete Wall Sawing</t>
  </si>
  <si>
    <t>Concrete Boring</t>
  </si>
  <si>
    <t>Concrete Core Drilling</t>
  </si>
  <si>
    <t>Masonry</t>
  </si>
  <si>
    <t>Maintenance of Masonry</t>
  </si>
  <si>
    <t>Maintenance of Unit Masonry</t>
  </si>
  <si>
    <t>Unit Masonry Stabilization</t>
  </si>
  <si>
    <t>Unit Masonry Maintenance</t>
  </si>
  <si>
    <t>Unit Masonry Cleaning</t>
  </si>
  <si>
    <t>Unit Masonry Restoration</t>
  </si>
  <si>
    <t>Testing and Sampling Brick Units for Restoration</t>
  </si>
  <si>
    <t>Maintenance of Stone Assemblies</t>
  </si>
  <si>
    <t>Stone Maintenance</t>
  </si>
  <si>
    <t>Stone Cleaning</t>
  </si>
  <si>
    <t>Stone Restoration</t>
  </si>
  <si>
    <t>Maintenance of Refractory Masonry</t>
  </si>
  <si>
    <t>Maintenance of Corrosion-Resistant Masonry</t>
  </si>
  <si>
    <t>Maintenance of Manufactured Masonry</t>
  </si>
  <si>
    <t>Common Work Results for Masonry</t>
  </si>
  <si>
    <t>Masonry Mortaring</t>
  </si>
  <si>
    <t>Chemical-Resistant Masonry Mortaring</t>
  </si>
  <si>
    <t>Epoxy Masonry Mortaring</t>
  </si>
  <si>
    <t>Surface Bonding Masonry Mortaring</t>
  </si>
  <si>
    <t>Engineered Masonry Mortaring</t>
  </si>
  <si>
    <t>Refractory Masonry Mortaring</t>
  </si>
  <si>
    <t>Masonry Restoration Mortaring</t>
  </si>
  <si>
    <t>Masonry Grouting</t>
  </si>
  <si>
    <t>Chemical-Resistant Masonry Grouting</t>
  </si>
  <si>
    <t>Engineered Masonry Grouting</t>
  </si>
  <si>
    <t>Masonry Anchorage and Reinforcing</t>
  </si>
  <si>
    <t>Continuous Joint Reinforcing</t>
  </si>
  <si>
    <t>Masonry Anchors</t>
  </si>
  <si>
    <t>Masonry Reinforcing Bars</t>
  </si>
  <si>
    <t>Stone Anchors</t>
  </si>
  <si>
    <t>Masonry Strengthening</t>
  </si>
  <si>
    <t>Masonry Accessories</t>
  </si>
  <si>
    <t>Masonry Control and Expansion Joints</t>
  </si>
  <si>
    <t>Masonry Embedded Flashing</t>
  </si>
  <si>
    <t>Masonry Cavity Drainage, Weepholes, and Vents</t>
  </si>
  <si>
    <t>Commissioning of Masonry</t>
  </si>
  <si>
    <t>Unit Masonry</t>
  </si>
  <si>
    <t>Clay Unit Masonry</t>
  </si>
  <si>
    <t>Brick Masonry</t>
  </si>
  <si>
    <t>Brick Veneer Masonry</t>
  </si>
  <si>
    <t>Surface-Bonded Brick Masonry</t>
  </si>
  <si>
    <t>Ceramic Glazed Clay Masonry</t>
  </si>
  <si>
    <t>Clay Tile Masonry</t>
  </si>
  <si>
    <t>Structural Clay Tile Masonry</t>
  </si>
  <si>
    <t>Glazed Structural Clay Tile Masonry</t>
  </si>
  <si>
    <t>Terra Cotta Masonry</t>
  </si>
  <si>
    <t>Concrete Unit Masonry</t>
  </si>
  <si>
    <t>Concrete Unit Veneer Masonry</t>
  </si>
  <si>
    <t>Surface-Bonded Concrete Unit Masonry</t>
  </si>
  <si>
    <t>Insulated Concrete Unit Masonry</t>
  </si>
  <si>
    <t>Architectural Concrete Unit Masonry</t>
  </si>
  <si>
    <t>Exposed Aggregate Concrete Unit Masonry</t>
  </si>
  <si>
    <t>Fluted Concrete Unit Masonry</t>
  </si>
  <si>
    <t>Molded-Face Concrete Unit Masonry</t>
  </si>
  <si>
    <t>Prefaced Concrete Unit Masonry</t>
  </si>
  <si>
    <t>Sound-Absorbing Concrete Unit Masonry</t>
  </si>
  <si>
    <t>Split-Face Concrete Unit Masonry</t>
  </si>
  <si>
    <t>Autoclaved Aerated Concrete Unit Masonry</t>
  </si>
  <si>
    <t>Interlocking Concrete Unit Masonry</t>
  </si>
  <si>
    <t>Glass Unit Masonry</t>
  </si>
  <si>
    <t>Vertical Glass Unit Masonry</t>
  </si>
  <si>
    <t>Glass Unit Masonry Floors</t>
  </si>
  <si>
    <t>Glass Unit Masonry Skylights</t>
  </si>
  <si>
    <t>Adobe Unit Masonry</t>
  </si>
  <si>
    <t>Site-Cast Adobe Unit Masonry</t>
  </si>
  <si>
    <t>Manufactured Adobe Unit Masonry</t>
  </si>
  <si>
    <t>Unit Masonry Panels</t>
  </si>
  <si>
    <t>Metal-Supported Unit Masonry Panels</t>
  </si>
  <si>
    <t>Single-Wythe Unit Masonry</t>
  </si>
  <si>
    <t>Masonry Veneer</t>
  </si>
  <si>
    <t>Multiple-Wythe Unit Masonry</t>
  </si>
  <si>
    <t>Composite Unit Masonry</t>
  </si>
  <si>
    <t>Cavity Wall Unit Masonry</t>
  </si>
  <si>
    <t>Concrete Form Masonry Units</t>
  </si>
  <si>
    <t>Dry-Stacked, Concrete-Filled Masonry Units</t>
  </si>
  <si>
    <t>Mortar-Set, Concrete-Filled Masonry Units</t>
  </si>
  <si>
    <t>Engineered Unit Masonry</t>
  </si>
  <si>
    <t>Stone Assemblies</t>
  </si>
  <si>
    <t>Dry-Placed Stone</t>
  </si>
  <si>
    <t>Exterior Stone Cladding</t>
  </si>
  <si>
    <t>Masonry-Supported Stone Cladding</t>
  </si>
  <si>
    <t>Steel-Stud-Supported Stone Cladding</t>
  </si>
  <si>
    <t>Strongback-Frame-Supported Stone Cladding</t>
  </si>
  <si>
    <t>Truss-Supported Stone Cladding</t>
  </si>
  <si>
    <t>Grid-System-Supported Stone Cladding</t>
  </si>
  <si>
    <t>Stone Panels for Curtain Walls</t>
  </si>
  <si>
    <t>Stone Masonry</t>
  </si>
  <si>
    <t>Stone Masonry Veneer</t>
  </si>
  <si>
    <t>Anchored Stone Masonry Veneer</t>
  </si>
  <si>
    <t>Adhered Stone Masonry Veneer</t>
  </si>
  <si>
    <t>Refractory Masonry</t>
  </si>
  <si>
    <t>Flue Liner Masonry</t>
  </si>
  <si>
    <t>Combustion Chamber Masonry</t>
  </si>
  <si>
    <t>Castable Refractory Masonry</t>
  </si>
  <si>
    <t>Refractory Brick Masonry</t>
  </si>
  <si>
    <t>Masonry Fireplaces</t>
  </si>
  <si>
    <t>Modular Masonry Fireplaces</t>
  </si>
  <si>
    <t>Corrosion-Resistant Masonry</t>
  </si>
  <si>
    <t>Chemical-Resistant Brick Masonry</t>
  </si>
  <si>
    <t>Vitrified Clay Liner Plate</t>
  </si>
  <si>
    <t>Manufactured Masonry</t>
  </si>
  <si>
    <t>Manufactured Brick Masonry</t>
  </si>
  <si>
    <t>Calcium Silicate Manufactured Brick Masonry</t>
  </si>
  <si>
    <t>Cast Stone Masonry</t>
  </si>
  <si>
    <t>Manufactured Stone Masonry</t>
  </si>
  <si>
    <t>Calcium Silicate Manufactured Stone Masonry</t>
  </si>
  <si>
    <t>Metals</t>
  </si>
  <si>
    <t>Maintenance of Metals</t>
  </si>
  <si>
    <t>Maintenance of Structural Metal Framing</t>
  </si>
  <si>
    <t>Maintenance of Metal Joists</t>
  </si>
  <si>
    <t>Maintenance of Metal Decking</t>
  </si>
  <si>
    <t>Maintenance of Cold-Formed Metal Framing</t>
  </si>
  <si>
    <t>Maintenance of Metal Fabrications</t>
  </si>
  <si>
    <t>Maintenance of Decorative Metal</t>
  </si>
  <si>
    <t>Historic Treatment of Decorative Metal</t>
  </si>
  <si>
    <t>Common Work Results for Metals</t>
  </si>
  <si>
    <t>Shop-Applied Coatings for Metal</t>
  </si>
  <si>
    <t>Metal Fastenings</t>
  </si>
  <si>
    <t>Security Metal Fastenings</t>
  </si>
  <si>
    <t>Commissioning of Metals</t>
  </si>
  <si>
    <t>Structural Metal Framing</t>
  </si>
  <si>
    <t>Structural Steel Framing</t>
  </si>
  <si>
    <t>Architecturally-Exposed Structural Steel Framing</t>
  </si>
  <si>
    <t>Fabricated Fireproofed Steel Columns</t>
  </si>
  <si>
    <t>Buckling Restrained Braces</t>
  </si>
  <si>
    <t>Structural Steel for Buildings</t>
  </si>
  <si>
    <t>Structural Steel for Bridges</t>
  </si>
  <si>
    <t>Structural Stainless-Steel Framing</t>
  </si>
  <si>
    <t>Structural Aluminum Framing</t>
  </si>
  <si>
    <t>Architecturally-Exposed Structural Aluminum Framing</t>
  </si>
  <si>
    <t>Wire Rope Assemblies</t>
  </si>
  <si>
    <t>Aluminum Wire Rope Assemblies</t>
  </si>
  <si>
    <t>Steel Wire Rope Assemblies</t>
  </si>
  <si>
    <t>Stainless-Steel Wire Rope Assemblies</t>
  </si>
  <si>
    <t>Structural Cabling</t>
  </si>
  <si>
    <t>Cable Bow Truss Assemblies</t>
  </si>
  <si>
    <t>Bridge Cabling</t>
  </si>
  <si>
    <t>Structural Rod Assemblies</t>
  </si>
  <si>
    <t>Tension Rod and Cable Truss Assemblies</t>
  </si>
  <si>
    <t>Façade Support Truss Assemblies</t>
  </si>
  <si>
    <t>Canopy Support Truss Assemblies</t>
  </si>
  <si>
    <t>Metal Joists</t>
  </si>
  <si>
    <t>Steel Joist Framing</t>
  </si>
  <si>
    <t>Deep Longspan Steel Joist Framing</t>
  </si>
  <si>
    <t>Longspan Steel Joist Framing</t>
  </si>
  <si>
    <t>Open Web Steel Joist Framing</t>
  </si>
  <si>
    <t>Steel Joist Girder Framing</t>
  </si>
  <si>
    <t>Aluminum Joist Framing</t>
  </si>
  <si>
    <t>Metal Decking</t>
  </si>
  <si>
    <t>Steel Decking</t>
  </si>
  <si>
    <t>Steel Floor Decking</t>
  </si>
  <si>
    <t>Steel Roof Decking</t>
  </si>
  <si>
    <t>Steel Form Decking</t>
  </si>
  <si>
    <t>Aluminum Decking</t>
  </si>
  <si>
    <t>Aluminum Floor Decking</t>
  </si>
  <si>
    <t>Aluminum Roof Decking</t>
  </si>
  <si>
    <t>Acoustical Metal Decking</t>
  </si>
  <si>
    <t>Raceway Decking Assemblies</t>
  </si>
  <si>
    <t>Composite Metal Decking</t>
  </si>
  <si>
    <t>Composite Steel Plate and Elastomer Decking</t>
  </si>
  <si>
    <t>Cold-Formed Metal Framing</t>
  </si>
  <si>
    <t>Structural Metal Stud Framing</t>
  </si>
  <si>
    <t>Cold-Formed Metal Joist Framing</t>
  </si>
  <si>
    <t>Cold-Formed Metal Floor Joist Framing</t>
  </si>
  <si>
    <t>Cold-Formed Metal Roof Joist Framing</t>
  </si>
  <si>
    <t>Slotted Channel Framing</t>
  </si>
  <si>
    <t>Cold-Formed Metal Trusses</t>
  </si>
  <si>
    <t>Cold-Formed Metal Roof Trusses</t>
  </si>
  <si>
    <t>Metal Support Assemblies</t>
  </si>
  <si>
    <t>Mechanical Metal Supports</t>
  </si>
  <si>
    <t>Electrical Metal Supports</t>
  </si>
  <si>
    <t>Communications Metal Supports</t>
  </si>
  <si>
    <t>Healthcare Metal Supports</t>
  </si>
  <si>
    <t>Metal Fabrications</t>
  </si>
  <si>
    <t>Metal Stairs</t>
  </si>
  <si>
    <t>Metal Pan Stairs</t>
  </si>
  <si>
    <t>Metal Floor Plate Stairs</t>
  </si>
  <si>
    <t>Metal Grating Stairs</t>
  </si>
  <si>
    <t>Metal Fire Escapes</t>
  </si>
  <si>
    <t>Metal Ladders</t>
  </si>
  <si>
    <t>Vertical Metal Ladders</t>
  </si>
  <si>
    <t>Inclined Metal Ladders</t>
  </si>
  <si>
    <t>Alternating Tread Ladders</t>
  </si>
  <si>
    <t>Metal Catwalks</t>
  </si>
  <si>
    <t>Metal Ramps</t>
  </si>
  <si>
    <t>Metal Railings</t>
  </si>
  <si>
    <t>Pipe and Tube Railings</t>
  </si>
  <si>
    <t>Metal Gratings</t>
  </si>
  <si>
    <t>Bar Gratings</t>
  </si>
  <si>
    <t>Plank Gratings</t>
  </si>
  <si>
    <t>Metal Floor Plates</t>
  </si>
  <si>
    <t>Metal Stair Treads and Nosings</t>
  </si>
  <si>
    <t>Metal Stair Treads</t>
  </si>
  <si>
    <t>Metal Stair Nosings</t>
  </si>
  <si>
    <t>Metal Castings</t>
  </si>
  <si>
    <t>Formed Metal Fabrications</t>
  </si>
  <si>
    <t>Column Covers</t>
  </si>
  <si>
    <t>Formed Metal Enclosures</t>
  </si>
  <si>
    <t>Heating/Cooling Unit Covers</t>
  </si>
  <si>
    <t>Formed Metal Guards</t>
  </si>
  <si>
    <t>Metal Specialties</t>
  </si>
  <si>
    <t>Metal Balconies</t>
  </si>
  <si>
    <t>Detention Enclosures</t>
  </si>
  <si>
    <t>Decorative Metal</t>
  </si>
  <si>
    <t>Decorative Metal Stairs</t>
  </si>
  <si>
    <t>Fabricated Metal Spiral Stairs</t>
  </si>
  <si>
    <t>Decorative Metal Railings</t>
  </si>
  <si>
    <t>Glazed Decorative Metal Railings</t>
  </si>
  <si>
    <t>Wire Rope Decorative Metal Railings</t>
  </si>
  <si>
    <t>Decorative Metal Castings</t>
  </si>
  <si>
    <t>Decorative Formed Metal</t>
  </si>
  <si>
    <t>Decorative Forged Metal</t>
  </si>
  <si>
    <t>Wood, Plastics, and Composites</t>
  </si>
  <si>
    <t>Maintenance of Wood, Plastics, and Composites</t>
  </si>
  <si>
    <t>Maintenance of Rough Carpentry</t>
  </si>
  <si>
    <t>Rough Carpentry Rehabilitation</t>
  </si>
  <si>
    <t>Rough Carpentry Restoration</t>
  </si>
  <si>
    <t>Rough Carpentry Preservation</t>
  </si>
  <si>
    <t>Maintenance of Finish Carpentry</t>
  </si>
  <si>
    <t>Finish Carpentry Rehabilitation</t>
  </si>
  <si>
    <t>Finish Carpentry Restoration</t>
  </si>
  <si>
    <t>Finish Carpentry Preservation</t>
  </si>
  <si>
    <t>Maintenance of Architectural Woodwork</t>
  </si>
  <si>
    <t>Architectural Woodwork Cleaning</t>
  </si>
  <si>
    <t>Architectural Woodwork Refinishing</t>
  </si>
  <si>
    <t>Architectural Woodwork Restoration</t>
  </si>
  <si>
    <t>Maintenance of Structural Plastics</t>
  </si>
  <si>
    <t>Maintenance of Plastic Fabrications</t>
  </si>
  <si>
    <t>Plastic Cleaning</t>
  </si>
  <si>
    <t>Plastic Rehabilitation</t>
  </si>
  <si>
    <t>Plastic Restoration</t>
  </si>
  <si>
    <t>Plastic Preservation</t>
  </si>
  <si>
    <t>Maintenance of Structural Composites</t>
  </si>
  <si>
    <t>Maintenance of Composite Assemblies</t>
  </si>
  <si>
    <t>Composite Cleaning</t>
  </si>
  <si>
    <t>Composite Rehabilitation</t>
  </si>
  <si>
    <t>Composite Restoration</t>
  </si>
  <si>
    <t>Composite Preservation</t>
  </si>
  <si>
    <t>Common Work Results for Wood, Plastics, and Composites</t>
  </si>
  <si>
    <t>Wood, Plastic, and Composite Fastenings</t>
  </si>
  <si>
    <t>Wood Treatment</t>
  </si>
  <si>
    <t>Fire-Retardant Wood Treatment</t>
  </si>
  <si>
    <t>Preservative Wood Treatment</t>
  </si>
  <si>
    <t>Long-Term Wood Treatment</t>
  </si>
  <si>
    <t>Eradication of Insects in Wood</t>
  </si>
  <si>
    <t>Antiseptic Treatment of Wood</t>
  </si>
  <si>
    <t>Shop-Applied Wood Coatings</t>
  </si>
  <si>
    <t>Commissioning of Wood, Plastics, and Composites</t>
  </si>
  <si>
    <t>Rough Carpentry</t>
  </si>
  <si>
    <t>Miscellaneous Rough Carpentry</t>
  </si>
  <si>
    <t>Exterior Rough Carpentry</t>
  </si>
  <si>
    <t>Wood Framing</t>
  </si>
  <si>
    <t>Engineered Wood Products</t>
  </si>
  <si>
    <t>Mechanically Graded Lumber</t>
  </si>
  <si>
    <t>Structural Panels</t>
  </si>
  <si>
    <t>Cementitious Reinforced Panels</t>
  </si>
  <si>
    <t>Stressed Skin Panels</t>
  </si>
  <si>
    <t>Heavy Timber Construction</t>
  </si>
  <si>
    <t>Log Construction</t>
  </si>
  <si>
    <t>Period Horizontal Log Work</t>
  </si>
  <si>
    <t>Pole Construction</t>
  </si>
  <si>
    <t>Heavy Timber Framing</t>
  </si>
  <si>
    <t>Heavy Timber Trusses</t>
  </si>
  <si>
    <t>Heavy Timber Pier Construction</t>
  </si>
  <si>
    <t>Treated Wood Foundations</t>
  </si>
  <si>
    <t>Wood Decking</t>
  </si>
  <si>
    <t>Wood Floor Decking</t>
  </si>
  <si>
    <t>Carvel Planking</t>
  </si>
  <si>
    <t>Wood Roof Decking</t>
  </si>
  <si>
    <t>Timber Decking</t>
  </si>
  <si>
    <t>Laminated Wood Decking</t>
  </si>
  <si>
    <t>Wood Patio Decking</t>
  </si>
  <si>
    <t>Sheathing</t>
  </si>
  <si>
    <t>Insulating Sheathing</t>
  </si>
  <si>
    <t>Subflooring</t>
  </si>
  <si>
    <t>Underlayment</t>
  </si>
  <si>
    <t>Wood Board Sheathing</t>
  </si>
  <si>
    <t>Wood Panel Product Sheathing</t>
  </si>
  <si>
    <t>Gypsum Sheathing</t>
  </si>
  <si>
    <t>Moisture-Resistant Sheathing Board</t>
  </si>
  <si>
    <t>Cementitious Sheathing</t>
  </si>
  <si>
    <t>Shop-Fabricated Structural Wood</t>
  </si>
  <si>
    <t>Laminated Veneer Lumber</t>
  </si>
  <si>
    <t>Parallel Strand Lumber</t>
  </si>
  <si>
    <t>Wood I-Joists</t>
  </si>
  <si>
    <t>Metal-Web Wood Joists</t>
  </si>
  <si>
    <t>Rim Boards</t>
  </si>
  <si>
    <t>Shop-Fabricated Wood Trusses</t>
  </si>
  <si>
    <t>Glued-Laminated Construction</t>
  </si>
  <si>
    <t>Glued-Laminated Beams</t>
  </si>
  <si>
    <t>Glued-Laminated Columns</t>
  </si>
  <si>
    <t>Finish Carpentry</t>
  </si>
  <si>
    <t>Exterior Finish Carpentry</t>
  </si>
  <si>
    <t>Interior Finish Carpentry</t>
  </si>
  <si>
    <t>Millwork</t>
  </si>
  <si>
    <t>Standard Pattern Wood Trim</t>
  </si>
  <si>
    <t>Prefinished Paneling</t>
  </si>
  <si>
    <t>Prefinished Hardboard Paneling</t>
  </si>
  <si>
    <t>Prefinished Plywood Paneling</t>
  </si>
  <si>
    <t>Board Paneling</t>
  </si>
  <si>
    <t>Profile Board Paneling</t>
  </si>
  <si>
    <t>Architectural Woodwork</t>
  </si>
  <si>
    <t>Exterior Architectural Woodwork</t>
  </si>
  <si>
    <t>Interior Architectural Woodwork</t>
  </si>
  <si>
    <t>Architectural Wood Casework</t>
  </si>
  <si>
    <t>Wood-Veneer-Faced Architectural Cabinets</t>
  </si>
  <si>
    <t>Plastic-Laminate-Clad Architectural Cabinets</t>
  </si>
  <si>
    <t>Cabinet and Drawer Hardware</t>
  </si>
  <si>
    <t>Wood Paneling</t>
  </si>
  <si>
    <t>Wood Board Paneling</t>
  </si>
  <si>
    <t>Stile and Rail Wood Paneling</t>
  </si>
  <si>
    <t>Flush Wood Paneling</t>
  </si>
  <si>
    <t>Plastic-Laminate-Faced Wood Paneling</t>
  </si>
  <si>
    <t>Wood Stairs and Railings</t>
  </si>
  <si>
    <t>Wood Stairs</t>
  </si>
  <si>
    <t>Wood Railings</t>
  </si>
  <si>
    <t>Ornamental Woodwork</t>
  </si>
  <si>
    <t>Wood Turnings</t>
  </si>
  <si>
    <t>Wood Pilasters</t>
  </si>
  <si>
    <t>Wood Grilles</t>
  </si>
  <si>
    <t>Wood Corbels</t>
  </si>
  <si>
    <t>Wood Cupolas</t>
  </si>
  <si>
    <t>Wood Finials</t>
  </si>
  <si>
    <t>Wood Mantels</t>
  </si>
  <si>
    <t>Wood Pediment Heads</t>
  </si>
  <si>
    <t>Wood Posts and Columns</t>
  </si>
  <si>
    <t>Wood Trim</t>
  </si>
  <si>
    <t>Wood Door and Window Casings</t>
  </si>
  <si>
    <t>Wood Aprons</t>
  </si>
  <si>
    <t>Wood Base and Shoe Moldings</t>
  </si>
  <si>
    <t>Wood Chair Rails</t>
  </si>
  <si>
    <t>Wood Cornices</t>
  </si>
  <si>
    <t>Wood Fascia and Soffits</t>
  </si>
  <si>
    <t>Wood Stops, Stools, and Sills</t>
  </si>
  <si>
    <t>Splicing of Wooden Components</t>
  </si>
  <si>
    <t>Wood Frames</t>
  </si>
  <si>
    <t>Exterior Wood Door Frames</t>
  </si>
  <si>
    <t>Interior Wood Door Frames</t>
  </si>
  <si>
    <t>Ornamental Wood Frames</t>
  </si>
  <si>
    <t>Stick-Built Wood Windows</t>
  </si>
  <si>
    <t>Wood-Veneer Frames</t>
  </si>
  <si>
    <t>Wood Screens and Exterior Wood Shutters</t>
  </si>
  <si>
    <t>Wood Screens</t>
  </si>
  <si>
    <t>Exterior Wood Blinds</t>
  </si>
  <si>
    <t>Exterior Wood Shutters</t>
  </si>
  <si>
    <t>Structural Plastics</t>
  </si>
  <si>
    <t>Structural Plastic Shapes and Plates</t>
  </si>
  <si>
    <t>Plastic Lumber</t>
  </si>
  <si>
    <t>Plastic Structural Assemblies</t>
  </si>
  <si>
    <t>Plastic Decking</t>
  </si>
  <si>
    <t>Solid Plastic Decking</t>
  </si>
  <si>
    <t>Plastic Fabrications</t>
  </si>
  <si>
    <t>Simulated Stone Fabrications</t>
  </si>
  <si>
    <t>Cultured Marble Fabrications</t>
  </si>
  <si>
    <t>Solid Surfacing Fabrications</t>
  </si>
  <si>
    <t>Quartz Surfacing Fabrications</t>
  </si>
  <si>
    <t>Plastic Railings</t>
  </si>
  <si>
    <t>Plastic Paneling</t>
  </si>
  <si>
    <t>Plastic Lattice Paneling</t>
  </si>
  <si>
    <t>Plastic Simulated Wood Trim</t>
  </si>
  <si>
    <t>Custom Ornamental Simulated Woodwork</t>
  </si>
  <si>
    <t>Structural Composites</t>
  </si>
  <si>
    <t>Structural Composite Shapes and Plates</t>
  </si>
  <si>
    <t>Composite Lumber</t>
  </si>
  <si>
    <t>Composite Structural Assemblies</t>
  </si>
  <si>
    <t>Composite Joist Assemblies</t>
  </si>
  <si>
    <t>Composite Decking</t>
  </si>
  <si>
    <t>Composite Structural Decking</t>
  </si>
  <si>
    <t>Composite Gratings</t>
  </si>
  <si>
    <t>Fiberglass Reinforced Gratings</t>
  </si>
  <si>
    <t>Composite Fabrications</t>
  </si>
  <si>
    <t>Composite Railings</t>
  </si>
  <si>
    <t>Glass-Fiber-Reinforced Plastic Railings</t>
  </si>
  <si>
    <t>Composite Paneling</t>
  </si>
  <si>
    <t>Resin Composite Paneling</t>
  </si>
  <si>
    <t>Fiberglass Reinforced Paneling</t>
  </si>
  <si>
    <t>Thermal and Moisture Protection</t>
  </si>
  <si>
    <t>Operation and Maintenance of Thermal and Moisture Protection</t>
  </si>
  <si>
    <t>Maintenance of Dampproofing and Waterproofing</t>
  </si>
  <si>
    <t>Waterproofing Replacement</t>
  </si>
  <si>
    <t>Maintenance of Thermal Protection</t>
  </si>
  <si>
    <t>Maintenance of Steep Slope Roofing</t>
  </si>
  <si>
    <t>Maintenance of Roofing and Siding Panels</t>
  </si>
  <si>
    <t>Maintenance of Membrane Roofing</t>
  </si>
  <si>
    <t>Roof Moisture Survey</t>
  </si>
  <si>
    <t>Roof Maintenance Program</t>
  </si>
  <si>
    <t>Preparation for Re-Roofing</t>
  </si>
  <si>
    <t>Roof Removal</t>
  </si>
  <si>
    <t>Roof Re-Coating</t>
  </si>
  <si>
    <t>Roof Replacement</t>
  </si>
  <si>
    <t>Roofing Restoration</t>
  </si>
  <si>
    <t>Maintenance of Flashing and Sheet Metal</t>
  </si>
  <si>
    <t>Flashing and Sheet Metal Rehabilitation</t>
  </si>
  <si>
    <t>Flashing and Sheet Metal Restoration</t>
  </si>
  <si>
    <t>Flashing and Sheet Metal Preservation</t>
  </si>
  <si>
    <t>Operation and Maintenance of Roof Specialties and Accessories</t>
  </si>
  <si>
    <t>Maintenance of Fire and Smoke Protection</t>
  </si>
  <si>
    <t>Maintenance of Joint Protection</t>
  </si>
  <si>
    <t>Joint Sealant Rehabilitation</t>
  </si>
  <si>
    <t>Joint Sealant Replacement</t>
  </si>
  <si>
    <t>Common Work Results for Thermal and Moisture Protection</t>
  </si>
  <si>
    <t>Commissioning of Thermal and Moisture Protection</t>
  </si>
  <si>
    <t>Dampproofing and Waterproofing</t>
  </si>
  <si>
    <t>Dampproofing</t>
  </si>
  <si>
    <t>Bituminous Dampproofing</t>
  </si>
  <si>
    <t>Cementitious Dampproofing</t>
  </si>
  <si>
    <t>Sheet Dampproofing</t>
  </si>
  <si>
    <t>Built-Up Bituminous Waterproofing</t>
  </si>
  <si>
    <t>Built-Up Asphalt Waterproofing</t>
  </si>
  <si>
    <t>Built-Up Coal Tar Waterproofing</t>
  </si>
  <si>
    <t>Sheet Waterproofing</t>
  </si>
  <si>
    <t>Bituminous Sheet Waterproofing</t>
  </si>
  <si>
    <t>Self-Adhering Sheet Waterproofing</t>
  </si>
  <si>
    <t>Modified Bituminous Sheet Waterproofing</t>
  </si>
  <si>
    <t>Elastomeric Sheet Waterproofing</t>
  </si>
  <si>
    <t>Thermoplastic Sheet Waterproofing</t>
  </si>
  <si>
    <t>Fluid-Applied Waterproofing</t>
  </si>
  <si>
    <t>Hot Fluid-Applied Rubberized Asphalt Waterproofing</t>
  </si>
  <si>
    <t>Cold Fluid-Applied Waterproofing</t>
  </si>
  <si>
    <t>Sheet Metal Waterproofing</t>
  </si>
  <si>
    <t>Cementitious and Reactive Waterproofing</t>
  </si>
  <si>
    <t>Polymer Modified Cement Waterproofing</t>
  </si>
  <si>
    <t>Crystalline Waterproofing</t>
  </si>
  <si>
    <t>Metal Oxide Waterproofing</t>
  </si>
  <si>
    <t>Bentonite Waterproofing</t>
  </si>
  <si>
    <t>Bentonite Panel Waterproofing</t>
  </si>
  <si>
    <t>Bentonite Composite Sheet Waterproofing</t>
  </si>
  <si>
    <t>Traffic Coatings</t>
  </si>
  <si>
    <t>Pedestrian Traffic Coatings</t>
  </si>
  <si>
    <t>Vehicular Traffic Coatings</t>
  </si>
  <si>
    <t>Water Repellents</t>
  </si>
  <si>
    <t>Acrylic Water Repellents</t>
  </si>
  <si>
    <t>Silane Water Repellents</t>
  </si>
  <si>
    <t>Silicone Water Repellents</t>
  </si>
  <si>
    <t>Siloxane Water Repellents</t>
  </si>
  <si>
    <t>Stearate Water Repellents</t>
  </si>
  <si>
    <t>Thermal Protection</t>
  </si>
  <si>
    <t>Thermal Insulation</t>
  </si>
  <si>
    <t>Board Insulation</t>
  </si>
  <si>
    <t>Foam Board Insulation</t>
  </si>
  <si>
    <t>Fibrous Board Insulation</t>
  </si>
  <si>
    <t>Mineral Board Insulation</t>
  </si>
  <si>
    <t>Blanket Insulation</t>
  </si>
  <si>
    <t>Foamed-in-Place Insulation</t>
  </si>
  <si>
    <t>Loose-Fill Insulation</t>
  </si>
  <si>
    <t>Blown Insulation</t>
  </si>
  <si>
    <t>Sprayed Insulation</t>
  </si>
  <si>
    <t>Reflective Insulation</t>
  </si>
  <si>
    <t>Roof and Deck Insulation</t>
  </si>
  <si>
    <t>Asphaltic Perlite Concrete Deck</t>
  </si>
  <si>
    <t>Roof Board Insulation</t>
  </si>
  <si>
    <t>Exterior Insulation and Finish Systems</t>
  </si>
  <si>
    <t>Polymer-Based Exterior Insulation and Finish System</t>
  </si>
  <si>
    <t>Polymer-Modified Exterior Insulation and Finish System</t>
  </si>
  <si>
    <t>Water-Drainage Exterior Insulation and Finish System</t>
  </si>
  <si>
    <t>Direct-Applied Finish Systems</t>
  </si>
  <si>
    <t>Weather Barriers</t>
  </si>
  <si>
    <t>Vapor Retarders</t>
  </si>
  <si>
    <t>Above-Grade Vapor Retarders</t>
  </si>
  <si>
    <t>Below-Grade Vapor Retarders</t>
  </si>
  <si>
    <t>Below-Grade Gas Retarders</t>
  </si>
  <si>
    <t>Air Barriers</t>
  </si>
  <si>
    <t>Modified Bituminous Sheet Air Barriers</t>
  </si>
  <si>
    <t>Sheet Metal Membrane Air Barriers</t>
  </si>
  <si>
    <t>Plastic Sheet Air Barriers</t>
  </si>
  <si>
    <t>Board Product Air Barriers</t>
  </si>
  <si>
    <t>Fluid-Applied Membrane Air Barriers</t>
  </si>
  <si>
    <t>Sprayed Foam Air Barrier</t>
  </si>
  <si>
    <t>Canvas Roofing</t>
  </si>
  <si>
    <t>Shingles and Shakes</t>
  </si>
  <si>
    <t>Asphalt Shingles</t>
  </si>
  <si>
    <t>Fiberglass-Reinforced Asphalt Shingles</t>
  </si>
  <si>
    <t>Metal Shingles</t>
  </si>
  <si>
    <t>Mineral-Fiber Cement Shingles</t>
  </si>
  <si>
    <t>Porcelain Enamel Shingles</t>
  </si>
  <si>
    <t>Slate Shingles</t>
  </si>
  <si>
    <t>Wood Shingles and Shakes</t>
  </si>
  <si>
    <t>Wood Shingles</t>
  </si>
  <si>
    <t>Wood Shakes</t>
  </si>
  <si>
    <t>Composite Rubber Shingles</t>
  </si>
  <si>
    <t>Plastic Shakes</t>
  </si>
  <si>
    <t>Roof Tiles</t>
  </si>
  <si>
    <t>Clay Roof Tiles</t>
  </si>
  <si>
    <t>Concrete Roof Tiles</t>
  </si>
  <si>
    <t>Metal Roof Tiles</t>
  </si>
  <si>
    <t>Mineral-Fiber Cement Roof Tiles</t>
  </si>
  <si>
    <t>Plastic Roof Tiles</t>
  </si>
  <si>
    <t>Rubber Tiles/Panels</t>
  </si>
  <si>
    <t>Natural Roof Coverings</t>
  </si>
  <si>
    <t>Sod Roofing</t>
  </si>
  <si>
    <t>Thatched Roofing</t>
  </si>
  <si>
    <t>Vegetated Roofing</t>
  </si>
  <si>
    <t>Roofing and Siding Panels</t>
  </si>
  <si>
    <t>Roof Panels</t>
  </si>
  <si>
    <t>Metal Roof Panels</t>
  </si>
  <si>
    <t>Wood Roof Panels</t>
  </si>
  <si>
    <t>Plastic Roof Panels</t>
  </si>
  <si>
    <t>Composite Roof Panels</t>
  </si>
  <si>
    <t>Fabricated Roof Panel Assemblies</t>
  </si>
  <si>
    <t>Wall Panels</t>
  </si>
  <si>
    <t>Metal Wall Panels</t>
  </si>
  <si>
    <t>Formed Metal Wall Panels</t>
  </si>
  <si>
    <t>Metal Plate Wall Panels</t>
  </si>
  <si>
    <t>Insulated Metal Wall Panels</t>
  </si>
  <si>
    <t>Metal Composite Material Wall Panels</t>
  </si>
  <si>
    <t>Wood Wall Panels</t>
  </si>
  <si>
    <t>Terracotta Wall Panels</t>
  </si>
  <si>
    <t>Plastic Wall Panels</t>
  </si>
  <si>
    <t>Composite Wall Panels</t>
  </si>
  <si>
    <t>Fabricated Wall Panel Assemblies</t>
  </si>
  <si>
    <t>Soffit Panels</t>
  </si>
  <si>
    <t>Faced Panels</t>
  </si>
  <si>
    <t>Aggregate Coated Panels</t>
  </si>
  <si>
    <t>Porcelain Enameled Faced Panels</t>
  </si>
  <si>
    <t>Tile-Faced Panels</t>
  </si>
  <si>
    <t>Ceramic-Tile-Faced Panels</t>
  </si>
  <si>
    <t>Metal Faced Panels</t>
  </si>
  <si>
    <t>Glass-Fiber-Reinforced Cementitious Panels</t>
  </si>
  <si>
    <t>Mineral-Fiber-Reinforced Cementitious Panels</t>
  </si>
  <si>
    <t>Fabricated Faced Panel Assemblies</t>
  </si>
  <si>
    <t>Siding</t>
  </si>
  <si>
    <t>Aluminum Siding</t>
  </si>
  <si>
    <t>Steel Siding</t>
  </si>
  <si>
    <t>Wood Siding</t>
  </si>
  <si>
    <t>Hardboard Siding</t>
  </si>
  <si>
    <t>Plywood Siding</t>
  </si>
  <si>
    <t>Plastic Siding</t>
  </si>
  <si>
    <t>Composition Siding</t>
  </si>
  <si>
    <t>Fiber-Cement Siding</t>
  </si>
  <si>
    <t>Fabricated Panel Assemblies with Siding</t>
  </si>
  <si>
    <t>Membrane Roofing</t>
  </si>
  <si>
    <t>Built-Up Bituminous Roofing</t>
  </si>
  <si>
    <t>Built-Up Asphalt Roofing</t>
  </si>
  <si>
    <t>Cold-Applied Built-Up Asphalt Roofing</t>
  </si>
  <si>
    <t>Built-Up Coal Tar Roofing</t>
  </si>
  <si>
    <t>Glass-Fiber-Reinforced Asphalt Emulsion Roofing</t>
  </si>
  <si>
    <t>Modified Bituminous Membrane Roofing</t>
  </si>
  <si>
    <t>Atactic-Polypropylene-Modified Bituminous Membrane Roofing</t>
  </si>
  <si>
    <t>Cold Adhesive Applied Atactic-Polypropylene-Modified Bituminous Membrane Roofing</t>
  </si>
  <si>
    <t>Torch-Applied Atactic-Polypropylene-Modified Bituminous Membrane Roofing</t>
  </si>
  <si>
    <t>Mechanically Fastened Atactic-Polypropylene-Modified Bituminous Membrane Roofing</t>
  </si>
  <si>
    <t>Styrene-Butadiene-Styrene Modified Bituminous Membrane Roofing</t>
  </si>
  <si>
    <t>Cold Adhesive Styrene-Butadiene-Styrene Modified Bituminous Membrane Roofing</t>
  </si>
  <si>
    <t>Hot-Mopped Styrene-Butadiene-Styrene Modified Bituminous Membrane Roofing</t>
  </si>
  <si>
    <t>Torch-Applied Styrene-Butadiene-Styrene Modified Bituminous Membrane Roofing</t>
  </si>
  <si>
    <t>Mechanically Fastened Styrene-Butadiene-Styrene Modified Bituminous Membrane Roofing</t>
  </si>
  <si>
    <t>Elastomeric Membrane Roofing</t>
  </si>
  <si>
    <t>Chlorinated-Polyethylene Roofing</t>
  </si>
  <si>
    <t>Chlorosulfonate-Polyethylene Roofing</t>
  </si>
  <si>
    <t>Ethylene-Propylene-Diene-Monomer Roofing</t>
  </si>
  <si>
    <t>Polyisobutylene Roofing</t>
  </si>
  <si>
    <t>Thermoplastic Membrane Roofing</t>
  </si>
  <si>
    <t>Copolymer-Alloy Roofing</t>
  </si>
  <si>
    <t>Ethylene-Interpolymer Roofing</t>
  </si>
  <si>
    <t>Polyvinyl-Chloride Roofing</t>
  </si>
  <si>
    <t>Thermoplastic-Polyolefin Roofing</t>
  </si>
  <si>
    <t>Nitrile-Butadiene-Polymer Roofing</t>
  </si>
  <si>
    <t>Protected Membrane Roofing</t>
  </si>
  <si>
    <t>Built-Up Bituminous Protected Membrane Roofing</t>
  </si>
  <si>
    <t>Modified Bituminous Protected Membrane Roofing</t>
  </si>
  <si>
    <t>Elastomeric Protected Membrane Roofing</t>
  </si>
  <si>
    <t>Thermoplastic Protected Membrane Roofing</t>
  </si>
  <si>
    <t>Fluid-Applied Protected Membrane Roofing</t>
  </si>
  <si>
    <t>Hot-Applied Rubberized Asphalt Protected Membrane Roofing</t>
  </si>
  <si>
    <t>Vegetated Protected Membrane Roofing</t>
  </si>
  <si>
    <t>Fluid-Applied Roofing</t>
  </si>
  <si>
    <t>Coated Foamed Roofing</t>
  </si>
  <si>
    <t>Sprayed Polyurethane Foam Roofing</t>
  </si>
  <si>
    <t>Roll Roofing</t>
  </si>
  <si>
    <t>Flashing and Sheet Metal</t>
  </si>
  <si>
    <t>Sheet Metal Roofing</t>
  </si>
  <si>
    <t>Standing Seam Sheet Metal Roofing</t>
  </si>
  <si>
    <t>Batten Seam Sheet Metal Roofing</t>
  </si>
  <si>
    <t>Flat Seam Sheet Metal Roofing</t>
  </si>
  <si>
    <t>Sheet Metal Flashing and Trim</t>
  </si>
  <si>
    <t>Sheet Metal Roofing Specialties</t>
  </si>
  <si>
    <t>Sheet Metal Wall Cladding</t>
  </si>
  <si>
    <t>Standing Seam Sheet Metal Wall Cladding</t>
  </si>
  <si>
    <t>Batten Seam Sheet Metal Wall Cladding</t>
  </si>
  <si>
    <t>Flat Seam Sheet Metal Wall Cladding</t>
  </si>
  <si>
    <t>Flexible Flashing</t>
  </si>
  <si>
    <t>Laminated Sheet Flashing</t>
  </si>
  <si>
    <t>Modified Bituminous Sheet Flashing</t>
  </si>
  <si>
    <t>Plastic Sheet Flashing</t>
  </si>
  <si>
    <t>Rubber Sheet Flashing</t>
  </si>
  <si>
    <t>Self-Adhering Sheet Flashing</t>
  </si>
  <si>
    <t>Roof and Wall Specialties and Accessories</t>
  </si>
  <si>
    <t>Manufactured Copings</t>
  </si>
  <si>
    <t>Manufactured Counterflashing Systems</t>
  </si>
  <si>
    <t>Manufactured Gravel Stops and Fascias</t>
  </si>
  <si>
    <t>Manufactured Gutters and Downspouts</t>
  </si>
  <si>
    <t>Gutter Debris Guards</t>
  </si>
  <si>
    <t>Reglets</t>
  </si>
  <si>
    <t>Manufactured Roof Expansion Joints</t>
  </si>
  <si>
    <t>Manufactured Scuppers</t>
  </si>
  <si>
    <t>Manufactured Curbs</t>
  </si>
  <si>
    <t>Relief Vents</t>
  </si>
  <si>
    <t>Ridge Vents</t>
  </si>
  <si>
    <t>Roof Hatches</t>
  </si>
  <si>
    <t>Smoke Vents</t>
  </si>
  <si>
    <t>Roof Walk Boards</t>
  </si>
  <si>
    <t>Roof Walkways</t>
  </si>
  <si>
    <t>Snow Guards</t>
  </si>
  <si>
    <t>Waste Containment Assemblies</t>
  </si>
  <si>
    <t>Roof Pavers</t>
  </si>
  <si>
    <t>Roof Ballast Pavers</t>
  </si>
  <si>
    <t>Roof Decking Pavers</t>
  </si>
  <si>
    <t>Wall Specialties</t>
  </si>
  <si>
    <t>Fire and Smoke Protection</t>
  </si>
  <si>
    <t>Applied Fireproofing</t>
  </si>
  <si>
    <t>Cement Aggregate Fireproofing</t>
  </si>
  <si>
    <t>Cementitious Fireproofing</t>
  </si>
  <si>
    <t>Foamed Magnesium-Oxychloride Fireproofing</t>
  </si>
  <si>
    <t>Intumescent Fireproofing</t>
  </si>
  <si>
    <t>Magnesium Cement Fireproofing</t>
  </si>
  <si>
    <t>Mineral-Fiber Cementitious Fireproofing</t>
  </si>
  <si>
    <t>Mineral-Fiber Fireproofing</t>
  </si>
  <si>
    <t>Board Fireproofing</t>
  </si>
  <si>
    <t>Calcium-Silicate Board Fireproofing</t>
  </si>
  <si>
    <t>Slag-Fiber Board Fireproofing</t>
  </si>
  <si>
    <t>Firestopping</t>
  </si>
  <si>
    <t>Penetration Firestopping</t>
  </si>
  <si>
    <t>Penetration Firestopping Mortars</t>
  </si>
  <si>
    <t>Penetration Firestopping Devices</t>
  </si>
  <si>
    <t>Joint Firestopping</t>
  </si>
  <si>
    <t>Building Perimeter Firestopping</t>
  </si>
  <si>
    <t>Smoke Seals</t>
  </si>
  <si>
    <t>Smoke Containment Barriers</t>
  </si>
  <si>
    <t>Joint Protection</t>
  </si>
  <si>
    <t>Preformed Joint Seals</t>
  </si>
  <si>
    <t>Compression Seals</t>
  </si>
  <si>
    <t>Joint Gaskets</t>
  </si>
  <si>
    <t>Backer Rods</t>
  </si>
  <si>
    <t>Joint Fillers</t>
  </si>
  <si>
    <t>Joint Sealants</t>
  </si>
  <si>
    <t>Elastomeric Joint Sealants</t>
  </si>
  <si>
    <t>Rigid Joint Sealants</t>
  </si>
  <si>
    <t>Acoustical Joint Sealants</t>
  </si>
  <si>
    <t>Expansion Control</t>
  </si>
  <si>
    <t>Expansion Joint Cover Assemblies</t>
  </si>
  <si>
    <t>Joint Slide Bearings</t>
  </si>
  <si>
    <t>Bridge Expansion Joint Cover Assemblies</t>
  </si>
  <si>
    <t>Openings</t>
  </si>
  <si>
    <t>Structural Sealant Glazed Curtain Wall</t>
  </si>
  <si>
    <t>Point Supported Structural Glass</t>
  </si>
  <si>
    <t>Safety and Security Films</t>
  </si>
  <si>
    <t>Safety Films</t>
  </si>
  <si>
    <t>Security Films</t>
  </si>
  <si>
    <t>Operation and Maintenance of Openings</t>
  </si>
  <si>
    <t>Operation and Maintenance of Doors and Frames</t>
  </si>
  <si>
    <t>Operation and Maintenance of Metal Doors and Frames</t>
  </si>
  <si>
    <t>Operation and Maintenance of Wood Doors</t>
  </si>
  <si>
    <t>Operation and Maintenance of Plastic Doors</t>
  </si>
  <si>
    <t>Operation and Maintenance of Composite Doors</t>
  </si>
  <si>
    <t>Operation and Maintenance of Integrated Door Opening Assemblies</t>
  </si>
  <si>
    <t>Operation and Maintenance of Specialty Doors and Frames</t>
  </si>
  <si>
    <t>Operation and Maintenance of Sliding Glass Doors</t>
  </si>
  <si>
    <t>Operation and Maintenance of Coiling Doors and Grilles</t>
  </si>
  <si>
    <t>Operation and Maintenance of Special Function Doors</t>
  </si>
  <si>
    <t>Operation and Maintenance of Folding Doors and Grilles</t>
  </si>
  <si>
    <t>Operation and Maintenance of Panel Doors</t>
  </si>
  <si>
    <t>Operation and Maintenance of Traffic Doors</t>
  </si>
  <si>
    <t>Operation and Maintenance of Entrances, Storefronts, and Curtain Walls</t>
  </si>
  <si>
    <t>Operation and Maintenance of Entrances</t>
  </si>
  <si>
    <t>Operation and Maintenance of Storefronts</t>
  </si>
  <si>
    <t>Operation and Maintenance of Curtain Walls</t>
  </si>
  <si>
    <t>Operation and Maintenance of Windows</t>
  </si>
  <si>
    <t>Operation and Maintenance of Metal Windows</t>
  </si>
  <si>
    <t>Operation and Maintenance of Wood Windows</t>
  </si>
  <si>
    <t>Wood Window Repairs</t>
  </si>
  <si>
    <t>Wood Window Rehabilitation</t>
  </si>
  <si>
    <t>Wood Window Replacement</t>
  </si>
  <si>
    <t>Wood Window Restoration</t>
  </si>
  <si>
    <t>Historic Treatment of Wood Windows</t>
  </si>
  <si>
    <t>Operation and Maintenance of Plastic Windows</t>
  </si>
  <si>
    <t>Operation and Maintenance of Composite Windows</t>
  </si>
  <si>
    <t>Operation and Maintenance of Special Function Windows</t>
  </si>
  <si>
    <t>Operation and Maintenance of Skylights and Roof Windows</t>
  </si>
  <si>
    <t>Operation and Maintenance of Roof Windows</t>
  </si>
  <si>
    <t>Operation and Maintenance of Unit Skylights</t>
  </si>
  <si>
    <t>Operation and Maintenance of Metal-Framed Skylights</t>
  </si>
  <si>
    <t>Operation and Maintenance of Plastic-Framed Skylights</t>
  </si>
  <si>
    <t>Operation and Maintenance of Hardware</t>
  </si>
  <si>
    <t>Operation and Maintenance of Door Hardware</t>
  </si>
  <si>
    <t>Operation and Maintenance of Access Control Hardware</t>
  </si>
  <si>
    <t>Operation and Maintenance of Window Hardware</t>
  </si>
  <si>
    <t>Maintenance of Glazing</t>
  </si>
  <si>
    <t>Maintenance of Glass Glazing</t>
  </si>
  <si>
    <t>Maintenance of Plastic Glazing</t>
  </si>
  <si>
    <t>Maintenance of Special Function Glazing</t>
  </si>
  <si>
    <t>Operation and Maintenance of Louvers and Vents</t>
  </si>
  <si>
    <t>Operation and Maintenance of Louvers</t>
  </si>
  <si>
    <t>Operation and Maintenance of Louvered Equipment Enclosures</t>
  </si>
  <si>
    <t>Operation and Maintenance of Vents</t>
  </si>
  <si>
    <t>Common Work Results for Openings</t>
  </si>
  <si>
    <t>Commissioning of Openings</t>
  </si>
  <si>
    <t>Doors and Frames</t>
  </si>
  <si>
    <t>Metal Doors and Frames</t>
  </si>
  <si>
    <t>Hollow Metal Doors and Frames</t>
  </si>
  <si>
    <t>Standard Hollow Metal Doors and Frames</t>
  </si>
  <si>
    <t>Custom Hollow Metal Doors and Frames</t>
  </si>
  <si>
    <t>Aluminum Doors and Frames</t>
  </si>
  <si>
    <t>Stainless-Steel Doors and Frames</t>
  </si>
  <si>
    <t>Bronze Doors and Frames</t>
  </si>
  <si>
    <t>Metal Screen and Storm Doors and Frames</t>
  </si>
  <si>
    <t>Steel Screen and Storm Doors and Frames</t>
  </si>
  <si>
    <t>Aluminum Screen and Storm Doors and Frames</t>
  </si>
  <si>
    <t>Metal Screen Doors and Frames</t>
  </si>
  <si>
    <t>Steel Screen Doors and Frames</t>
  </si>
  <si>
    <t>Aluminum Screen Doors and Frames</t>
  </si>
  <si>
    <t>Metal Storm Doors and Frames</t>
  </si>
  <si>
    <t>Steel Storm Doors and Frames</t>
  </si>
  <si>
    <t>Aluminum Storm Doors and Frames</t>
  </si>
  <si>
    <t>Sliding Metal Firedoors</t>
  </si>
  <si>
    <t>Sliding Metal Grilles</t>
  </si>
  <si>
    <t>Metal Frames</t>
  </si>
  <si>
    <t>Hollow Metal Frames</t>
  </si>
  <si>
    <t>Standard Hollow Metal Frames</t>
  </si>
  <si>
    <t>Custom Hollow Metal Frames</t>
  </si>
  <si>
    <t>Aluminum Frames</t>
  </si>
  <si>
    <t>Stainless-Steel Frames</t>
  </si>
  <si>
    <t>Bronze Frames</t>
  </si>
  <si>
    <t>Metal Doors</t>
  </si>
  <si>
    <t>Hollow Metal Doors</t>
  </si>
  <si>
    <t>Standard Hollow Metal Doors</t>
  </si>
  <si>
    <t>Custom Hollow Metal Doors</t>
  </si>
  <si>
    <t>Aluminum Doors</t>
  </si>
  <si>
    <t>Stainless-Steel Doors</t>
  </si>
  <si>
    <t>Bronze Doors</t>
  </si>
  <si>
    <t>Sliding Metal Doors</t>
  </si>
  <si>
    <t>Bifolding Metal Doors</t>
  </si>
  <si>
    <t>Wood Doors</t>
  </si>
  <si>
    <t>Carved Wood Doors</t>
  </si>
  <si>
    <t>Flush Wood Doors</t>
  </si>
  <si>
    <t>Clad Wood Doors</t>
  </si>
  <si>
    <t>Metal-Faced Wood Doors</t>
  </si>
  <si>
    <t>Plastic-Laminate-Faced Wood Doors</t>
  </si>
  <si>
    <t>Molded-Hardboard-Faced Wood Doors</t>
  </si>
  <si>
    <t>Prefinished Wood Doors</t>
  </si>
  <si>
    <t>Stile and Rail Wood Doors</t>
  </si>
  <si>
    <t>Wood Screen Doors</t>
  </si>
  <si>
    <t>Wood Storm Doors</t>
  </si>
  <si>
    <t>Sliding Wood Doors</t>
  </si>
  <si>
    <t>Bifolding Wood Doors</t>
  </si>
  <si>
    <t>Plastic Doors</t>
  </si>
  <si>
    <t>Laminated Plastic Doors</t>
  </si>
  <si>
    <t>Solid Plastic Doors</t>
  </si>
  <si>
    <t>Plastic Screen Doors</t>
  </si>
  <si>
    <t>Plastic Storm Doors</t>
  </si>
  <si>
    <t>Sliding Plastic Doors</t>
  </si>
  <si>
    <t>Bifolding Plastic Doors</t>
  </si>
  <si>
    <t>Composite Doors</t>
  </si>
  <si>
    <t>Fiberglass Doors</t>
  </si>
  <si>
    <t>Sliding Composite Doors</t>
  </si>
  <si>
    <t>Bifolding Composite Doors</t>
  </si>
  <si>
    <t>Integrated Door Opening Assemblies</t>
  </si>
  <si>
    <t>Integrated Metal Door Opening Assemblies</t>
  </si>
  <si>
    <t>Integrated Wood Door Opening Assemblies</t>
  </si>
  <si>
    <t>Integrated Plastic Door Opening Assemblies</t>
  </si>
  <si>
    <t>Integrated Composite Door Opening Assemblies</t>
  </si>
  <si>
    <t>Specialty Doors and Frames</t>
  </si>
  <si>
    <t>Access Doors and Panels</t>
  </si>
  <si>
    <t>Access Doors and Frames</t>
  </si>
  <si>
    <t>Security Access Doors and Frames</t>
  </si>
  <si>
    <t>Access Panels and Frames</t>
  </si>
  <si>
    <t>Sliding Glass Doors</t>
  </si>
  <si>
    <t>Sliding Aluminum-Framed Glass Doors</t>
  </si>
  <si>
    <t>Sliding Plastic-Framed Glass Doors</t>
  </si>
  <si>
    <t>Sliding Wood-Framed Glass Doors</t>
  </si>
  <si>
    <t>Coiling Doors and Grilles</t>
  </si>
  <si>
    <t>Coiling Counter Doors</t>
  </si>
  <si>
    <t>Coiling Counter Grilles</t>
  </si>
  <si>
    <t>Overhead Coiling Doors</t>
  </si>
  <si>
    <t>Overhead Rapid Coiling Doors</t>
  </si>
  <si>
    <t>Overhead Coiling Grilles</t>
  </si>
  <si>
    <t>Side Coiling Doors</t>
  </si>
  <si>
    <t>Side Coiling Grilles</t>
  </si>
  <si>
    <t>Overhead Coiling Smoke Curtains</t>
  </si>
  <si>
    <t>Special Function Doors</t>
  </si>
  <si>
    <t>Cold Storage Doors</t>
  </si>
  <si>
    <t>Hangar Doors</t>
  </si>
  <si>
    <t>Industrial Doors</t>
  </si>
  <si>
    <t>Lightproof Doors</t>
  </si>
  <si>
    <t>Darkroom Doors</t>
  </si>
  <si>
    <t>Radio-Frequency-Interference Shielding Doors</t>
  </si>
  <si>
    <t>Radiation Shielding Doors and Frames</t>
  </si>
  <si>
    <t>Neutron Shielding Doors and Frames</t>
  </si>
  <si>
    <t>Security Doors and Frames</t>
  </si>
  <si>
    <t>Security Gates</t>
  </si>
  <si>
    <t>File Room Doors and Frames</t>
  </si>
  <si>
    <t>Vault Doors and Day Gates</t>
  </si>
  <si>
    <t>Detention Doors and Frames</t>
  </si>
  <si>
    <t>Steel Detention Doors and Frames</t>
  </si>
  <si>
    <t>Steel Plate Detention Doors and Frames</t>
  </si>
  <si>
    <t>Detention Door Frame Protection</t>
  </si>
  <si>
    <t>Sound Control Door Assemblies</t>
  </si>
  <si>
    <t>Folding Doors and Grilles</t>
  </si>
  <si>
    <t>Folding Doors</t>
  </si>
  <si>
    <t>Accordion Folding Doors</t>
  </si>
  <si>
    <t>Accordion Folding Fire Doors</t>
  </si>
  <si>
    <t>Panel Folding Doors</t>
  </si>
  <si>
    <t>Folding Grilles</t>
  </si>
  <si>
    <t>Accordion Folding Grilles</t>
  </si>
  <si>
    <t>Panel Doors</t>
  </si>
  <si>
    <t>Sectional Doors</t>
  </si>
  <si>
    <t>Single-Panel Doors</t>
  </si>
  <si>
    <t>Multi-Leaf Vertical Lift Doors</t>
  </si>
  <si>
    <t>Telescoping Vertical Lift Doors</t>
  </si>
  <si>
    <t>Traffic Doors</t>
  </si>
  <si>
    <t>Flexible Strip Doors</t>
  </si>
  <si>
    <t>Flexible Traffic Doors</t>
  </si>
  <si>
    <t>Rigid Traffic Doors</t>
  </si>
  <si>
    <t>Pressure-Resistant Doors</t>
  </si>
  <si>
    <t>Airtight Doors</t>
  </si>
  <si>
    <t>Watertight Doors</t>
  </si>
  <si>
    <t>Blast-Resistant Doors</t>
  </si>
  <si>
    <t>Entrances, Storefronts, and Curtain Walls</t>
  </si>
  <si>
    <t>Entrances and Storefronts</t>
  </si>
  <si>
    <t>Aluminum-Framed Entrances and Storefronts</t>
  </si>
  <si>
    <t>Bronze-Framed Entrances and Storefronts</t>
  </si>
  <si>
    <t>Stainless-Steel-Framed Entrances and Storefronts</t>
  </si>
  <si>
    <t>Steel-Framed Entrances and Storefronts</t>
  </si>
  <si>
    <t>All-Glass Entrances and Storefronts</t>
  </si>
  <si>
    <t>Entrances</t>
  </si>
  <si>
    <t>All-Glass Entrances</t>
  </si>
  <si>
    <t>Automatic Entrances</t>
  </si>
  <si>
    <t>Folding Automatic Entrances</t>
  </si>
  <si>
    <t>Sliding Automatic Entrances</t>
  </si>
  <si>
    <t>Swinging Automatic Entrances</t>
  </si>
  <si>
    <t>Revolving Door Entrances</t>
  </si>
  <si>
    <t>Security Revolving Door Entrances</t>
  </si>
  <si>
    <t>Balanced Door Entrances</t>
  </si>
  <si>
    <t>Pressure-Resistant Entrances</t>
  </si>
  <si>
    <t>Intensive Care Unit/Critical Care Unit Entrances</t>
  </si>
  <si>
    <t>Storefronts</t>
  </si>
  <si>
    <t>Timber-Framed Storefronts</t>
  </si>
  <si>
    <t>Aluminum-Framed Storefronts</t>
  </si>
  <si>
    <t>Bronze-Framed Storefronts</t>
  </si>
  <si>
    <t>Stainless-Steel-Framed Storefronts</t>
  </si>
  <si>
    <t>Steel-Framed Storefronts</t>
  </si>
  <si>
    <t>All-Glass Storefronts</t>
  </si>
  <si>
    <t>Channel Glass Storefronts</t>
  </si>
  <si>
    <t>Sliding Storefronts</t>
  </si>
  <si>
    <t>Curtain Wall and Glazed Assemblies</t>
  </si>
  <si>
    <t>Glazed Timber Curtain Walls</t>
  </si>
  <si>
    <t>Glazed Aluminum Curtain Walls</t>
  </si>
  <si>
    <t>Glazed Bronze Curtain Walls</t>
  </si>
  <si>
    <t>Glazed Steel Curtain Walls</t>
  </si>
  <si>
    <t>Glazed Stainless-Steel Curtain Walls</t>
  </si>
  <si>
    <t>Structural Glass Curtain Walls</t>
  </si>
  <si>
    <t>Sloped Glazing Assemblies</t>
  </si>
  <si>
    <t>Translucent Wall and Roof Assemblies</t>
  </si>
  <si>
    <t>Structured-Polycarbonate-Panel Assemblies</t>
  </si>
  <si>
    <t>Fiberglass-Sandwich-Panel Assemblies</t>
  </si>
  <si>
    <t>Windows</t>
  </si>
  <si>
    <t>Metal Windows</t>
  </si>
  <si>
    <t>Aluminum Windows</t>
  </si>
  <si>
    <t>Bronze Windows</t>
  </si>
  <si>
    <t>Stainless-Steel Windows</t>
  </si>
  <si>
    <t>Steel Windows</t>
  </si>
  <si>
    <t>Metal Window Screens</t>
  </si>
  <si>
    <t>Metal Storm Windows</t>
  </si>
  <si>
    <t>Wood Windows</t>
  </si>
  <si>
    <t>Metal-Clad Wood Windows</t>
  </si>
  <si>
    <t>Plastic-Clad Wood Windows</t>
  </si>
  <si>
    <t>Wood Window Screens</t>
  </si>
  <si>
    <t>Wood Storm Windows</t>
  </si>
  <si>
    <t>Plastic Windows</t>
  </si>
  <si>
    <t>Vinyl Windows</t>
  </si>
  <si>
    <t>Vinyl Window Screens</t>
  </si>
  <si>
    <t>Vinyl Storm Windows</t>
  </si>
  <si>
    <t>Composite Windows</t>
  </si>
  <si>
    <t>Fiberglass Windows</t>
  </si>
  <si>
    <t>Fiberglass Window Screens</t>
  </si>
  <si>
    <t>Fiberglass Storm Windows</t>
  </si>
  <si>
    <t>Pressure-Resistant Windows</t>
  </si>
  <si>
    <t>Special Function Windows</t>
  </si>
  <si>
    <t>Pass Windows</t>
  </si>
  <si>
    <t>Radio-Frequency-Interference Shielding Windows</t>
  </si>
  <si>
    <t>Radiation Shielding Windows</t>
  </si>
  <si>
    <t>Security Windows</t>
  </si>
  <si>
    <t>Security Window Screens</t>
  </si>
  <si>
    <t>Service and Teller Window Units</t>
  </si>
  <si>
    <t>Detention Windows</t>
  </si>
  <si>
    <t>Detention Window Screens</t>
  </si>
  <si>
    <t>Sound Control Windows</t>
  </si>
  <si>
    <t>Interior Insulating Windows</t>
  </si>
  <si>
    <t>Roof Windows</t>
  </si>
  <si>
    <t>Metal Roof Windows</t>
  </si>
  <si>
    <t>Wood Roof Windows</t>
  </si>
  <si>
    <t>Unit Skylights</t>
  </si>
  <si>
    <t>Domed Unit Skylights</t>
  </si>
  <si>
    <t>Pyramidal Unit Skylights</t>
  </si>
  <si>
    <t>Vaulted Unit Skylights</t>
  </si>
  <si>
    <t>Tubular Skylights</t>
  </si>
  <si>
    <t>Metal-Framed Skylights</t>
  </si>
  <si>
    <t>Domed Metal-Framed Skylights</t>
  </si>
  <si>
    <t>Pyramidal Metal-Framed Skylights</t>
  </si>
  <si>
    <t>Vaulted Metal-Framed Skylights</t>
  </si>
  <si>
    <t>Ridge Metal-Framed Skylights</t>
  </si>
  <si>
    <t>Motorized Metal-Framed Skylights</t>
  </si>
  <si>
    <t>Plastic-Framed Skylights</t>
  </si>
  <si>
    <t>Skylight Protection and Screens</t>
  </si>
  <si>
    <t>Hardware</t>
  </si>
  <si>
    <t>Door Hardware</t>
  </si>
  <si>
    <t>Automatic Door Operators</t>
  </si>
  <si>
    <t>Security Door Hardware</t>
  </si>
  <si>
    <t>Detention Door Hardware</t>
  </si>
  <si>
    <t>Access Control Hardware</t>
  </si>
  <si>
    <t>Card Key Access Control Hardware</t>
  </si>
  <si>
    <t>Keypad Access Control Hardware</t>
  </si>
  <si>
    <t>Biometric Identity Access Control Hardware</t>
  </si>
  <si>
    <t>Window Hardware</t>
  </si>
  <si>
    <t>Automatic Window Equipment</t>
  </si>
  <si>
    <t>Window Operators</t>
  </si>
  <si>
    <t>Special Function Hardware</t>
  </si>
  <si>
    <t>Hardware Accessories</t>
  </si>
  <si>
    <t>Key Storage Equipment</t>
  </si>
  <si>
    <t>Glazing</t>
  </si>
  <si>
    <t>Glass Glazing</t>
  </si>
  <si>
    <t>Decorative Glass Glazing</t>
  </si>
  <si>
    <t>Mirrors</t>
  </si>
  <si>
    <t>Mirrored Glass Glazing</t>
  </si>
  <si>
    <t>Mirrored Plastic Glazing</t>
  </si>
  <si>
    <t>Plastic Glazing</t>
  </si>
  <si>
    <t>Decorative Plastic Glazing</t>
  </si>
  <si>
    <t>Glazing Accessories</t>
  </si>
  <si>
    <t>Glazing Surface Films</t>
  </si>
  <si>
    <t>Solar Control Films</t>
  </si>
  <si>
    <t>Decorative Films</t>
  </si>
  <si>
    <t>Special Function Glazing</t>
  </si>
  <si>
    <t>Fire-Resistant Glazing</t>
  </si>
  <si>
    <t>Hurricane-Resistant Glazing</t>
  </si>
  <si>
    <t>Cable Suspended Glazing</t>
  </si>
  <si>
    <t>Transparent Mirrored Glazing</t>
  </si>
  <si>
    <t>Switchable Glass</t>
  </si>
  <si>
    <t>Electronically Controlled Switchable Glass</t>
  </si>
  <si>
    <t>Pressure-Resistant Glazing</t>
  </si>
  <si>
    <t>Radiation-Resistant Glazing</t>
  </si>
  <si>
    <t>Security Glazing</t>
  </si>
  <si>
    <t>Ballistics-Resistant Glazing</t>
  </si>
  <si>
    <t>Louvers and Vents</t>
  </si>
  <si>
    <t>Louvers</t>
  </si>
  <si>
    <t>Motorized Wall Louvers</t>
  </si>
  <si>
    <t>Operable Wall Louvers</t>
  </si>
  <si>
    <t>Fixed Louvers</t>
  </si>
  <si>
    <t>Door Louvers</t>
  </si>
  <si>
    <t>Louvered Equipment Enclosures</t>
  </si>
  <si>
    <t>Vents</t>
  </si>
  <si>
    <t>Soffit Vents</t>
  </si>
  <si>
    <t>Wall Vents</t>
  </si>
  <si>
    <t>Explosion Vents</t>
  </si>
  <si>
    <t>Flood Vents</t>
  </si>
  <si>
    <t>Finishes</t>
  </si>
  <si>
    <t>Maintenance of Finishes</t>
  </si>
  <si>
    <t>Maintenance of Plaster and Gypsum Board</t>
  </si>
  <si>
    <t>Plaster Restoration</t>
  </si>
  <si>
    <t>Maintenance of Tiling</t>
  </si>
  <si>
    <t>Tile Restoration</t>
  </si>
  <si>
    <t>Maintenance of Ceilings</t>
  </si>
  <si>
    <t>Ceiling Restoration</t>
  </si>
  <si>
    <t>Maintenance of Flooring</t>
  </si>
  <si>
    <t>Flooring Restoration</t>
  </si>
  <si>
    <t>Maintenance of Wall Finishes</t>
  </si>
  <si>
    <t>Wall Finish Restoration</t>
  </si>
  <si>
    <t>Maintenance of Acoustic Treatment</t>
  </si>
  <si>
    <t>Maintenance of Painting and Coating</t>
  </si>
  <si>
    <t>Paint Cleaning</t>
  </si>
  <si>
    <t>Maintenance Repainting</t>
  </si>
  <si>
    <t>Maintenance Coatings</t>
  </si>
  <si>
    <t>Repainting</t>
  </si>
  <si>
    <t>Paint Restoration</t>
  </si>
  <si>
    <t>Coating Restoration</t>
  </si>
  <si>
    <t>Paint Preservation</t>
  </si>
  <si>
    <t>Common Work Results for Finishes</t>
  </si>
  <si>
    <t>Common Finishes</t>
  </si>
  <si>
    <t>Common Work Results for Flooring Preparation</t>
  </si>
  <si>
    <t>Commissioning of Finishes</t>
  </si>
  <si>
    <t>Plaster and Gypsum Board</t>
  </si>
  <si>
    <t>Plaster and Gypsum Board Assemblies</t>
  </si>
  <si>
    <t>Plaster Assemblies</t>
  </si>
  <si>
    <t>Gypsum Board Assemblies</t>
  </si>
  <si>
    <t>Gypsum Board Shaft Wall Assemblies</t>
  </si>
  <si>
    <t>Gypsum Board Area Separation Wall Assemblies</t>
  </si>
  <si>
    <t>Supports for Plaster and Gypsum Board</t>
  </si>
  <si>
    <t>Metal Furring</t>
  </si>
  <si>
    <t>Metal Channel Furring</t>
  </si>
  <si>
    <t>Resilient Channel Furring</t>
  </si>
  <si>
    <t>Non-Structural Metal Framing</t>
  </si>
  <si>
    <t>Non-Structural Metal Stud Framing</t>
  </si>
  <si>
    <t>Suspension Systems</t>
  </si>
  <si>
    <t>Metal Suspension Systems</t>
  </si>
  <si>
    <t>Plastic Suspension Systems</t>
  </si>
  <si>
    <t>Lath</t>
  </si>
  <si>
    <t>Gypsum Lath</t>
  </si>
  <si>
    <t>Metal Lath</t>
  </si>
  <si>
    <t>Veneer Plaster Base</t>
  </si>
  <si>
    <t>Gypsum Plastering</t>
  </si>
  <si>
    <t>Acoustical Gypsum Plastering</t>
  </si>
  <si>
    <t>Fireproof Gypsum Plastering</t>
  </si>
  <si>
    <t>Cement Plastering</t>
  </si>
  <si>
    <t>Adobe Finish</t>
  </si>
  <si>
    <t>Cement Stucco</t>
  </si>
  <si>
    <t>Cement Parging</t>
  </si>
  <si>
    <t>Other Plastering</t>
  </si>
  <si>
    <t>Acrylic Plastering</t>
  </si>
  <si>
    <t>Acrylic Plaster Finish</t>
  </si>
  <si>
    <t>Lime Based Plastering</t>
  </si>
  <si>
    <t>Natural Clay Plastering</t>
  </si>
  <si>
    <t>Veneer Plastering</t>
  </si>
  <si>
    <t>Gypsum Veneer Plastering</t>
  </si>
  <si>
    <t>Plaster Fabrications</t>
  </si>
  <si>
    <t>Glass-Fiber-Reinforced Plaster Fabrications</t>
  </si>
  <si>
    <t>Simulated Plaster Fabrications</t>
  </si>
  <si>
    <t>Backing Boards and Underlayments</t>
  </si>
  <si>
    <t>Cementitious Backing Boards</t>
  </si>
  <si>
    <t>Glass-Mat Faced Gypsum Backing Boards</t>
  </si>
  <si>
    <t>Fibered Gypsum Backing Boards</t>
  </si>
  <si>
    <t>Gypsum Board</t>
  </si>
  <si>
    <t>Gypsum Board Fireproofing</t>
  </si>
  <si>
    <t>Tiling</t>
  </si>
  <si>
    <t>Ceramic Tiling</t>
  </si>
  <si>
    <t>Quarry Tiling</t>
  </si>
  <si>
    <t>Paver Tiling</t>
  </si>
  <si>
    <t>Glass Mosaic Tiling</t>
  </si>
  <si>
    <t>Plastic Tiling</t>
  </si>
  <si>
    <t>Metal Tiling</t>
  </si>
  <si>
    <t>Stone Tiling</t>
  </si>
  <si>
    <t>Concrete Tiling</t>
  </si>
  <si>
    <t>Brick Tiling</t>
  </si>
  <si>
    <t>Thin-Set Tiling</t>
  </si>
  <si>
    <t>Thin-Set Ceramic Tiling</t>
  </si>
  <si>
    <t>Thin-Set Quarry Tiling</t>
  </si>
  <si>
    <t>Thin-Set Paver Tiling</t>
  </si>
  <si>
    <t>Thin-Set Glass Mosaic Tiling</t>
  </si>
  <si>
    <t>Thin-Set Plastic Tiling</t>
  </si>
  <si>
    <t>Thin-Set Metal Tiling</t>
  </si>
  <si>
    <t>Thin-Set Stone Tiling</t>
  </si>
  <si>
    <t>Thin-Set Concrete Tiling</t>
  </si>
  <si>
    <t>Mortar-Bed Tiling</t>
  </si>
  <si>
    <t>Mortar-Bed Ceramic Tiling</t>
  </si>
  <si>
    <t>Mortar-Bed Quarry Tiling</t>
  </si>
  <si>
    <t>Mortar-Bed Paver Tiling</t>
  </si>
  <si>
    <t>Mortar-Bed Glass Mosaic Tiling</t>
  </si>
  <si>
    <t>Mortar-Bed Plastic Tiling</t>
  </si>
  <si>
    <t>Mortar-Bed Metal Tiling</t>
  </si>
  <si>
    <t>Mortar-Bed Stone Tiling</t>
  </si>
  <si>
    <t>Mortar-Bed Concrete Tiling</t>
  </si>
  <si>
    <t>Conductive Tiling</t>
  </si>
  <si>
    <t>Conductive Ceramic Tiling</t>
  </si>
  <si>
    <t>Conductive Quarry Tiling</t>
  </si>
  <si>
    <t>Conductive Paver Tiling</t>
  </si>
  <si>
    <t>Conductive Glass Mosaic Tiling</t>
  </si>
  <si>
    <t>Conductive Plastic Tiling</t>
  </si>
  <si>
    <t>Conductive Metal Tiling</t>
  </si>
  <si>
    <t>Conductive Stone Tiling</t>
  </si>
  <si>
    <t>Conductive Concrete Tiling</t>
  </si>
  <si>
    <t>Waterproofing-Membrane Tiling</t>
  </si>
  <si>
    <t>Waterproofing-Membrane Ceramic Tiling</t>
  </si>
  <si>
    <t>Waterproofing-Membrane Quarry Tiling</t>
  </si>
  <si>
    <t>Waterproofing-Membrane Paver Tiling</t>
  </si>
  <si>
    <t>Waterproofing-Membrane Glass Mosaic Tiling</t>
  </si>
  <si>
    <t>Waterproofing-Membrane Plastic Tiling</t>
  </si>
  <si>
    <t>Waterproofing-Membrane Metal Tiling</t>
  </si>
  <si>
    <t>Waterproofing-Membrane Stone Tiling</t>
  </si>
  <si>
    <t>Waterproofing-Membrane Concrete Tiling</t>
  </si>
  <si>
    <t>Chemical-Resistant Tiling</t>
  </si>
  <si>
    <t>Chemical-Resistant Ceramic Tiling</t>
  </si>
  <si>
    <t>Chemical-Resistant Quarry Tiling</t>
  </si>
  <si>
    <t>Chemical-Resistant Paver Tiling</t>
  </si>
  <si>
    <t>Chemical-Resistant Glass Mosaic Tiling</t>
  </si>
  <si>
    <t>Chemical-Resistant Plastic Tiling</t>
  </si>
  <si>
    <t>Chemical-Resistant Metal Tiling</t>
  </si>
  <si>
    <t>Chemical-Resistant Stone Tiling</t>
  </si>
  <si>
    <t>Chemical-Resistant Concrete Tiling</t>
  </si>
  <si>
    <t>Ceilings</t>
  </si>
  <si>
    <t>Acoustical Ceilings</t>
  </si>
  <si>
    <t>Acoustical Panel Ceilings</t>
  </si>
  <si>
    <t>Acoustical Fabric-Faced Panel Ceilings</t>
  </si>
  <si>
    <t>Acoustical Tile Ceilings</t>
  </si>
  <si>
    <t>Acoustical Wood Ceilings</t>
  </si>
  <si>
    <t>Acoustical Metal Pan Ceilings</t>
  </si>
  <si>
    <t>Acoustical Snap-in Metal Pan Ceilings</t>
  </si>
  <si>
    <t>Direct-Applied Acoustical Ceilings</t>
  </si>
  <si>
    <t>Acoustical Ceiling Suspension Assemblies</t>
  </si>
  <si>
    <t>Curved Profile Ceiling Suspension Assemblies</t>
  </si>
  <si>
    <t>Metal Acoustical Ceiling Suspension Assemblies</t>
  </si>
  <si>
    <t>Plastic Acoustical Ceiling Suspension Assemblies</t>
  </si>
  <si>
    <t>Specialty Ceilings</t>
  </si>
  <si>
    <t>Open Metal Mesh Ceilings</t>
  </si>
  <si>
    <t>Luminous Ceilings</t>
  </si>
  <si>
    <t>Mirror Panel Ceilings</t>
  </si>
  <si>
    <t>Linear Metal Ceilings</t>
  </si>
  <si>
    <t>Suspended Wood Ceilings</t>
  </si>
  <si>
    <t>Decorative Panel Ceilings</t>
  </si>
  <si>
    <t>Suspended Decorative Grids</t>
  </si>
  <si>
    <t>Stretched-Fabric Ceiling Systems</t>
  </si>
  <si>
    <t>Fabric-Wrapped Ceiling Panels</t>
  </si>
  <si>
    <t>Fiberglass Reinforced Panel Ceilings</t>
  </si>
  <si>
    <t>Textured Ceilings</t>
  </si>
  <si>
    <t>Gypsum-Panel Textured Ceilings</t>
  </si>
  <si>
    <t>Metal-Panel Textured Ceilings</t>
  </si>
  <si>
    <t>Special Function Ceilings</t>
  </si>
  <si>
    <t>Security Ceiling Assemblies</t>
  </si>
  <si>
    <t>Integrated Ceiling Assemblies</t>
  </si>
  <si>
    <t>Acoustical Underlayment</t>
  </si>
  <si>
    <t>Slip-Resistant Flooring Treatment</t>
  </si>
  <si>
    <t>Static-Resistant Flooring Treatment</t>
  </si>
  <si>
    <t>Asphaltic Plank Flooring</t>
  </si>
  <si>
    <t>Laminate Flooring</t>
  </si>
  <si>
    <t>Bamboo Flooring</t>
  </si>
  <si>
    <t>Leather Flooring</t>
  </si>
  <si>
    <t>Cork Flooring</t>
  </si>
  <si>
    <t>Acid-Resistant Flooring</t>
  </si>
  <si>
    <t>Acoustic Flooring</t>
  </si>
  <si>
    <t>Synthetic Turf Flooring</t>
  </si>
  <si>
    <t>Metal Flooring</t>
  </si>
  <si>
    <t>Aluminum Flooring</t>
  </si>
  <si>
    <t>Stainless Steel Flooring</t>
  </si>
  <si>
    <t>Structural Glass Flooring</t>
  </si>
  <si>
    <t>Brick Flooring</t>
  </si>
  <si>
    <t>Chemical-Resistant Brick Flooring</t>
  </si>
  <si>
    <t>Stone Flooring</t>
  </si>
  <si>
    <t>Composition Stone Flooring</t>
  </si>
  <si>
    <t>Wood Block Flooring</t>
  </si>
  <si>
    <t>Wood Composition Flooring</t>
  </si>
  <si>
    <t>Wood Parquet Flooring</t>
  </si>
  <si>
    <t>Acrylic-Impregnated Wood Parquet Flooring</t>
  </si>
  <si>
    <t>Wood Strip and Plank Flooring</t>
  </si>
  <si>
    <t>Laminated Wood Flooring</t>
  </si>
  <si>
    <t>Resilient Wood Flooring Assemblies</t>
  </si>
  <si>
    <t>Wood Athletic Flooring</t>
  </si>
  <si>
    <t>Resilient Base and Accessories</t>
  </si>
  <si>
    <t>Resilient Base</t>
  </si>
  <si>
    <t>Resilient Stair Treads and Risers</t>
  </si>
  <si>
    <t>Resilient Stair Nosings</t>
  </si>
  <si>
    <t>Resilient Accessories</t>
  </si>
  <si>
    <t>Resilient Carpet Transitions</t>
  </si>
  <si>
    <t>Resilient Sheet Flooring</t>
  </si>
  <si>
    <t>Vinyl Sheet Flooring</t>
  </si>
  <si>
    <t>Rubber Sheet Flooring</t>
  </si>
  <si>
    <t>PVC-Free Sheet Flooring</t>
  </si>
  <si>
    <t>Resilient Tile Flooring</t>
  </si>
  <si>
    <t>Conductive Resilient Flooring</t>
  </si>
  <si>
    <t>Static-Control Resilient Flooring</t>
  </si>
  <si>
    <t>Static-Dissipative Resilient Flooring</t>
  </si>
  <si>
    <t>Static-Resistant Resilient Flooring</t>
  </si>
  <si>
    <t>Linoleum Flooring</t>
  </si>
  <si>
    <t>Resilient Athletic Flooring</t>
  </si>
  <si>
    <t>Portland Cement Terrazzo Flooring</t>
  </si>
  <si>
    <t>Sand Cushion Terrazzo Flooring</t>
  </si>
  <si>
    <t>Monolithic Terrazzo Flooring</t>
  </si>
  <si>
    <t>Bonded Terrazzo Flooring</t>
  </si>
  <si>
    <t>Palladina Terrazzo Flooring</t>
  </si>
  <si>
    <t>Rustic Terrazzo Flooring</t>
  </si>
  <si>
    <t>Structural Terrazzo Flooring</t>
  </si>
  <si>
    <t>Terrazzo Floor Tile</t>
  </si>
  <si>
    <t>Portland Cement Terrazzo Floor Tile</t>
  </si>
  <si>
    <t>Plastic-Matrix Terrazzo Floor Tile</t>
  </si>
  <si>
    <t>Resinous Matrix Terrazzo Flooring</t>
  </si>
  <si>
    <t>Polyacrylate Modified Cementitious Terrazzo Flooring</t>
  </si>
  <si>
    <t>Epoxy-Resin Terrazzo Flooring</t>
  </si>
  <si>
    <t>Polyester-Resin Terrazzo Flooring</t>
  </si>
  <si>
    <t>Conductive Terrazzo Flooring</t>
  </si>
  <si>
    <t>Conductive Epoxy-Resin Terrazzo</t>
  </si>
  <si>
    <t>Conductive Polyester-Resin Terrazzo Flooring</t>
  </si>
  <si>
    <t>Conductive Plastic-Matrix Terrazzo Flooring</t>
  </si>
  <si>
    <t>Elastomeric Liquid Flooring</t>
  </si>
  <si>
    <t>Conductive Elastomeric Liquid Flooring</t>
  </si>
  <si>
    <t>Epoxy-Marble Chip Flooring</t>
  </si>
  <si>
    <t>Magnesium-Oxychloride Flooring</t>
  </si>
  <si>
    <t>Resinous Flooring</t>
  </si>
  <si>
    <t>Quartz Flooring</t>
  </si>
  <si>
    <t>Fluid-Applied Athletic Flooring</t>
  </si>
  <si>
    <t>Tile Carpeting</t>
  </si>
  <si>
    <t>Sheet Carpeting</t>
  </si>
  <si>
    <t>Rigid-Grid Access Flooring</t>
  </si>
  <si>
    <t>Snap-on Stringer Access Flooring</t>
  </si>
  <si>
    <t>Stringerless Access Flooring</t>
  </si>
  <si>
    <t>Low-Profile Fixed Height Access Flooring</t>
  </si>
  <si>
    <t>Access Flooring Accessories</t>
  </si>
  <si>
    <t>Access Flooring Stairs and Stringers</t>
  </si>
  <si>
    <t>Cork Wall Coverings</t>
  </si>
  <si>
    <t>Vinyl-Coated Fabric Wall Coverings</t>
  </si>
  <si>
    <t>Flexible Vinyl Wall Coverings</t>
  </si>
  <si>
    <t>Rigid-Sheet Vinyl Wall Coverings</t>
  </si>
  <si>
    <t>Textile Wall Coverings</t>
  </si>
  <si>
    <t>Wallpapering</t>
  </si>
  <si>
    <t>Flexible Wood Sheets</t>
  </si>
  <si>
    <t>Wood Wall Coverings</t>
  </si>
  <si>
    <t>Flexible Wood Veneers</t>
  </si>
  <si>
    <t>Stone Wall Facing</t>
  </si>
  <si>
    <t>Stone Trim</t>
  </si>
  <si>
    <t>Plastic Blocks</t>
  </si>
  <si>
    <t>Stretched-Fabric Wall Systems</t>
  </si>
  <si>
    <t>Fabric-Wrapped Panels</t>
  </si>
  <si>
    <t>Vegetated Wall Systems</t>
  </si>
  <si>
    <t>Acoustic Treatment</t>
  </si>
  <si>
    <t>Acoustic Insulation</t>
  </si>
  <si>
    <t>Acoustic Board Insulation</t>
  </si>
  <si>
    <t>Acoustic Blanket Insulation</t>
  </si>
  <si>
    <t>Sprayed Acoustic Insulation</t>
  </si>
  <si>
    <t>Acoustic Finishes</t>
  </si>
  <si>
    <t>Acoustic Wall Coating</t>
  </si>
  <si>
    <t>Acoustic Ceiling Coating</t>
  </si>
  <si>
    <t>Acoustic Drapery</t>
  </si>
  <si>
    <t>Acoustic Room Components</t>
  </si>
  <si>
    <t>Fixed Sound-Absorptive Panels</t>
  </si>
  <si>
    <t>Acoustic Stretched-Fabric Wall Systems</t>
  </si>
  <si>
    <t>Fixed Sound-Reflective Panels</t>
  </si>
  <si>
    <t>Moveable Sound-Absorptive Panels</t>
  </si>
  <si>
    <t>Moveable Sound-Reflective Panels</t>
  </si>
  <si>
    <t>Sound-Absorbing Wall Units</t>
  </si>
  <si>
    <t>Sound-Absorbing Ceiling Units</t>
  </si>
  <si>
    <t>Painting and Coating</t>
  </si>
  <si>
    <t>Painting</t>
  </si>
  <si>
    <t>Exterior Painting</t>
  </si>
  <si>
    <t>Interior Painting</t>
  </si>
  <si>
    <t>Staining and Transparent Finishing</t>
  </si>
  <si>
    <t>Exterior Staining and Finishing</t>
  </si>
  <si>
    <t>Exterior Staining</t>
  </si>
  <si>
    <t>Exterior Finishing</t>
  </si>
  <si>
    <t>Interior Staining and Finishing</t>
  </si>
  <si>
    <t>Interior Staining</t>
  </si>
  <si>
    <t>Interior Finishing</t>
  </si>
  <si>
    <t>Decorative Finishing</t>
  </si>
  <si>
    <t>Textured Finishing</t>
  </si>
  <si>
    <t>Faux Finishing</t>
  </si>
  <si>
    <t>Multicolor Interior Finishing</t>
  </si>
  <si>
    <t>High-Performance Coatings</t>
  </si>
  <si>
    <t>Abrasion-Resistant Coatings</t>
  </si>
  <si>
    <t>Graffiti-Resistant Coatings</t>
  </si>
  <si>
    <t>Marine Coatings</t>
  </si>
  <si>
    <t>High-Temperature-Resistant Coatings</t>
  </si>
  <si>
    <t>Chemical-Resistant Coatings</t>
  </si>
  <si>
    <t>Fire-Retardant Coatings</t>
  </si>
  <si>
    <t>Intumescent Painting</t>
  </si>
  <si>
    <t>Elastomeric Coatings</t>
  </si>
  <si>
    <t>Epoxy Coatings</t>
  </si>
  <si>
    <t>High-Build Glazed Coatings</t>
  </si>
  <si>
    <t>Textured Plastic Coatings</t>
  </si>
  <si>
    <t>Aggregate Wall Coatings</t>
  </si>
  <si>
    <t>Special Coatings</t>
  </si>
  <si>
    <t>Steel Coatings</t>
  </si>
  <si>
    <t>Interior Steel Coatings</t>
  </si>
  <si>
    <t>Exterior Steel Coatings</t>
  </si>
  <si>
    <t>Concrete and Masonry Coatings</t>
  </si>
  <si>
    <t>Cementitious Coatings</t>
  </si>
  <si>
    <t>Interior Cementitious Coatings</t>
  </si>
  <si>
    <t>Exterior Cementitious Coatings</t>
  </si>
  <si>
    <t>Specialties</t>
  </si>
  <si>
    <t>Operation and Maintenance of Specialties</t>
  </si>
  <si>
    <t>Operation and Maintenance of Information Specialties</t>
  </si>
  <si>
    <t>Operation and Maintenance of Interior Specialties</t>
  </si>
  <si>
    <t>Operation and Maintenance of Fireplaces and Stoves</t>
  </si>
  <si>
    <t>Operation and Maintenance of Safety Specialties</t>
  </si>
  <si>
    <t>Operation and Maintenance of Storage Specialties</t>
  </si>
  <si>
    <t>Operation and Maintenance of Exterior Specialties</t>
  </si>
  <si>
    <t>Operation and Maintenance of Other Specialties</t>
  </si>
  <si>
    <t>Common Work Results for Specialties</t>
  </si>
  <si>
    <t>Commissioning of Specialties</t>
  </si>
  <si>
    <t>Visual Display Units</t>
  </si>
  <si>
    <t>Chalkboards</t>
  </si>
  <si>
    <t>Fixed Chalkboards</t>
  </si>
  <si>
    <t>Modular-Support-Mounted Chalkboards</t>
  </si>
  <si>
    <t>Rail-Mounted Chalkboards</t>
  </si>
  <si>
    <t>Portable Chalkboards</t>
  </si>
  <si>
    <t>Markerboards</t>
  </si>
  <si>
    <t>Fixed Markerboards</t>
  </si>
  <si>
    <t>Modular-Support-Mounted Markerboards</t>
  </si>
  <si>
    <t>Rail-Mounted Markerboards</t>
  </si>
  <si>
    <t>Portable Markerboards</t>
  </si>
  <si>
    <t>Electronic Markerboards</t>
  </si>
  <si>
    <t>Tackboards</t>
  </si>
  <si>
    <t>Fixed Tackboards</t>
  </si>
  <si>
    <t>Modular-Support-Mounted Tackboards</t>
  </si>
  <si>
    <t>Rail-Mounted Tackboards</t>
  </si>
  <si>
    <t>Portable Tackboards</t>
  </si>
  <si>
    <t>Sliding Visual Display Units</t>
  </si>
  <si>
    <t>Horizontal-Sliding Visual Display Units</t>
  </si>
  <si>
    <t>Vertical-Sliding Visual Display Units</t>
  </si>
  <si>
    <t>Visual Display Conference Units</t>
  </si>
  <si>
    <t>Visual Display Rails</t>
  </si>
  <si>
    <t>Visual Display Wall Panels</t>
  </si>
  <si>
    <t>Visual Display Fabrics</t>
  </si>
  <si>
    <t>Display Cases</t>
  </si>
  <si>
    <t>Directories</t>
  </si>
  <si>
    <t>Electronic Directories</t>
  </si>
  <si>
    <t>Illuminated Directories</t>
  </si>
  <si>
    <t>Signage</t>
  </si>
  <si>
    <t>Plaques</t>
  </si>
  <si>
    <t>Dimensional Letter Signage</t>
  </si>
  <si>
    <t>Panel Signage</t>
  </si>
  <si>
    <t>Engraved Panel Signage</t>
  </si>
  <si>
    <t>Post and Panel/Pylon Signage</t>
  </si>
  <si>
    <t>Illuminated Panel Signage</t>
  </si>
  <si>
    <t>Photoluminescent Signage</t>
  </si>
  <si>
    <t>Traffic Signage</t>
  </si>
  <si>
    <t>Transportation Reference Markers</t>
  </si>
  <si>
    <t>Electronic Message Signage</t>
  </si>
  <si>
    <t>Audible Signage</t>
  </si>
  <si>
    <t>Floating Signage</t>
  </si>
  <si>
    <t>Telephone Specialties</t>
  </si>
  <si>
    <t>Telephone Directory Units</t>
  </si>
  <si>
    <t>Telephone Enclosures</t>
  </si>
  <si>
    <t>Telephone Stalls</t>
  </si>
  <si>
    <t>Telephone Alcoves</t>
  </si>
  <si>
    <t>Telephone Shelving</t>
  </si>
  <si>
    <t>Informational Kiosks</t>
  </si>
  <si>
    <t>Toilet Compartments</t>
  </si>
  <si>
    <t>Metal Toilet Compartments</t>
  </si>
  <si>
    <t>Plastic-Laminate-Clad Toilet Compartments</t>
  </si>
  <si>
    <t>Plastic Toilet Compartments</t>
  </si>
  <si>
    <t>Particleboard Toilet Compartments</t>
  </si>
  <si>
    <t>Stone Toilet Compartments</t>
  </si>
  <si>
    <t>Shower and Dressing Compartments</t>
  </si>
  <si>
    <t>Metal Shower and Dressing Compartments</t>
  </si>
  <si>
    <t>Plastic-Laminate-Clad Shower and Dressing Compartments</t>
  </si>
  <si>
    <t>Plastic Shower and Dressing Compartments</t>
  </si>
  <si>
    <t>Particleboard Shower and Dressing Compartments</t>
  </si>
  <si>
    <t>Stone Shower and Dressing Compartments</t>
  </si>
  <si>
    <t>Cubicle Curtains and Track</t>
  </si>
  <si>
    <t>Cubicle Curtains</t>
  </si>
  <si>
    <t>Cubicle Track and Hardware</t>
  </si>
  <si>
    <t>Partitions</t>
  </si>
  <si>
    <t>Wire Mesh Partitions</t>
  </si>
  <si>
    <t>Expanded Metal Partitions</t>
  </si>
  <si>
    <t>Folding Gates</t>
  </si>
  <si>
    <t>Demountable Partitions</t>
  </si>
  <si>
    <t>Demountable Metal Partitions</t>
  </si>
  <si>
    <t>Demountable Wood Partitions</t>
  </si>
  <si>
    <t>Demountable Plastic Partitions</t>
  </si>
  <si>
    <t>Demountable Composite Partitions</t>
  </si>
  <si>
    <t>Demountable Gypsum Partitions</t>
  </si>
  <si>
    <t>Portable Partitions, Screens, and Panels</t>
  </si>
  <si>
    <t>Wall Screens</t>
  </si>
  <si>
    <t>Movable Panel Systems</t>
  </si>
  <si>
    <t>Accordion Folding Partitions</t>
  </si>
  <si>
    <t>Coiling Partitions</t>
  </si>
  <si>
    <t>Folding Panel Partitions</t>
  </si>
  <si>
    <t>Sliding Partitions</t>
  </si>
  <si>
    <t>Patient Bed Service Walls</t>
  </si>
  <si>
    <t>Modular Service Walls</t>
  </si>
  <si>
    <t>Corner Guards</t>
  </si>
  <si>
    <t>Bumper Guards</t>
  </si>
  <si>
    <t>Bumper Rails</t>
  </si>
  <si>
    <t>Protective Corridor Handrails</t>
  </si>
  <si>
    <t>Protective Wall Covering</t>
  </si>
  <si>
    <t>Impact Resistant Wall Protection</t>
  </si>
  <si>
    <t>Door and Frame Protection</t>
  </si>
  <si>
    <t>Bullet Resistant Panels</t>
  </si>
  <si>
    <t>Toilet Accessories</t>
  </si>
  <si>
    <t>Commercial Toilet Accessories</t>
  </si>
  <si>
    <t>Healthcare Toilet Accessories</t>
  </si>
  <si>
    <t>Security Toilet Accessories</t>
  </si>
  <si>
    <t>Detention Toilet Accessories</t>
  </si>
  <si>
    <t>Bath Accessories</t>
  </si>
  <si>
    <t>Residential Bath Accessories</t>
  </si>
  <si>
    <t>Tub and Shower Doors</t>
  </si>
  <si>
    <t>Shower Doors</t>
  </si>
  <si>
    <t>Tub Doors</t>
  </si>
  <si>
    <t>Laundry Accessories</t>
  </si>
  <si>
    <t>Built-In Ironing Boards</t>
  </si>
  <si>
    <t>Clothes Drying Racks</t>
  </si>
  <si>
    <t>Manufactured Fireplaces</t>
  </si>
  <si>
    <t>Manufactured Fireplace Chimneys</t>
  </si>
  <si>
    <t>Manufactured Fireplace Forms</t>
  </si>
  <si>
    <t>Fireplace Specialties</t>
  </si>
  <si>
    <t>Fireplace Dampers</t>
  </si>
  <si>
    <t>Fireplace Inserts</t>
  </si>
  <si>
    <t>Fireplace Screens</t>
  </si>
  <si>
    <t>Fireplace Doors</t>
  </si>
  <si>
    <t>Fireplace Water Heaters</t>
  </si>
  <si>
    <t>Stoves</t>
  </si>
  <si>
    <t>Heating Stoves</t>
  </si>
  <si>
    <t>Cooking Stoves</t>
  </si>
  <si>
    <t>Emergency Access and Information Cabinets</t>
  </si>
  <si>
    <t>Fire Department Plan Cabinets</t>
  </si>
  <si>
    <t>Emergency Key Cabinets</t>
  </si>
  <si>
    <t>Emergency Aid Specialties</t>
  </si>
  <si>
    <t>Defibrillator Cabinets</t>
  </si>
  <si>
    <t>First Aid Cabinets</t>
  </si>
  <si>
    <t>Accessibility Evacuation Chairs</t>
  </si>
  <si>
    <t>Respiration Equipment</t>
  </si>
  <si>
    <t>Security Fire Extinguisher Cabinets</t>
  </si>
  <si>
    <t>Portable Fire Extinguishers</t>
  </si>
  <si>
    <t>Wheeled Fire Extinguisher Units</t>
  </si>
  <si>
    <t>Lockers</t>
  </si>
  <si>
    <t>Metal Lockers</t>
  </si>
  <si>
    <t>Wood Lockers</t>
  </si>
  <si>
    <t>Plastic-Laminate-Clad Lockers</t>
  </si>
  <si>
    <t>Plastic Lockers</t>
  </si>
  <si>
    <t>Recycled Plastic Lockers</t>
  </si>
  <si>
    <t>Phenolic Lockers</t>
  </si>
  <si>
    <t>Glass Lockers</t>
  </si>
  <si>
    <t>Wire Mesh Storage Lockers</t>
  </si>
  <si>
    <t>Locker Room Benches</t>
  </si>
  <si>
    <t>Postal Specialties</t>
  </si>
  <si>
    <t>Central Mail Delivery Boxes</t>
  </si>
  <si>
    <t>Cluster Box Units</t>
  </si>
  <si>
    <t>Mail Collection Boxes</t>
  </si>
  <si>
    <t>Receiving Boxes</t>
  </si>
  <si>
    <t>Mail Boxes</t>
  </si>
  <si>
    <t>Apartment Mail Boxes</t>
  </si>
  <si>
    <t>Mail Box Directories</t>
  </si>
  <si>
    <t>Mail Box Key Keepers</t>
  </si>
  <si>
    <t>Parcel Lockers</t>
  </si>
  <si>
    <t>Data Distribution Boxes</t>
  </si>
  <si>
    <t>Package Depositories</t>
  </si>
  <si>
    <t>Mail Chutes</t>
  </si>
  <si>
    <t>Storage Assemblies</t>
  </si>
  <si>
    <t>Metal Storage Shelving</t>
  </si>
  <si>
    <t>End-Panel-Support Metal Storage Shelving</t>
  </si>
  <si>
    <t>Post-and-Shelf Metal Storage Shelving</t>
  </si>
  <si>
    <t>Post-and-Beam Metal Storage Shelving</t>
  </si>
  <si>
    <t>Cantilever Metal Storage Shelving</t>
  </si>
  <si>
    <t>Fabricated Wood Storage Shelving</t>
  </si>
  <si>
    <t>Wall-Mounted Standards and Shelving</t>
  </si>
  <si>
    <t>Plastic Storage Shelving</t>
  </si>
  <si>
    <t>Recycled Plastic Storage Shelving</t>
  </si>
  <si>
    <t>Wire Storage Shelving</t>
  </si>
  <si>
    <t>Mobile Storage Shelving</t>
  </si>
  <si>
    <t>Manual Mobile Storage Shelving</t>
  </si>
  <si>
    <t>Motorized Mobile Storage Shelving</t>
  </si>
  <si>
    <t>Storage Racks</t>
  </si>
  <si>
    <t>Flow Storage Racks</t>
  </si>
  <si>
    <t>Pallet Storage Racks</t>
  </si>
  <si>
    <t>Movable-Shelf Storage Racks</t>
  </si>
  <si>
    <t>Stacker Storage Racks</t>
  </si>
  <si>
    <t>Cantilever Storage Racks</t>
  </si>
  <si>
    <t>Drive-In Storage Racks</t>
  </si>
  <si>
    <t>Drive-Through Storage Racks</t>
  </si>
  <si>
    <t>Wine Storage Racks</t>
  </si>
  <si>
    <t>Mercantile Storage Assemblies</t>
  </si>
  <si>
    <t>Wardrobe and Closet Specialties</t>
  </si>
  <si>
    <t>Hat and Coat Racks</t>
  </si>
  <si>
    <t>Boot Racks</t>
  </si>
  <si>
    <t>Closet and Utility Shelving</t>
  </si>
  <si>
    <t>Wire Closet and Utility Shelving</t>
  </si>
  <si>
    <t>Plastic-Laminate-Clad Closet and Utility Shelving</t>
  </si>
  <si>
    <t>Wood Closet and Utility Shelving</t>
  </si>
  <si>
    <t>Closet and Utility Shelving Hardware</t>
  </si>
  <si>
    <t>Exterior Specialties</t>
  </si>
  <si>
    <t>Exterior Protection</t>
  </si>
  <si>
    <t>Exterior Sun Control Devices</t>
  </si>
  <si>
    <t>Exterior Shutters</t>
  </si>
  <si>
    <t>Rolling Exterior Shutters</t>
  </si>
  <si>
    <t>Coiling Exterior Shutters</t>
  </si>
  <si>
    <t>Decorative Exterior Shutters</t>
  </si>
  <si>
    <t>Side-Hinged Exterior Shutters</t>
  </si>
  <si>
    <t>Fixed Sun Screens</t>
  </si>
  <si>
    <t>Storm Panels</t>
  </si>
  <si>
    <t>Demountable Storm Panels</t>
  </si>
  <si>
    <t>Movable Storm Panels</t>
  </si>
  <si>
    <t>Flood Barriers</t>
  </si>
  <si>
    <t>Protective Covers</t>
  </si>
  <si>
    <t>Awnings</t>
  </si>
  <si>
    <t>Canopies</t>
  </si>
  <si>
    <t>Car Shelters</t>
  </si>
  <si>
    <t>Walkway Coverings</t>
  </si>
  <si>
    <t>Marquees</t>
  </si>
  <si>
    <t>Transportation Stop Shelters</t>
  </si>
  <si>
    <t>Manufactured Exterior Specialties</t>
  </si>
  <si>
    <t>Exterior Clocks</t>
  </si>
  <si>
    <t>Cupolas</t>
  </si>
  <si>
    <t>Spires</t>
  </si>
  <si>
    <t>Steeples</t>
  </si>
  <si>
    <t>Weathervanes</t>
  </si>
  <si>
    <t>Below-Grade Egress Assemblies</t>
  </si>
  <si>
    <t>Window Wells</t>
  </si>
  <si>
    <t>Automatic Flagpoles</t>
  </si>
  <si>
    <t>Ground-Set Flagpoles</t>
  </si>
  <si>
    <t>Nautical Flagpoles</t>
  </si>
  <si>
    <t>Wall-Mounted Flagpoles</t>
  </si>
  <si>
    <t>Other Specialties</t>
  </si>
  <si>
    <t>Pest Control Devices</t>
  </si>
  <si>
    <t>Insect Control Devices</t>
  </si>
  <si>
    <t>Rodent Control Devices</t>
  </si>
  <si>
    <t>Grilles and Screens</t>
  </si>
  <si>
    <t>Exterior Grilles and Screens</t>
  </si>
  <si>
    <t>Exterior Sound Screens</t>
  </si>
  <si>
    <t>Interior Grilles and Screens</t>
  </si>
  <si>
    <t>Flags and Banners</t>
  </si>
  <si>
    <t>Flags</t>
  </si>
  <si>
    <t>Banners</t>
  </si>
  <si>
    <t>Gas Lighting</t>
  </si>
  <si>
    <t>Security Mirrors and Domes</t>
  </si>
  <si>
    <t>Scales</t>
  </si>
  <si>
    <t>Operation and Maintenance of Equipment</t>
  </si>
  <si>
    <t>Operation and Maintenance of Vehicle and Pedestrian Equipment</t>
  </si>
  <si>
    <t>Operation and Maintenance of Security, Bank, and Detention Equipment</t>
  </si>
  <si>
    <t>Operation and Maintenance of Commercial Equipment</t>
  </si>
  <si>
    <t>Operation and Maintenance of Residential Equipment</t>
  </si>
  <si>
    <t>Operation and Maintenance of Foodservice Equipment</t>
  </si>
  <si>
    <t>Operation and Maintenance of Educational and Scientific Equipment</t>
  </si>
  <si>
    <t>Operation and Maintenance of Observatory Equipment</t>
  </si>
  <si>
    <t>Operation and Maintenance of Entertainment Equipment</t>
  </si>
  <si>
    <t>Operation and Maintenance of Athletic and Recreational Equipment</t>
  </si>
  <si>
    <t>Operation and Maintenance of Healthcare Equipment</t>
  </si>
  <si>
    <t>Operation and Maintenance of Collection and Disposal Equipment</t>
  </si>
  <si>
    <t>Operation and Maintenance of Other Equipment</t>
  </si>
  <si>
    <t>Common Work Results for Equipment</t>
  </si>
  <si>
    <t>Common Motor Requirements for Equipment</t>
  </si>
  <si>
    <t>Commissioning of Equipment</t>
  </si>
  <si>
    <t>Vehicle Service Equipment</t>
  </si>
  <si>
    <t>Compressed-Air Vehicle Service Equipment</t>
  </si>
  <si>
    <t>Vehicle Lubrication Equipment</t>
  </si>
  <si>
    <t>Tire-Changing Equipment</t>
  </si>
  <si>
    <t>Vehicle-Washing Equipment</t>
  </si>
  <si>
    <t>Parking Control Equipment</t>
  </si>
  <si>
    <t>Parking Key and Card Control Units</t>
  </si>
  <si>
    <t>Parking Ticket Dispensers</t>
  </si>
  <si>
    <t>Parking Meters</t>
  </si>
  <si>
    <t>Parking Fee Collection Equipment</t>
  </si>
  <si>
    <t>Parking Fee Coin Collection Equipment</t>
  </si>
  <si>
    <t>Parking Gates</t>
  </si>
  <si>
    <t>Loading Dock Bumpers</t>
  </si>
  <si>
    <t>Loading Dock Seals and Shelters</t>
  </si>
  <si>
    <t>Loading Dock Seals</t>
  </si>
  <si>
    <t>Loading Dock Shelters</t>
  </si>
  <si>
    <t>Loading Dock Rail Shelters</t>
  </si>
  <si>
    <t>Stationary Loading Dock Equipment</t>
  </si>
  <si>
    <t>Loading Dock Levelers</t>
  </si>
  <si>
    <t>Stationary Loading Dock Lifts</t>
  </si>
  <si>
    <t>Loading Dock Truck Lifts</t>
  </si>
  <si>
    <t>Loading Dock Truck Restraints</t>
  </si>
  <si>
    <t>Portable Dock Equipment</t>
  </si>
  <si>
    <t>Portable Dock Lifts</t>
  </si>
  <si>
    <t>Portable Dock Ramps</t>
  </si>
  <si>
    <t>Portable Dock Bridges</t>
  </si>
  <si>
    <t>Portable Dock Platforms</t>
  </si>
  <si>
    <t>Loading Dock Lights</t>
  </si>
  <si>
    <t>Pedestrian Control Equipment</t>
  </si>
  <si>
    <t>Pedestrian Gates</t>
  </si>
  <si>
    <t>Portable Posts and Railings</t>
  </si>
  <si>
    <t>Rotary Gates</t>
  </si>
  <si>
    <t>Turnstiles</t>
  </si>
  <si>
    <t>Money-Changing Equipment</t>
  </si>
  <si>
    <t>Money-Changing Machines</t>
  </si>
  <si>
    <t>Pedestrian Fare Collection Equipment</t>
  </si>
  <si>
    <t>Pedestrian Coin Fare Collection Equipment</t>
  </si>
  <si>
    <t>Pedestrian Detection Equipment</t>
  </si>
  <si>
    <t>Electronic Detection and Counting Systems</t>
  </si>
  <si>
    <t>Pedestrian Security Equipment</t>
  </si>
  <si>
    <t>Security, Detention and Banking Equipment</t>
  </si>
  <si>
    <t>Safe Deposit Boxes</t>
  </si>
  <si>
    <t>Safes</t>
  </si>
  <si>
    <t>Vault Ventilators</t>
  </si>
  <si>
    <t>Teller Equipment Systems</t>
  </si>
  <si>
    <t>Automatic Banking Systems</t>
  </si>
  <si>
    <t>Money Handling Equipment</t>
  </si>
  <si>
    <t>Money Cart Pass-Through</t>
  </si>
  <si>
    <t>Package Transfer Units</t>
  </si>
  <si>
    <t>Deal Drawers</t>
  </si>
  <si>
    <t>Gun Ports</t>
  </si>
  <si>
    <t>Valuable Material Storage</t>
  </si>
  <si>
    <t>Detention Pass-Through Doors</t>
  </si>
  <si>
    <t>Detention Gun Lockers</t>
  </si>
  <si>
    <t>Cash Registers and Checking Equipment</t>
  </si>
  <si>
    <t>Vending Equipment</t>
  </si>
  <si>
    <t>Vending Machines</t>
  </si>
  <si>
    <t>Checkroom Equipment</t>
  </si>
  <si>
    <t>Weighing and Wrapping Equipment</t>
  </si>
  <si>
    <t>Barber and Beauty Shop Equipment</t>
  </si>
  <si>
    <t>Commercial Laundry and Dry Cleaning Equipment</t>
  </si>
  <si>
    <t>Dry Cleaning Equipment</t>
  </si>
  <si>
    <t>Drying and Conditioning Equipment</t>
  </si>
  <si>
    <t>Finishing Equipment</t>
  </si>
  <si>
    <t>Commercial Ironing Equipment</t>
  </si>
  <si>
    <t>Commercial Washers and Extractors</t>
  </si>
  <si>
    <t>Coin-Operated Laundry Equipment</t>
  </si>
  <si>
    <t>Hanging Garment Conveyors</t>
  </si>
  <si>
    <t>Floor and Wall Cleaning Equipment</t>
  </si>
  <si>
    <t>Housekeeping Carts</t>
  </si>
  <si>
    <t>Vacuum Cleaning Systems</t>
  </si>
  <si>
    <t>Façade Access Equipment</t>
  </si>
  <si>
    <t>Window Washing Systems</t>
  </si>
  <si>
    <t>Facility Fall Protection</t>
  </si>
  <si>
    <t>Registration Equipment</t>
  </si>
  <si>
    <t>Metal Unit Kitchens</t>
  </si>
  <si>
    <t>Wood Unit Kitchens</t>
  </si>
  <si>
    <t>Plastic-Laminate-Clad Unit Kitchens</t>
  </si>
  <si>
    <t>Darkroom Processing Equipment</t>
  </si>
  <si>
    <t>Film Transfer Cabinets</t>
  </si>
  <si>
    <t>Computers</t>
  </si>
  <si>
    <t>Printers</t>
  </si>
  <si>
    <t>Self-Contained Facsimile Machines</t>
  </si>
  <si>
    <t>Copiers</t>
  </si>
  <si>
    <t>Packaging Equipment</t>
  </si>
  <si>
    <t>Shipping Equipment</t>
  </si>
  <si>
    <t>Postal Equipment</t>
  </si>
  <si>
    <t>Residential Kitchen Appliances</t>
  </si>
  <si>
    <t>Residential Laundry Appliances</t>
  </si>
  <si>
    <t>Foodservice Storage Equipment</t>
  </si>
  <si>
    <t>Refrigerated Food Storage Cases</t>
  </si>
  <si>
    <t>Walk-In Coolers</t>
  </si>
  <si>
    <t>Walk-In Freezers</t>
  </si>
  <si>
    <t>Foodservice Shelving</t>
  </si>
  <si>
    <t>Food Preparation Equipment</t>
  </si>
  <si>
    <t>Food Preparation Appliances</t>
  </si>
  <si>
    <t>Food Preparation Surfaces</t>
  </si>
  <si>
    <t>Food Delivery Carts and Conveyors</t>
  </si>
  <si>
    <t>Food Delivery Carts</t>
  </si>
  <si>
    <t>Food Delivery Conveyors</t>
  </si>
  <si>
    <t>Food Cooking Equipment</t>
  </si>
  <si>
    <t>Commercial Ranges</t>
  </si>
  <si>
    <t>Commercial Ovens</t>
  </si>
  <si>
    <t>Food Dispensing Equipment</t>
  </si>
  <si>
    <t>Bar Equipment</t>
  </si>
  <si>
    <t>Service Line Equipment</t>
  </si>
  <si>
    <t>Soda Fountain Equipment</t>
  </si>
  <si>
    <t>Ice Machines</t>
  </si>
  <si>
    <t>Cleaning and Disposal Equipment</t>
  </si>
  <si>
    <t>Commercial Dishwashers</t>
  </si>
  <si>
    <t>Library Equipment</t>
  </si>
  <si>
    <t>Automated Book Storage and Retrieval Systems</t>
  </si>
  <si>
    <t>Book Depositories</t>
  </si>
  <si>
    <t>Book Theft Protection Equipment</t>
  </si>
  <si>
    <t>Library Stack Systems</t>
  </si>
  <si>
    <t>Metal Library Shelving</t>
  </si>
  <si>
    <t>Audio-Visual Equipment</t>
  </si>
  <si>
    <t>Projection Screens</t>
  </si>
  <si>
    <t>Fixed Projection Screens</t>
  </si>
  <si>
    <t>Portable Projection Screens</t>
  </si>
  <si>
    <t>Rear Projection Screens</t>
  </si>
  <si>
    <t>Projectors</t>
  </si>
  <si>
    <t>Movie Projectors</t>
  </si>
  <si>
    <t>Slide Projectors</t>
  </si>
  <si>
    <t>Overhead Projectors</t>
  </si>
  <si>
    <t>Opaque Projectors</t>
  </si>
  <si>
    <t>Video Projectors</t>
  </si>
  <si>
    <t>Players and Recorders</t>
  </si>
  <si>
    <t>Audio-Visual Equipment Supports</t>
  </si>
  <si>
    <t>Laboratory Equipment</t>
  </si>
  <si>
    <t>Laboratory Fume Hoods</t>
  </si>
  <si>
    <t>Recirculating Laboratory Fume Hoods</t>
  </si>
  <si>
    <t>Laboratory Incubators</t>
  </si>
  <si>
    <t>Laboratory Equipment Washers</t>
  </si>
  <si>
    <t>Laboratory Sterilizers</t>
  </si>
  <si>
    <t>Laboratory Refrigerators</t>
  </si>
  <si>
    <t>Laboratory Freezers</t>
  </si>
  <si>
    <t>Laboratory Controlled-Environment Cabinets</t>
  </si>
  <si>
    <t>Emergency Safety Appliances</t>
  </si>
  <si>
    <t>Service Fittings and Accessories</t>
  </si>
  <si>
    <t>Biological Safety Cabinets</t>
  </si>
  <si>
    <t>Planetarium Equipment</t>
  </si>
  <si>
    <t>Planetarium Projectors</t>
  </si>
  <si>
    <t>Planetarium Pendulums</t>
  </si>
  <si>
    <t>Observatory Equipment</t>
  </si>
  <si>
    <t>Telescopes</t>
  </si>
  <si>
    <t>Telescope Mounts</t>
  </si>
  <si>
    <t>Telescope Drive Mechanisms</t>
  </si>
  <si>
    <t>Telescope Domes</t>
  </si>
  <si>
    <t>Vocational Shop Equipment</t>
  </si>
  <si>
    <t>Exhibit Equipment</t>
  </si>
  <si>
    <t>Entertainment Equipment</t>
  </si>
  <si>
    <t>Acoustical Shells</t>
  </si>
  <si>
    <t>Folding and Portable Stages</t>
  </si>
  <si>
    <t>Rigging Systems and Controls</t>
  </si>
  <si>
    <t>Stage Curtains</t>
  </si>
  <si>
    <t>Bells</t>
  </si>
  <si>
    <t>Carillons</t>
  </si>
  <si>
    <t>Organs</t>
  </si>
  <si>
    <t>Athletic and Recreational Equipment</t>
  </si>
  <si>
    <t>Exercise Equipment</t>
  </si>
  <si>
    <t>Gymnasium Equipment</t>
  </si>
  <si>
    <t>Basketball Equipment</t>
  </si>
  <si>
    <t>Volleyball Equipment</t>
  </si>
  <si>
    <t>Interior Tennis Equipment</t>
  </si>
  <si>
    <t>Interior Track and Field Equipment</t>
  </si>
  <si>
    <t>Wall Padding</t>
  </si>
  <si>
    <t>Mat Storage</t>
  </si>
  <si>
    <t>Interior Scoreboards</t>
  </si>
  <si>
    <t>Gymnasium Dividers</t>
  </si>
  <si>
    <t>Batting/Golf Cages</t>
  </si>
  <si>
    <t>Bowling Alley Equipment</t>
  </si>
  <si>
    <t>Shooting Range Equipment</t>
  </si>
  <si>
    <t>Climbing Walls</t>
  </si>
  <si>
    <t>Table Games Equipment</t>
  </si>
  <si>
    <t>Pool Tables</t>
  </si>
  <si>
    <t>Ping-Pong Tables</t>
  </si>
  <si>
    <t>Game Room Equipment</t>
  </si>
  <si>
    <t>Video Games</t>
  </si>
  <si>
    <t>Pinball Machines</t>
  </si>
  <si>
    <t>Play Field Equipment and Structures</t>
  </si>
  <si>
    <t>Playground Equipment</t>
  </si>
  <si>
    <t>Play Structures</t>
  </si>
  <si>
    <t>Exterior Court Athletic Equipment</t>
  </si>
  <si>
    <t>Exterior Basketball Equipment</t>
  </si>
  <si>
    <t>Exterior Volleyball Equipment</t>
  </si>
  <si>
    <t>Tennis Equipment</t>
  </si>
  <si>
    <t>Athletic Field Equipment</t>
  </si>
  <si>
    <t>Football Field Equipment</t>
  </si>
  <si>
    <t>Soccer and Field Hockey Equipment</t>
  </si>
  <si>
    <t>Baseball Field Equipment</t>
  </si>
  <si>
    <t>Track and Field Equipment</t>
  </si>
  <si>
    <t>Exterior Scoreboards</t>
  </si>
  <si>
    <t>Medical Sterilizing Equipment</t>
  </si>
  <si>
    <t>Examination and Treatment Equipment</t>
  </si>
  <si>
    <t>Examination Equipment</t>
  </si>
  <si>
    <t>Treatment Equipment</t>
  </si>
  <si>
    <t>Patient Care Equipment</t>
  </si>
  <si>
    <t>Dental Equipment</t>
  </si>
  <si>
    <t>Optical Equipment</t>
  </si>
  <si>
    <t>Operating Room Equipment</t>
  </si>
  <si>
    <t>Radiology Equipment</t>
  </si>
  <si>
    <t>Mortuary Equipment</t>
  </si>
  <si>
    <t>Mortuary Refrigerators</t>
  </si>
  <si>
    <t>Crematorium Equipment</t>
  </si>
  <si>
    <t>Mortuary Lifts</t>
  </si>
  <si>
    <t>Therapy Equipment</t>
  </si>
  <si>
    <t>Collection and Disposal Equipment</t>
  </si>
  <si>
    <t>Solid Waste Bins</t>
  </si>
  <si>
    <t>Packaged Incinerators</t>
  </si>
  <si>
    <t>Recycling Equipment</t>
  </si>
  <si>
    <t>Facility Waste Compactors</t>
  </si>
  <si>
    <t>Composting Equipment</t>
  </si>
  <si>
    <t>Facility Waste Shredders</t>
  </si>
  <si>
    <t>Facility Waste Balers</t>
  </si>
  <si>
    <t>Baptisteries</t>
  </si>
  <si>
    <t>Milkers</t>
  </si>
  <si>
    <t>Stock Feeders</t>
  </si>
  <si>
    <t>Stock Waterers</t>
  </si>
  <si>
    <t>Agricultural Waste Clean-Up Equipment</t>
  </si>
  <si>
    <t>Hydroponic Growing Systems</t>
  </si>
  <si>
    <t>Seeders</t>
  </si>
  <si>
    <t>Transplanters</t>
  </si>
  <si>
    <t>Potting Machines</t>
  </si>
  <si>
    <t>Flat Fillers</t>
  </si>
  <si>
    <t>Baggers</t>
  </si>
  <si>
    <t>Soil Mixers</t>
  </si>
  <si>
    <t>Arts and Crafts Equipment</t>
  </si>
  <si>
    <t>Kilns</t>
  </si>
  <si>
    <t>Operation and Maintenance of Furnishings</t>
  </si>
  <si>
    <t>Operation and Maintenance of Art</t>
  </si>
  <si>
    <t>Operation and Maintenance of Window Treatments</t>
  </si>
  <si>
    <t>Operation and Maintenance of Casework</t>
  </si>
  <si>
    <t>Operation and Maintenance of Furnishings and Accessories</t>
  </si>
  <si>
    <t>Operation and Maintenance of Furniture</t>
  </si>
  <si>
    <t>Operation and Maintenance of Multiple Seating</t>
  </si>
  <si>
    <t>Operation and Maintenance of Other Furnishings</t>
  </si>
  <si>
    <t>Common Work Results for Furnishings</t>
  </si>
  <si>
    <t>Fabrics</t>
  </si>
  <si>
    <t>Commissioning of Furnishings</t>
  </si>
  <si>
    <t>Art</t>
  </si>
  <si>
    <t>Murals</t>
  </si>
  <si>
    <t>Photo Murals</t>
  </si>
  <si>
    <t>Sculptured Brick Panels</t>
  </si>
  <si>
    <t>Brick Murals</t>
  </si>
  <si>
    <t>Ceramic Tile Murals</t>
  </si>
  <si>
    <t>Trompe l'oeil</t>
  </si>
  <si>
    <t>Wall Decorations</t>
  </si>
  <si>
    <t>Commissioned Paintings</t>
  </si>
  <si>
    <t>Framed Paintings</t>
  </si>
  <si>
    <t>Framed Prints</t>
  </si>
  <si>
    <t>Tapestries</t>
  </si>
  <si>
    <t>Wall Hangings</t>
  </si>
  <si>
    <t>Sculptures</t>
  </si>
  <si>
    <t>Carved Sculpture</t>
  </si>
  <si>
    <t>Cast Sculpture</t>
  </si>
  <si>
    <t>Constructed Sculpture</t>
  </si>
  <si>
    <t>Relief Art</t>
  </si>
  <si>
    <t>Art Glass</t>
  </si>
  <si>
    <t>Etched Glass</t>
  </si>
  <si>
    <t>Stained Glass</t>
  </si>
  <si>
    <t>Religious Art</t>
  </si>
  <si>
    <t>Window Blinds</t>
  </si>
  <si>
    <t>Horizontal Louver Blinds</t>
  </si>
  <si>
    <t>Metal Horizontal Louver Blinds</t>
  </si>
  <si>
    <t>Wood Horizontal Louver Blinds</t>
  </si>
  <si>
    <t>Plastic Horizontal Louver Blinds</t>
  </si>
  <si>
    <t>Vertical Louver Blinds</t>
  </si>
  <si>
    <t>Metal Vertical Louver Blinds</t>
  </si>
  <si>
    <t>Wood Vertical Louver Blinds</t>
  </si>
  <si>
    <t>Plastic Vertical Louver Blinds</t>
  </si>
  <si>
    <t>Roll-Down Blinds</t>
  </si>
  <si>
    <t>Black-Out Blinds</t>
  </si>
  <si>
    <t>Curtains and Drapes</t>
  </si>
  <si>
    <t>Draperies</t>
  </si>
  <si>
    <t>Drapery Track and Accessories</t>
  </si>
  <si>
    <t>Interior Shutters</t>
  </si>
  <si>
    <t>Wood Interior Shutters</t>
  </si>
  <si>
    <t>Window Shades</t>
  </si>
  <si>
    <t>Roller Window Shades</t>
  </si>
  <si>
    <t>Pleated Window Shades</t>
  </si>
  <si>
    <t>Z-Pleated Window Shades</t>
  </si>
  <si>
    <t>Cellular Shades</t>
  </si>
  <si>
    <t>Roman Shades</t>
  </si>
  <si>
    <t>Window Treatment Operating Hardware</t>
  </si>
  <si>
    <t>Window Treatment Control System</t>
  </si>
  <si>
    <t>Motorized Drapery Rods</t>
  </si>
  <si>
    <t>Manufactured Metal Casework</t>
  </si>
  <si>
    <t>Manufactured Metal Sandwich Panel Casework</t>
  </si>
  <si>
    <t>Manufactured Wood Casework</t>
  </si>
  <si>
    <t>Manufactured Wood-Veneer-Faced Casework</t>
  </si>
  <si>
    <t>Manufactured Plastic-Laminate-Clad Casework</t>
  </si>
  <si>
    <t>Manufactured Plastic Casework</t>
  </si>
  <si>
    <t>Manufactured Solid-Plastic Casework</t>
  </si>
  <si>
    <t>Specialty Casework</t>
  </si>
  <si>
    <t>Bank Casework</t>
  </si>
  <si>
    <t>Hospitality Casework</t>
  </si>
  <si>
    <t>Residential Casework</t>
  </si>
  <si>
    <t>Kitchen Casework</t>
  </si>
  <si>
    <t>Bathroom Casework</t>
  </si>
  <si>
    <t>Dormitory Casework</t>
  </si>
  <si>
    <t>Utility Room Casework</t>
  </si>
  <si>
    <t>Mailroom Casework</t>
  </si>
  <si>
    <t>Commercial Kitchen Casework</t>
  </si>
  <si>
    <t>Educational/Library Casework</t>
  </si>
  <si>
    <t>Educational Casework</t>
  </si>
  <si>
    <t>Library Casework</t>
  </si>
  <si>
    <t>Built-In Study Carrels</t>
  </si>
  <si>
    <t>Laboratory Casework</t>
  </si>
  <si>
    <t>Metal Laboratory Casework</t>
  </si>
  <si>
    <t>Plastic-Laminate-Clad Laboratory Casework</t>
  </si>
  <si>
    <t>Wood Laboratory Casework</t>
  </si>
  <si>
    <t>Solid-Plastic Laboratory Casework</t>
  </si>
  <si>
    <t>Display Casework</t>
  </si>
  <si>
    <t>Healthcare Casework</t>
  </si>
  <si>
    <t>Hospital Casework</t>
  </si>
  <si>
    <t>Nurse Station Casework</t>
  </si>
  <si>
    <t>Exam Room Casework</t>
  </si>
  <si>
    <t>Dental Casework</t>
  </si>
  <si>
    <t>Performing Arts Casework</t>
  </si>
  <si>
    <t>Religious Casework</t>
  </si>
  <si>
    <t>Countertops</t>
  </si>
  <si>
    <t>Concrete Countertops</t>
  </si>
  <si>
    <t>Metal Countertops</t>
  </si>
  <si>
    <t>Wood Countertops</t>
  </si>
  <si>
    <t>Plastic Countertops</t>
  </si>
  <si>
    <t>Plastic-Laminate-Clad Countertops</t>
  </si>
  <si>
    <t>Stone Countertops</t>
  </si>
  <si>
    <t>Laboratory Countertops</t>
  </si>
  <si>
    <t>Simulated Stone Countertops</t>
  </si>
  <si>
    <t>Cultured Marble Countertops</t>
  </si>
  <si>
    <t>Solid Surfacing Countertops</t>
  </si>
  <si>
    <t>Quartz Agglomerate Countertops</t>
  </si>
  <si>
    <t>Furnishings and Accessories</t>
  </si>
  <si>
    <t>Office Accessories</t>
  </si>
  <si>
    <t>Desk Accessories</t>
  </si>
  <si>
    <t>Table Accessories</t>
  </si>
  <si>
    <t>Ceramics</t>
  </si>
  <si>
    <t>Flatware</t>
  </si>
  <si>
    <t>Silverware</t>
  </si>
  <si>
    <t>Hollowware</t>
  </si>
  <si>
    <t>Glassware</t>
  </si>
  <si>
    <t>Table Linens</t>
  </si>
  <si>
    <t>Napery</t>
  </si>
  <si>
    <t>Portable Lamps</t>
  </si>
  <si>
    <t>Lamps</t>
  </si>
  <si>
    <t>Desk Lamps</t>
  </si>
  <si>
    <t>Table Lamps</t>
  </si>
  <si>
    <t>Floor Lamps</t>
  </si>
  <si>
    <t>Bath Furnishings</t>
  </si>
  <si>
    <t>Bath Linens</t>
  </si>
  <si>
    <t>Bath Mats</t>
  </si>
  <si>
    <t>Bath Towels</t>
  </si>
  <si>
    <t>Shower Curtains</t>
  </si>
  <si>
    <t>Bedroom Furnishings</t>
  </si>
  <si>
    <t>Bed Linens</t>
  </si>
  <si>
    <t>Blankets</t>
  </si>
  <si>
    <t>Comforters</t>
  </si>
  <si>
    <t>Pillows</t>
  </si>
  <si>
    <t>Furnishing Accessories</t>
  </si>
  <si>
    <t>Ash Receptacles</t>
  </si>
  <si>
    <t>Bowls</t>
  </si>
  <si>
    <t>Clocks</t>
  </si>
  <si>
    <t>Decorative Crafts</t>
  </si>
  <si>
    <t>Decorative Screens</t>
  </si>
  <si>
    <t>Vases</t>
  </si>
  <si>
    <t>Waste Receptacles</t>
  </si>
  <si>
    <t>Rugs and Mats</t>
  </si>
  <si>
    <t>Entrance Floor Mats and Frames</t>
  </si>
  <si>
    <t>Entrance Floor Mats</t>
  </si>
  <si>
    <t>Entrance Floor Mat Frames</t>
  </si>
  <si>
    <t>Entrance Floor Grilles</t>
  </si>
  <si>
    <t>Entrance Floor Gratings</t>
  </si>
  <si>
    <t>Entrance Floor Grids</t>
  </si>
  <si>
    <t>Entrance Tile</t>
  </si>
  <si>
    <t>Floor Mats</t>
  </si>
  <si>
    <t>Chair Mats</t>
  </si>
  <si>
    <t>Rugs</t>
  </si>
  <si>
    <t>Runners</t>
  </si>
  <si>
    <t>Oriental Rugs</t>
  </si>
  <si>
    <t>Office Furniture</t>
  </si>
  <si>
    <t>Case Goods</t>
  </si>
  <si>
    <t>Metal Case Goods</t>
  </si>
  <si>
    <t>Wood Case Goods</t>
  </si>
  <si>
    <t>Plastic-Laminate-Clad Case Goods</t>
  </si>
  <si>
    <t>Filing Cabinets</t>
  </si>
  <si>
    <t>Lateral Filing Cabinets</t>
  </si>
  <si>
    <t>Vertical Filing Cabinets</t>
  </si>
  <si>
    <t>Office Tables</t>
  </si>
  <si>
    <t>Custom Office Furniture</t>
  </si>
  <si>
    <t>Seating</t>
  </si>
  <si>
    <t>Chairs</t>
  </si>
  <si>
    <t>Upholstered Seating</t>
  </si>
  <si>
    <t>Office Seating</t>
  </si>
  <si>
    <t>Healthcare Seating</t>
  </si>
  <si>
    <t>Custom Seating</t>
  </si>
  <si>
    <t>Retail Furniture</t>
  </si>
  <si>
    <t>Custom Retail Furniture</t>
  </si>
  <si>
    <t>Hospitality Furniture</t>
  </si>
  <si>
    <t>Hotel and Motel Furniture</t>
  </si>
  <si>
    <t>Restaurant Furniture</t>
  </si>
  <si>
    <t>Custom Hospitality Furniture</t>
  </si>
  <si>
    <t>Detention Furniture</t>
  </si>
  <si>
    <t>Detention Bunks</t>
  </si>
  <si>
    <t>Detention Desks</t>
  </si>
  <si>
    <t>Detention Stools</t>
  </si>
  <si>
    <t>Detention Tables</t>
  </si>
  <si>
    <t>Detention Safety Clothes Hooks</t>
  </si>
  <si>
    <t>Custom Detention Furniture</t>
  </si>
  <si>
    <t>Detention Control Room Furniture</t>
  </si>
  <si>
    <t>Institutional Furniture</t>
  </si>
  <si>
    <t>Religious Furniture</t>
  </si>
  <si>
    <t>Classroom Furniture</t>
  </si>
  <si>
    <t>Fixed Classroom Tables</t>
  </si>
  <si>
    <t>Lecterns</t>
  </si>
  <si>
    <t>Dormitory Furniture</t>
  </si>
  <si>
    <t>Library Furniture</t>
  </si>
  <si>
    <t>Book Shelves</t>
  </si>
  <si>
    <t>Study Carrels</t>
  </si>
  <si>
    <t>Index Card File Cabinets</t>
  </si>
  <si>
    <t>Audio-Visual Furniture</t>
  </si>
  <si>
    <t>Laboratory Furniture</t>
  </si>
  <si>
    <t>Healthcare Furniture</t>
  </si>
  <si>
    <t>Custom Institutional Furniture</t>
  </si>
  <si>
    <t>Institutional Control Room Furniture</t>
  </si>
  <si>
    <t>Industrial Furniture</t>
  </si>
  <si>
    <t>Welding Benches</t>
  </si>
  <si>
    <t>Welding Screens</t>
  </si>
  <si>
    <t>Laser Containment Screens</t>
  </si>
  <si>
    <t>Custom Industrial Furniture</t>
  </si>
  <si>
    <t>Industrial Control Room Furniture</t>
  </si>
  <si>
    <t>Residential Furniture</t>
  </si>
  <si>
    <t>Couches and Loveseats</t>
  </si>
  <si>
    <t>Futons</t>
  </si>
  <si>
    <t>Residential Chairs</t>
  </si>
  <si>
    <t>Reclining Chairs</t>
  </si>
  <si>
    <t>Dining Tables and Chairs</t>
  </si>
  <si>
    <t>Coffee Tables</t>
  </si>
  <si>
    <t>Entertainment Centers</t>
  </si>
  <si>
    <t>Beds</t>
  </si>
  <si>
    <t>Daybeds</t>
  </si>
  <si>
    <t>Dressers</t>
  </si>
  <si>
    <t>Armoires</t>
  </si>
  <si>
    <t>Nightstands</t>
  </si>
  <si>
    <t>Custom Residential Furniture</t>
  </si>
  <si>
    <t>Systems Furniture</t>
  </si>
  <si>
    <t>Panel-Hung Component System Furniture</t>
  </si>
  <si>
    <t>Free-Standing Component System Furniture</t>
  </si>
  <si>
    <t>Beam System Furniture</t>
  </si>
  <si>
    <t>Desk System Furniture</t>
  </si>
  <si>
    <t>Custom Systems Furniture</t>
  </si>
  <si>
    <t>Multiple Seating</t>
  </si>
  <si>
    <t>Fixed Audience Seating</t>
  </si>
  <si>
    <t>Upholstered Audience Seating</t>
  </si>
  <si>
    <t>Molded-Plastic Audience Seating</t>
  </si>
  <si>
    <t>Portable Audience Seating</t>
  </si>
  <si>
    <t>Folding Chairs</t>
  </si>
  <si>
    <t>Interlocking Chairs</t>
  </si>
  <si>
    <t>Stacking Chairs</t>
  </si>
  <si>
    <t>Stadium and Arena Seating</t>
  </si>
  <si>
    <t>Stadium and Arena Bench Seating</t>
  </si>
  <si>
    <t>Stadium and Arena Seats</t>
  </si>
  <si>
    <t>Booths and Tables</t>
  </si>
  <si>
    <t>Multiple-Use Fixed Seating</t>
  </si>
  <si>
    <t>Telescoping Stands</t>
  </si>
  <si>
    <t>Telescoping Bleachers</t>
  </si>
  <si>
    <t>Telescoping Chair Platforms</t>
  </si>
  <si>
    <t>Pews and Benches</t>
  </si>
  <si>
    <t>Pews</t>
  </si>
  <si>
    <t>Benches</t>
  </si>
  <si>
    <t>Seat and Table Assemblies</t>
  </si>
  <si>
    <t>Pedestal Tablet Arm Chairs</t>
  </si>
  <si>
    <t>Other Furnishings</t>
  </si>
  <si>
    <t>Interior Planters and Artificial Plants</t>
  </si>
  <si>
    <t>Interior Artificial Plants</t>
  </si>
  <si>
    <t>Interior Planters</t>
  </si>
  <si>
    <t>Interior Landscaping Accessories</t>
  </si>
  <si>
    <t>Bicycle Racks</t>
  </si>
  <si>
    <t>Bicycle Lockers</t>
  </si>
  <si>
    <t>Trash and Litter Receptors</t>
  </si>
  <si>
    <t>Manufactured Planters</t>
  </si>
  <si>
    <t>Site Seating and Tables</t>
  </si>
  <si>
    <t>Site Seating</t>
  </si>
  <si>
    <t>Site Tables</t>
  </si>
  <si>
    <t>Operation and Maintenance of Special Construction</t>
  </si>
  <si>
    <t>Operation and Maintenance of Special Facility Components</t>
  </si>
  <si>
    <t>Operation and Maintenance of Swimming Pools</t>
  </si>
  <si>
    <t>Operation and Maintenance of Fountains</t>
  </si>
  <si>
    <t>Operation and Maintenance of Aquariums</t>
  </si>
  <si>
    <t>Operation and Maintenance of Amusement Park Structures and Equipment</t>
  </si>
  <si>
    <t>Operation and Maintenance of Ice Rinks</t>
  </si>
  <si>
    <t>Operation and Maintenance of Special Purpose Rooms</t>
  </si>
  <si>
    <t>Operation and Maintenance of Controlled Environment Rooms</t>
  </si>
  <si>
    <t>Operation and Maintenance of Planetariums</t>
  </si>
  <si>
    <t>Operation and Maintenance of Special Structures</t>
  </si>
  <si>
    <t>Operation and Maintenance of Integrated Construction</t>
  </si>
  <si>
    <t>Operation and Maintenance of Radiation Protection</t>
  </si>
  <si>
    <t>Operation and Maintenance of Special Instrumentation</t>
  </si>
  <si>
    <t>Operation and Maintenance of Stress Instrumentation</t>
  </si>
  <si>
    <t>Operation and Maintenance of Seismic Instrumentation</t>
  </si>
  <si>
    <t>Operation and Maintenance of Meteorological Instrumentation</t>
  </si>
  <si>
    <t>Common Work Results for Special Construction</t>
  </si>
  <si>
    <t>Commissioning of Special Construction</t>
  </si>
  <si>
    <t>Commissioning of Special Facility Components</t>
  </si>
  <si>
    <t>Commissioning of Swimming Pools</t>
  </si>
  <si>
    <t>Commissioning of Fountains</t>
  </si>
  <si>
    <t>Commissioning of Aquariums</t>
  </si>
  <si>
    <t>Commissioning of Amusement Park Structures and Equipment</t>
  </si>
  <si>
    <t>Commissioning of Ice Rinks</t>
  </si>
  <si>
    <t>Commissioning of Special Purpose Rooms</t>
  </si>
  <si>
    <t>Commissioning of Controlled Environment Rooms</t>
  </si>
  <si>
    <t>Commissioning of Planetariums</t>
  </si>
  <si>
    <t>Commissioning of Special Structures</t>
  </si>
  <si>
    <t>Commissioning of Integrated Construction</t>
  </si>
  <si>
    <t>Commissioning of Special Instrumentation</t>
  </si>
  <si>
    <t>Swimming Pools</t>
  </si>
  <si>
    <t>Below-Grade Swimming Pools</t>
  </si>
  <si>
    <t>On-Grade Swimming Pools</t>
  </si>
  <si>
    <t>Elevated Swimming Pools</t>
  </si>
  <si>
    <t>Recirculating Gutter Systems</t>
  </si>
  <si>
    <t>Swimming Pool Accessories</t>
  </si>
  <si>
    <t>Swimming Pool Cleaning Equipment</t>
  </si>
  <si>
    <t>Movable Pool Bulkheads</t>
  </si>
  <si>
    <t>Movable Pool Floors</t>
  </si>
  <si>
    <t>Fountains</t>
  </si>
  <si>
    <t>Water Slides</t>
  </si>
  <si>
    <t>Wave Generating Equipment</t>
  </si>
  <si>
    <t>Amusement Park Rides</t>
  </si>
  <si>
    <t>Tubs and Pools</t>
  </si>
  <si>
    <t>Hot Tubs</t>
  </si>
  <si>
    <t>Therapeutic Pools</t>
  </si>
  <si>
    <t>Whirlpool Tubs</t>
  </si>
  <si>
    <t>Ice Rink Floor Systems</t>
  </si>
  <si>
    <t>Ice Rink Dasher Boards</t>
  </si>
  <si>
    <t>Kennels and Animal Shelters</t>
  </si>
  <si>
    <t>Kennel Enclosures and Gates</t>
  </si>
  <si>
    <t>Kennel Feeding Devices</t>
  </si>
  <si>
    <t>Special Purpose Rooms</t>
  </si>
  <si>
    <t>Controlled Environment Rooms</t>
  </si>
  <si>
    <t>Clean Rooms</t>
  </si>
  <si>
    <t>Hyperbaric Rooms</t>
  </si>
  <si>
    <t>Insulated Rooms</t>
  </si>
  <si>
    <t>Cold Storage Rooms</t>
  </si>
  <si>
    <t>Walk-in Coolers</t>
  </si>
  <si>
    <t>Walk-in Freezers</t>
  </si>
  <si>
    <t>Constant Temperature Rooms</t>
  </si>
  <si>
    <t>Sound-Conditioned Rooms</t>
  </si>
  <si>
    <t>Office Shelters and Booths</t>
  </si>
  <si>
    <t>Planetariums</t>
  </si>
  <si>
    <t>Special Activity Rooms</t>
  </si>
  <si>
    <t>Saunas</t>
  </si>
  <si>
    <t>Steam Baths</t>
  </si>
  <si>
    <t>Athletic Rooms</t>
  </si>
  <si>
    <t>Fabricated Rooms</t>
  </si>
  <si>
    <t>Storm Shelter Rooms</t>
  </si>
  <si>
    <t>Vaults</t>
  </si>
  <si>
    <t>Modular Fire Vaults</t>
  </si>
  <si>
    <t>Security Vaults</t>
  </si>
  <si>
    <t>Modular Concrete Security Vaults</t>
  </si>
  <si>
    <t>Modular Metal-Clad Laminated Security Vaults</t>
  </si>
  <si>
    <t>Air-Supported Fabric Structures</t>
  </si>
  <si>
    <t>Single-Walled Air-Supported Structures</t>
  </si>
  <si>
    <t>Multiple-Walled Air-Supported Structures</t>
  </si>
  <si>
    <t>Tensioned Fabric Structures</t>
  </si>
  <si>
    <t>Framed Fabric Structures</t>
  </si>
  <si>
    <t>Metal Space Frames</t>
  </si>
  <si>
    <t>Wood Space Frames</t>
  </si>
  <si>
    <t>Geodesic Domes</t>
  </si>
  <si>
    <t>Fabricated Engineered Structures</t>
  </si>
  <si>
    <t>Glazed Structures</t>
  </si>
  <si>
    <t>Greenhouses</t>
  </si>
  <si>
    <t>Solariums</t>
  </si>
  <si>
    <t>Swimming Pool Enclosures</t>
  </si>
  <si>
    <t>Sunrooms</t>
  </si>
  <si>
    <t>Conservatories</t>
  </si>
  <si>
    <t>Grandstands and Bleachers</t>
  </si>
  <si>
    <t>Grandstands</t>
  </si>
  <si>
    <t>Bleachers</t>
  </si>
  <si>
    <t xml:space="preserve">Post Frame Building Systems </t>
  </si>
  <si>
    <t>Metal Building Systems</t>
  </si>
  <si>
    <t>Fabricated Structures</t>
  </si>
  <si>
    <t>Portable and Mobile Buildings</t>
  </si>
  <si>
    <t>Fabricated Classroom Buildings</t>
  </si>
  <si>
    <t>Fabricated Control Booths</t>
  </si>
  <si>
    <t>Fabricated Dome Structures</t>
  </si>
  <si>
    <t>Fabricated Substation Control Rooms</t>
  </si>
  <si>
    <t>Observatories</t>
  </si>
  <si>
    <t>Rammed Earth Walls</t>
  </si>
  <si>
    <t>Traditional Rammed Earth Walls</t>
  </si>
  <si>
    <t>Stabilized Insulated Rammed Earth Walls</t>
  </si>
  <si>
    <t>Metal Towers</t>
  </si>
  <si>
    <t>Steel Towers</t>
  </si>
  <si>
    <t>Wood Towers</t>
  </si>
  <si>
    <t>Bathroom Unit Modules</t>
  </si>
  <si>
    <t>Hospitality Unit Modules</t>
  </si>
  <si>
    <t>Apartment Unit Modules</t>
  </si>
  <si>
    <t>Dormitory Unit Modules</t>
  </si>
  <si>
    <t>Detention Cell Modules</t>
  </si>
  <si>
    <t>Precast-Concrete Detention Cell Modules</t>
  </si>
  <si>
    <t>Steel Detention Cell Modules</t>
  </si>
  <si>
    <t>Sound, Vibration, and Seismic Control</t>
  </si>
  <si>
    <t>Manufactured Sound and Vibration Control Components</t>
  </si>
  <si>
    <t>Fabricated Sound and Vibration Control Assemblies</t>
  </si>
  <si>
    <t>Manufactured Seismic Control Components</t>
  </si>
  <si>
    <t>Fabricated Seismic Control Assemblies</t>
  </si>
  <si>
    <t>Integrated X-Ray Shielding Assemblies</t>
  </si>
  <si>
    <t>Modular X-Ray Shielding Rooms</t>
  </si>
  <si>
    <t>Integrated RFI/EMI Shielding Assemblies</t>
  </si>
  <si>
    <t>Modular RFI/EMI Shielding Rooms</t>
  </si>
  <si>
    <t>Solar Instrumentation</t>
  </si>
  <si>
    <t>Wind Instrumentation</t>
  </si>
  <si>
    <t>Conveying Equipment</t>
  </si>
  <si>
    <t>Operation and Maintenance of Conveying Equipment</t>
  </si>
  <si>
    <t>Operation and Maintenance of Dumbwaiters</t>
  </si>
  <si>
    <t>Dumbwaiter Rehabilitation</t>
  </si>
  <si>
    <t>Operation and Maintenance of Elevators</t>
  </si>
  <si>
    <t>Elevator Rehabilitation</t>
  </si>
  <si>
    <t>Operation and Maintenance of Escalators and Moving Walks</t>
  </si>
  <si>
    <t>Escalators and Moving Walks Rehabilitation</t>
  </si>
  <si>
    <t>Operation and Maintenance of Lifts</t>
  </si>
  <si>
    <t>Lifts Rehabilitation</t>
  </si>
  <si>
    <t>Operation and Maintenance of Turntables</t>
  </si>
  <si>
    <t>Operation and Maintenance of Scaffolding</t>
  </si>
  <si>
    <t>Operation and Maintenance of Other Conveying Equipment</t>
  </si>
  <si>
    <t>Common Work Results for Conveying Equipment</t>
  </si>
  <si>
    <t>Commissioning of Conveying Equipment</t>
  </si>
  <si>
    <t>Commissioning of Dumbwaiters</t>
  </si>
  <si>
    <t>Commissioning of Elevators</t>
  </si>
  <si>
    <t>Commissioning of Escalators and Moving Walks</t>
  </si>
  <si>
    <t>Commissioning of Lifts</t>
  </si>
  <si>
    <t>Commissioning of Turntables</t>
  </si>
  <si>
    <t>Commissioning of Scaffolding</t>
  </si>
  <si>
    <t>Manual Dumbwaiters</t>
  </si>
  <si>
    <t>Electric Dumbwaiters</t>
  </si>
  <si>
    <t>Hydraulic Dumbwaiters</t>
  </si>
  <si>
    <t>Electric Traction Elevators</t>
  </si>
  <si>
    <t>Electric Traction Freight Elevators</t>
  </si>
  <si>
    <t>Electric Traction Passenger Elevators</t>
  </si>
  <si>
    <t>Machine Room Electric Traction Passenger Elevators</t>
  </si>
  <si>
    <t>Machine Room-Less Electric Traction Passenger Elevators</t>
  </si>
  <si>
    <t>Electric Traction Residential Elevators</t>
  </si>
  <si>
    <t>Electric Traction Service Elevators</t>
  </si>
  <si>
    <t>Hydraulic Elevators</t>
  </si>
  <si>
    <t>Hydraulic Freight Elevators</t>
  </si>
  <si>
    <t>Hydraulic Passenger Elevators</t>
  </si>
  <si>
    <t>Hydraulic Residential Elevators</t>
  </si>
  <si>
    <t>Hydraulic Service Elevators</t>
  </si>
  <si>
    <t>Limited-Use/Limited-Application Elevators</t>
  </si>
  <si>
    <t>Custom Elevator Cabs and Doors</t>
  </si>
  <si>
    <t>Custom Elevator Cab Finishes</t>
  </si>
  <si>
    <t>Custom Elevator Doors</t>
  </si>
  <si>
    <t>Elevator Equipment and Controls</t>
  </si>
  <si>
    <t>Elevator Controls</t>
  </si>
  <si>
    <t>Elevator Equipment</t>
  </si>
  <si>
    <t>Elevator Safety Equipment</t>
  </si>
  <si>
    <t>Elevator Hoistway Equipment</t>
  </si>
  <si>
    <t>Escalators and Moving Walks</t>
  </si>
  <si>
    <t>Motorized Ramps</t>
  </si>
  <si>
    <t>Powered Ramps</t>
  </si>
  <si>
    <t>People Lifts</t>
  </si>
  <si>
    <t>Counterbalanced People Lifts</t>
  </si>
  <si>
    <t>Endless-Belt People Lifts</t>
  </si>
  <si>
    <t>Wheelchair Lifts</t>
  </si>
  <si>
    <t>Inclined Wheelchair Lifts</t>
  </si>
  <si>
    <t>Vertical Wheelchair Lifts</t>
  </si>
  <si>
    <t>Platform Lifts</t>
  </si>
  <si>
    <t>Orchestra Lifts</t>
  </si>
  <si>
    <t>Stage Lifts</t>
  </si>
  <si>
    <t>Sidewalk Lifts</t>
  </si>
  <si>
    <t>Vehicle Lifts</t>
  </si>
  <si>
    <t>Industrial Turntables</t>
  </si>
  <si>
    <t>Vehicle Turntables</t>
  </si>
  <si>
    <t>Hospitality Turntables</t>
  </si>
  <si>
    <t>Restaurant Turntables</t>
  </si>
  <si>
    <t>Exhibit Turntables</t>
  </si>
  <si>
    <t>Display Turntables</t>
  </si>
  <si>
    <t>Entertainment Turntables</t>
  </si>
  <si>
    <t>Stage Turntables</t>
  </si>
  <si>
    <t>Scaffolding</t>
  </si>
  <si>
    <t>Beam Scaffolding</t>
  </si>
  <si>
    <t>Carriage Scaffolding</t>
  </si>
  <si>
    <t>Hook Scaffolding</t>
  </si>
  <si>
    <t>Manual Rope Climbers</t>
  </si>
  <si>
    <t>Powered Rope Climbers</t>
  </si>
  <si>
    <t>Telescoping Platform Lifts</t>
  </si>
  <si>
    <t>Electric and Battery Telescoping Platform Lifts</t>
  </si>
  <si>
    <t>Pneumatic Telescoping Platform Lifts</t>
  </si>
  <si>
    <t>Scissor Lift Platforms</t>
  </si>
  <si>
    <t>Multi-Axis Platform Lifts</t>
  </si>
  <si>
    <t>Window Washing Scaffolding</t>
  </si>
  <si>
    <t>Window Washing Hoists</t>
  </si>
  <si>
    <t>Other Conveying Equipment</t>
  </si>
  <si>
    <t>Facility Chutes</t>
  </si>
  <si>
    <t>Coal Chutes</t>
  </si>
  <si>
    <t>Escape Chutes</t>
  </si>
  <si>
    <t>Laundry and Linen Chutes</t>
  </si>
  <si>
    <t>Trash Chutes</t>
  </si>
  <si>
    <t>Operation and Maintenance of Fire Suppression</t>
  </si>
  <si>
    <t>Operation and Maintenance of Water-Based Fire-Suppression Systems</t>
  </si>
  <si>
    <t>Operation and Maintenance of Fire-Extinguishing Systems</t>
  </si>
  <si>
    <t>Operation and Maintenance of Fire-Suppression Equipment</t>
  </si>
  <si>
    <t>Common Work Results for Fire Suppression</t>
  </si>
  <si>
    <t>Common Motor Requirements for Fire-Suppression Equipment</t>
  </si>
  <si>
    <t>Expansion Fittings and Loops for Fire-Suppression Piping</t>
  </si>
  <si>
    <t>Meters and Gages for Fire-Suppression Systems</t>
  </si>
  <si>
    <t>General-Duty Valves for Water-Based Fire-Suppression Piping</t>
  </si>
  <si>
    <t>Hangers and Supports for Fire-Suppression Piping and Equipment</t>
  </si>
  <si>
    <t>Heat Tracing for Fire-Suppression Piping</t>
  </si>
  <si>
    <t>Vibration and Seismic Controls for Fire-Suppression Piping and Equipment</t>
  </si>
  <si>
    <t>Identification for Fire-Suppression Piping and Equipment</t>
  </si>
  <si>
    <t>Fire Suppression Systems Insulation</t>
  </si>
  <si>
    <t>Fire-Suppression Equipment Insulation</t>
  </si>
  <si>
    <t>Fire-Suppression Piping Insulation</t>
  </si>
  <si>
    <t>Commissioning of Fire Suppression</t>
  </si>
  <si>
    <t>Instrumentation and Control for Fire-Suppression Systems</t>
  </si>
  <si>
    <t>Water-Based Fire-Suppression Systems</t>
  </si>
  <si>
    <t>Facility Fire-Suppression Water-Service Piping</t>
  </si>
  <si>
    <t>Facility Fire Hydrants</t>
  </si>
  <si>
    <t>Fire-Department Connections</t>
  </si>
  <si>
    <t>Fire-Suppression Standpipes</t>
  </si>
  <si>
    <t>Fire-Suppression Hoses and Nozzles</t>
  </si>
  <si>
    <t>Fire-Suppression Hose Reels</t>
  </si>
  <si>
    <t>Fire-Suppression Hose Racks</t>
  </si>
  <si>
    <t>Fire-Suppression Hose Valves</t>
  </si>
  <si>
    <t>Fire-Suppression Sprinkler Systems</t>
  </si>
  <si>
    <t>Wet-Pipe Sprinkler Systems</t>
  </si>
  <si>
    <t>Dry-Pipe Sprinkler Systems</t>
  </si>
  <si>
    <t>Preaction Sprinkler Systems</t>
  </si>
  <si>
    <t>Combined Dry-Pipe and Preaction Sprinkler Systems</t>
  </si>
  <si>
    <t>Deluge Fire-Suppression Sprinkler Systems</t>
  </si>
  <si>
    <t>Water Spray Fixed Systems</t>
  </si>
  <si>
    <t>Antifreeze Sprinkler Systems</t>
  </si>
  <si>
    <t>Foam-Water Systems</t>
  </si>
  <si>
    <t>Fire-Suppression Pressure Maintenance Pumps</t>
  </si>
  <si>
    <t>Fire-Extinguishing Systems</t>
  </si>
  <si>
    <t>Carbon-Dioxide Fire-Extinguishing Systems</t>
  </si>
  <si>
    <t>Carbon-Dioxide Fire-Extinguishing Piping</t>
  </si>
  <si>
    <t>Carbon-Dioxide Fire-Extinguishing Equipment</t>
  </si>
  <si>
    <t>Clean-Agent Fire-Extinguishing Systems</t>
  </si>
  <si>
    <t>Clean-Agent Fire-Extinguishing Piping</t>
  </si>
  <si>
    <t>Clean-Agent Fire-Extinguishing Equipment</t>
  </si>
  <si>
    <t>Wet-Chemical Fire-Extinguishing Systems</t>
  </si>
  <si>
    <t>Wet-Chemical Fire-Extinguishing Piping</t>
  </si>
  <si>
    <t>Wet-Chemical Fire-Extinguishing Equipment</t>
  </si>
  <si>
    <t>Dry-Chemical Fire-Extinguishing Systems</t>
  </si>
  <si>
    <t>Dry-Chemical Fire-Extinguishing Piping</t>
  </si>
  <si>
    <t>Dry-Chemical Fire-Extinguishing Equipment</t>
  </si>
  <si>
    <t>Fire Pumps</t>
  </si>
  <si>
    <t>Centrifugal Fire Pumps</t>
  </si>
  <si>
    <t>Electric-Drive, Centrifugal Fire Pumps</t>
  </si>
  <si>
    <t>Diesel-Drive, Centrifugal Fire Pumps</t>
  </si>
  <si>
    <t>Vertical-Turbine Fire Pumps</t>
  </si>
  <si>
    <t>Electric-Drive, Vertical-Turbine Fire Pumps</t>
  </si>
  <si>
    <t>Diesel-Drive, Vertical-Turbine Fire Pumps</t>
  </si>
  <si>
    <t>Positive-Displacement Fire Pumps</t>
  </si>
  <si>
    <t>Electric-Drive, Positive-Displacement Fire Pumps</t>
  </si>
  <si>
    <t>Diesel-Drive, Positive-Displacement Fire Pumps</t>
  </si>
  <si>
    <t>Fire-Suppression Water Storage</t>
  </si>
  <si>
    <t>Storage Tanks for Fire-Suppression Water</t>
  </si>
  <si>
    <t>Pressurized Storage Tanks for Fire-Suppression Water</t>
  </si>
  <si>
    <t>Elevated Storage Tanks for Fire-Suppression Water</t>
  </si>
  <si>
    <t>Roof-Mounted Storage Tanks for Fire-Suppression Water</t>
  </si>
  <si>
    <t>Ground Suction Storage Tanks for Fire-Suppression Water</t>
  </si>
  <si>
    <t>Underground Storage Tanks for Fire-Suppression Water</t>
  </si>
  <si>
    <t>Storage Tanks for Fire-Suppression Water Additives</t>
  </si>
  <si>
    <t>Operation and Maintenance of Plumbing</t>
  </si>
  <si>
    <t>Operation and Maintenance of Plumbing Piping and Pumps</t>
  </si>
  <si>
    <t>Operation and Maintenance of Plumbing Equipment</t>
  </si>
  <si>
    <t>Operation and Maintenance of Plumbing Fixtures</t>
  </si>
  <si>
    <t>Operation and Maintenance of Pool and Fountain Plumbing Systems</t>
  </si>
  <si>
    <t>Operation and Maintenance of Laboratory and Healthcare Systems</t>
  </si>
  <si>
    <t>Common Work Results for Plumbing</t>
  </si>
  <si>
    <t>Common Motor Requirements for Plumbing Equipment</t>
  </si>
  <si>
    <t>Expansion Fittings and Loops for Plumbing Piping</t>
  </si>
  <si>
    <t>Meters and Gages for Plumbing Piping</t>
  </si>
  <si>
    <t>General-Duty Valves for Plumbing Piping</t>
  </si>
  <si>
    <t>Hangers and Supports for Plumbing Piping and Equipment</t>
  </si>
  <si>
    <t>Heat Tracing for Plumbing Piping</t>
  </si>
  <si>
    <t>Vibration and Seismic Controls for Plumbing Piping and Equipment</t>
  </si>
  <si>
    <t>Identification for Plumbing Piping and Equipment</t>
  </si>
  <si>
    <t>Facility Drainage Manholes</t>
  </si>
  <si>
    <t>Facility Drainage Piping Cleanouts</t>
  </si>
  <si>
    <t>Plumbing Insulation</t>
  </si>
  <si>
    <t>Plumbing Equipment Insulation</t>
  </si>
  <si>
    <t>Plumbing Piping Insulation</t>
  </si>
  <si>
    <t>Commissioning of Plumbing</t>
  </si>
  <si>
    <t>Instrumentation and Control for Plumbing</t>
  </si>
  <si>
    <t>Plumbing Piping</t>
  </si>
  <si>
    <t>Facility Water Distribution</t>
  </si>
  <si>
    <t>Facility Water Distribution Piping</t>
  </si>
  <si>
    <t>Domestic Water Piping Specialties</t>
  </si>
  <si>
    <t>Domestic Water Pumps</t>
  </si>
  <si>
    <t>Domestic-Water Packaged Booster Pumps</t>
  </si>
  <si>
    <t>Close-Coupled, In-Line, Sealless Centrifugal Domestic-Water Pumps</t>
  </si>
  <si>
    <t>Close-Coupled, Horizontally Mounted, In-Line Centrifugal Domestic-Water Pumps</t>
  </si>
  <si>
    <t>Close-Coupled, Vertically Mounted, In-Line Centrifugal Domestic-Water Pumps</t>
  </si>
  <si>
    <t>Separately Coupled, In-Line Centrifugal Domestic-Water Pumps</t>
  </si>
  <si>
    <t>Separately Coupled, Horizontally Mounted, In-Line Centrifugal Domestic-Water Pumps</t>
  </si>
  <si>
    <t>Facility Roof-Mounted, Potable-Water Storage Tanks</t>
  </si>
  <si>
    <t>Facility Elevated, Potable-Water Storage Tanks</t>
  </si>
  <si>
    <t>Facility Ground-Mounted, Potable-Water Storage Tanks</t>
  </si>
  <si>
    <t>Facility Indoor Potable-Water Storage Tanks</t>
  </si>
  <si>
    <t>Facility Steel, Indoor Potable-Water Storage Pressure Tanks</t>
  </si>
  <si>
    <t>Facility Steel, Indoor Potable-Water Storage Non-Pressure Tanks</t>
  </si>
  <si>
    <t>Facility Plastic, Indoor Potable-Water Storage Pressure Tanks</t>
  </si>
  <si>
    <t>Facility Plastic, Indoor Potable-Water Storage Non-Pressure Tanks</t>
  </si>
  <si>
    <t>Facility Sanitary Sewerage</t>
  </si>
  <si>
    <t>Facility Sanitary Sewers</t>
  </si>
  <si>
    <t>Sanitary Waste and Vent Piping</t>
  </si>
  <si>
    <t>Sanitary Waste Piping Specialties</t>
  </si>
  <si>
    <t>Sanitary Drains</t>
  </si>
  <si>
    <t>Fats, Oils, and Grease Disposal Systems</t>
  </si>
  <si>
    <t>Grease Removal Devices</t>
  </si>
  <si>
    <t>Backwater Valves</t>
  </si>
  <si>
    <t>Air-Admittance Valves</t>
  </si>
  <si>
    <t>Sanitary Waste Interceptors</t>
  </si>
  <si>
    <t>Sanitary Waste Separators</t>
  </si>
  <si>
    <t>Sanitary Sewerage Pumps</t>
  </si>
  <si>
    <t>Wet-Pit-Mounted, Vertical Sewerage Pumps</t>
  </si>
  <si>
    <t>Submersible Sewerage Pumps</t>
  </si>
  <si>
    <t>Sewerage Pump Reverse-Flow Assemblies</t>
  </si>
  <si>
    <t>Sewerage Pump Basins and Pits</t>
  </si>
  <si>
    <t>Packaged, Submersible Sewerage Pump Units</t>
  </si>
  <si>
    <t>Packaged, Wastewater Pump Units</t>
  </si>
  <si>
    <t>Facility Packaged Sewage Pumping Stations</t>
  </si>
  <si>
    <t>Facility Dry-Well Packaged Sewage Pumping Stations</t>
  </si>
  <si>
    <t>Facility Wet-Well Packaged Sewage Pumping Stations</t>
  </si>
  <si>
    <t>Facility Septic Tanks</t>
  </si>
  <si>
    <t>Facility Gray Water Tanks</t>
  </si>
  <si>
    <t>Facility Storm Drainage</t>
  </si>
  <si>
    <t>Facility Storm Drainage Piping</t>
  </si>
  <si>
    <t>Rainwater Leaders</t>
  </si>
  <si>
    <t>Sump Pump Discharge Piping</t>
  </si>
  <si>
    <t>Storm Drainage Piping Specialties</t>
  </si>
  <si>
    <t>Facility Storm Drains</t>
  </si>
  <si>
    <t>Roof Drains</t>
  </si>
  <si>
    <t>Facility Area Drains</t>
  </si>
  <si>
    <t>Facility Trench Drains</t>
  </si>
  <si>
    <t>Sump Pumps</t>
  </si>
  <si>
    <t>Wet-Pit-Mounted, Vertical Sump Pumps</t>
  </si>
  <si>
    <t>Submersible Sump Pumps</t>
  </si>
  <si>
    <t>Sump-Pump Basins and Pits</t>
  </si>
  <si>
    <t>Packaged, Pedestal Drainage Pump Units</t>
  </si>
  <si>
    <t>Packaged, Submersible, Drainage Pump Units</t>
  </si>
  <si>
    <t>Rainwater Storage Tanks</t>
  </si>
  <si>
    <t>General Service Compressed-Air Systems</t>
  </si>
  <si>
    <t>General Service Compressed-Air Piping</t>
  </si>
  <si>
    <t>General Service Compressed-Air Valves</t>
  </si>
  <si>
    <t>General Service Packaged Air Compressors and Receivers</t>
  </si>
  <si>
    <t>General Service Packaged Reciprocating Air Compressors</t>
  </si>
  <si>
    <t>General Service Packaged Liquid-Ring Air Compressors</t>
  </si>
  <si>
    <t>General Service Packaged Rotary-Screw Air Compressors</t>
  </si>
  <si>
    <t>General Service Packaged Sliding-Vane Air Compressors</t>
  </si>
  <si>
    <t>Plumbing Equipment</t>
  </si>
  <si>
    <t>Domestic Water Softeners</t>
  </si>
  <si>
    <t>Residential Domestic Water Softeners</t>
  </si>
  <si>
    <t>Commercial Domestic Water Softeners</t>
  </si>
  <si>
    <t>Domestic Water Filtration Equipment</t>
  </si>
  <si>
    <t>Domestic-Water Bag-Type Filters</t>
  </si>
  <si>
    <t>Domestic-Water Freestanding Cartridge Filters</t>
  </si>
  <si>
    <t>Domestic-Water Off-Floor Cartridge Filters</t>
  </si>
  <si>
    <t>Domestic-Water Carbon Filters</t>
  </si>
  <si>
    <t>Domestic-Water Sand Filters</t>
  </si>
  <si>
    <t>Domestic-Water Circulating Sand Filters</t>
  </si>
  <si>
    <t>Domestic-Water Multimedia Sand Filters</t>
  </si>
  <si>
    <t>Domestic-Water Greensand Filters</t>
  </si>
  <si>
    <t>Electric Domestic Water Heaters</t>
  </si>
  <si>
    <t>Instantaneous Electric Domestic Water Heaters</t>
  </si>
  <si>
    <t>Flow-Control, Instantaneous Electric Domestic Water Heaters</t>
  </si>
  <si>
    <t>Thermostat-Control, Instantaneous Electric Domestic Water Heaters</t>
  </si>
  <si>
    <t>Residential, Electric Domestic Water Heaters</t>
  </si>
  <si>
    <t>Residential, Small-Capacity Electric Domestic Water Heaters</t>
  </si>
  <si>
    <t>Residential, Storage Electric Domestic Water Heaters</t>
  </si>
  <si>
    <t>Residential, Collector-to-Tank, Solar-Electric Domestic Water Heaters</t>
  </si>
  <si>
    <t>Residential, Collector-to-Tank, Heat-Exchanger-Coil, Solar-Electric Domestic Water Heaters</t>
  </si>
  <si>
    <t>Light-Commercial Electric Domestic Water Heaters</t>
  </si>
  <si>
    <t>Commercial Domestic Water Electric Booster Heaters</t>
  </si>
  <si>
    <t>Commercial Storage Electric Domestic Water Heaters</t>
  </si>
  <si>
    <t>Fuel-Fired Domestic Water Heaters</t>
  </si>
  <si>
    <t>Instantaneous, Tankless, Gas Domestic Water Heaters</t>
  </si>
  <si>
    <t>Residential Gas Domestic Water Heaters</t>
  </si>
  <si>
    <t>Residential, Atmospheric, Gas Domestic Water Heaters</t>
  </si>
  <si>
    <t>Residential, Direct-Vent, Gas Domestic Water Heaters</t>
  </si>
  <si>
    <t>Residential, Power-Vent, Gas Domestic Water Heaters</t>
  </si>
  <si>
    <t>Commercial Gas Domestic Water Heaters</t>
  </si>
  <si>
    <t>Commercial, Atmospheric, Gas Domestic Water Heaters</t>
  </si>
  <si>
    <t>Commercial, Power-Burner, Gas Domestic Water Heaters</t>
  </si>
  <si>
    <t>Commercial, Power-Vent, Gas Domestic Water Heaters</t>
  </si>
  <si>
    <t>Commercial, High-Efficiency, Gas Domestic Water Heaters</t>
  </si>
  <si>
    <t>Commercial, Coil-Type, Finned-Tube, Gas Domestic Water Heaters</t>
  </si>
  <si>
    <t>Commercial, Grid-Type, Finned-Tube, Gas Domestic Water Heaters</t>
  </si>
  <si>
    <t>Oil-Fired Domestic Water Heaters</t>
  </si>
  <si>
    <t>Large-Capacity, Oil-Fired Domestic Water Heaters</t>
  </si>
  <si>
    <t>Dual-Fuel-Fired Domestic Water Heaters</t>
  </si>
  <si>
    <t>Domestic Water Heat Exchangers</t>
  </si>
  <si>
    <t>Instantaneous Domestic Water Heat Exchangers</t>
  </si>
  <si>
    <t>Heating-Fluid-in-Coil, Instantaneous Domestic Water Heat Exchangers</t>
  </si>
  <si>
    <t>Domestic-Water-in-Coil, Instantaneous Domestic Water Heat Exchangers</t>
  </si>
  <si>
    <t>Heating-Fluid-in-U-Tube-Coil, Instantaneous Domestic Water Heat Exchangers</t>
  </si>
  <si>
    <t>Circulating, Domestic Water Heat Exchangers</t>
  </si>
  <si>
    <t>Circulating, Compact Domestic Water Heat Exchangers</t>
  </si>
  <si>
    <t>Circulating, Storage Domestic Water Heat Exchangers</t>
  </si>
  <si>
    <t>Noncirculating, Domestic Water Heat Exchangers</t>
  </si>
  <si>
    <t>Noncirculating, Compact Domestic Water Heat Exchangers</t>
  </si>
  <si>
    <t>Noncirculating, Storage Domestic Water Heat Exchangers</t>
  </si>
  <si>
    <t>Domestic Water Brazed-Plate Heat Exchangers</t>
  </si>
  <si>
    <t>Domestic Water Frame-and-Plate Heat Exchangers</t>
  </si>
  <si>
    <t>Domestic Water Heat Reclaimers</t>
  </si>
  <si>
    <t>Residential Plumbing Fixtures</t>
  </si>
  <si>
    <t>Residential Water Closets, Urinals, and Bidets</t>
  </si>
  <si>
    <t>Residential Water Closets</t>
  </si>
  <si>
    <t>Residential Urinals</t>
  </si>
  <si>
    <t>Residential Bidets</t>
  </si>
  <si>
    <t>Residential Lavatories and Sinks</t>
  </si>
  <si>
    <t>Residential Lavatories</t>
  </si>
  <si>
    <t>Residential Sinks</t>
  </si>
  <si>
    <t>Residential Bathtubs</t>
  </si>
  <si>
    <t>Residential Showers</t>
  </si>
  <si>
    <t>Residential Disposers</t>
  </si>
  <si>
    <t>Residential Laundry Trays</t>
  </si>
  <si>
    <t>Residential Faucets, Supplies, and Trim</t>
  </si>
  <si>
    <t>Commercial Plumbing Fixtures</t>
  </si>
  <si>
    <t>Commercial Water Closets, Urinals, and Bidets</t>
  </si>
  <si>
    <t>Commercial Water Closets</t>
  </si>
  <si>
    <t>Commercial Urinals</t>
  </si>
  <si>
    <t>Commercial Lavatories and Sinks</t>
  </si>
  <si>
    <t>Commercial Lavatories</t>
  </si>
  <si>
    <t>Commercial Sinks</t>
  </si>
  <si>
    <t>Commercial Bathtubs</t>
  </si>
  <si>
    <t>Commercial Showers</t>
  </si>
  <si>
    <t>Commercial Disposers</t>
  </si>
  <si>
    <t>Shampoo Bowls</t>
  </si>
  <si>
    <t>Wash Fountains</t>
  </si>
  <si>
    <t>Commercial Laundry Trays</t>
  </si>
  <si>
    <t>Commercial Faucets, Supplies, and Trim</t>
  </si>
  <si>
    <t>Flushometers</t>
  </si>
  <si>
    <t>Healthcare Plumbing Fixtures</t>
  </si>
  <si>
    <t>Healthcare Water Closets</t>
  </si>
  <si>
    <t>Healthcare Sinks</t>
  </si>
  <si>
    <t>Healthcare Bathtubs</t>
  </si>
  <si>
    <t>Healthcare Showers</t>
  </si>
  <si>
    <t>Healthcare Faucets</t>
  </si>
  <si>
    <t>Healthcare Plumbing Fixture Flushometers</t>
  </si>
  <si>
    <t>Emergency Plumbing Fixtures</t>
  </si>
  <si>
    <t>Emergency Showers</t>
  </si>
  <si>
    <t>Eyewash Equipment</t>
  </si>
  <si>
    <t>Self-Contained Eyewash Equipment</t>
  </si>
  <si>
    <t>Personal Eyewash Equipment</t>
  </si>
  <si>
    <t>Eye/Face Wash Equipment</t>
  </si>
  <si>
    <t>Hand-Held Emergency Drench Hoses</t>
  </si>
  <si>
    <t>Combination Emergency Fixture Units</t>
  </si>
  <si>
    <t>Emergency Fixture Water-Tempering Equipment</t>
  </si>
  <si>
    <t>Security Plumbing Fixtures</t>
  </si>
  <si>
    <t>Security Showers</t>
  </si>
  <si>
    <t>Security Water Closets and Urinals</t>
  </si>
  <si>
    <t>Security Water Closets</t>
  </si>
  <si>
    <t>Security Urinals</t>
  </si>
  <si>
    <t>Security Lavatories and Sinks</t>
  </si>
  <si>
    <t>Security Lavatories</t>
  </si>
  <si>
    <t>Security Sinks</t>
  </si>
  <si>
    <t>Security Faucets, Supplies, and Trim</t>
  </si>
  <si>
    <t>Security Plumbing Fixture Flushometers</t>
  </si>
  <si>
    <t>Security Plumbing Fixture Supports</t>
  </si>
  <si>
    <t>Drinking Fountains and Water Coolers</t>
  </si>
  <si>
    <t>Drinking Fountains</t>
  </si>
  <si>
    <t>Pressure Water Coolers</t>
  </si>
  <si>
    <t>Water-Station Water Coolers</t>
  </si>
  <si>
    <t>Remote Water Coolers</t>
  </si>
  <si>
    <t>Pool and Fountain Plumbing Systems</t>
  </si>
  <si>
    <t>Swimming Pool Plumbing Systems</t>
  </si>
  <si>
    <t>Swimming Pool Piping</t>
  </si>
  <si>
    <t>Swimming Pool Pumps</t>
  </si>
  <si>
    <t>Swimming Pool Water Treatment Equipment</t>
  </si>
  <si>
    <t>Swimming Pool Equipment Controls</t>
  </si>
  <si>
    <t>Fountain Plumbing Systems</t>
  </si>
  <si>
    <t>Fountain Piping</t>
  </si>
  <si>
    <t>Fountain Pumps</t>
  </si>
  <si>
    <t>Fountain Water Treatment Equipment</t>
  </si>
  <si>
    <t>Fountain Equipment Controls</t>
  </si>
  <si>
    <t>Gas and Vacuum Systems for Laboratory and Healthcare Facilities</t>
  </si>
  <si>
    <t>Compressed-Air Systems for Laboratory and Healthcare Facilities</t>
  </si>
  <si>
    <t>Compressed-Air Piping for Laboratory and Healthcare Facilities</t>
  </si>
  <si>
    <t>Laboratory Compressed-Air Piping</t>
  </si>
  <si>
    <t>Healthcare Compressed-Air Piping</t>
  </si>
  <si>
    <t>Dental Compressed-Air Piping</t>
  </si>
  <si>
    <t>Compressed-Air Equipment for Laboratory and Healthcare Facilities</t>
  </si>
  <si>
    <t>Laboratory Compressed-Air Equipment</t>
  </si>
  <si>
    <t>Healthcare Compressed-Air Equipment</t>
  </si>
  <si>
    <t>Dental Compressed-Air Equipment</t>
  </si>
  <si>
    <t>Vacuum Systems for Laboratory and Healthcare Facilities</t>
  </si>
  <si>
    <t>Vacuum Piping for Laboratory and Healthcare Facilities</t>
  </si>
  <si>
    <t>Laboratory Vacuum Piping</t>
  </si>
  <si>
    <t>Healthcare, Surgical Vacuum Piping</t>
  </si>
  <si>
    <t>Dental Vacuum Piping</t>
  </si>
  <si>
    <t>Vacuum Equipment for Laboratory and Healthcare Facilities</t>
  </si>
  <si>
    <t>Laboratory Vacuum Equipment</t>
  </si>
  <si>
    <t>Healthcare Vacuum Equipment</t>
  </si>
  <si>
    <t>Dental Vacuum and Evacuation Equipment</t>
  </si>
  <si>
    <t>Waste Anesthesia-Gas Piping</t>
  </si>
  <si>
    <t>Gas Systems for Laboratory and Healthcare Facilities</t>
  </si>
  <si>
    <t>Gas Piping for Laboratory and Healthcare Facilities</t>
  </si>
  <si>
    <t>Laboratory Gas Piping</t>
  </si>
  <si>
    <t>Healthcare Gas Piping</t>
  </si>
  <si>
    <t>Gas Storage Tanks for Laboratory and Healthcare Facilities</t>
  </si>
  <si>
    <t>Laboratory Gas Storage Tanks</t>
  </si>
  <si>
    <t>Healthcare Gas Storage Tanks</t>
  </si>
  <si>
    <t>Chemical-Waste Systems for Laboratory and Healthcare Facilities</t>
  </si>
  <si>
    <t>Laboratory Chemical-Waste and Vent Piping</t>
  </si>
  <si>
    <t>Healthcare Chemical-Waste and Vent Piping</t>
  </si>
  <si>
    <t>Chemical-Waste Tanks</t>
  </si>
  <si>
    <t>Chemical-Waste Dilution Tanks</t>
  </si>
  <si>
    <t>Chemical-Waste Neutralization Tanks</t>
  </si>
  <si>
    <t>Processed Water Systems for Laboratory and Healthcare Facilities</t>
  </si>
  <si>
    <t>Processed Water Piping for Laboratory and Healthcare Facilities</t>
  </si>
  <si>
    <t>Distilled-Water Piping</t>
  </si>
  <si>
    <t>Reverse-Osmosis Water Piping</t>
  </si>
  <si>
    <t>Deionized-Water Piping</t>
  </si>
  <si>
    <t>Processed Water Equipment for Laboratory and Healthcare Facilities</t>
  </si>
  <si>
    <t>Distilled-Water Equipment</t>
  </si>
  <si>
    <t>Reverse-Osmosis Water Equipment</t>
  </si>
  <si>
    <t>Deionized-Water Equipment</t>
  </si>
  <si>
    <t>Heating, Ventilating, and Air-Conditioning (HVAC)</t>
  </si>
  <si>
    <t>Operation and Maintenance of HVAC Systems</t>
  </si>
  <si>
    <t>Operation and Maintenance of Facility Fuel Systems</t>
  </si>
  <si>
    <t>Operation and Maintenance of HVAC Piping and Pumps</t>
  </si>
  <si>
    <t>Operation and Maintenance of HVAC Air Distribution</t>
  </si>
  <si>
    <t>HVAC Air-Distribution System Cleaning</t>
  </si>
  <si>
    <t>Operation and Maintenance of Central Heating Equipment</t>
  </si>
  <si>
    <t>Operation and Maintenance of Central Cooling Equipment</t>
  </si>
  <si>
    <t>Refrigerant Recovery/Recycling</t>
  </si>
  <si>
    <t>Operation and Maintenance of Central HVAC Equipment</t>
  </si>
  <si>
    <t>Operation and Maintenance of Decentralized HVAC Equipment</t>
  </si>
  <si>
    <t>Diagnostic Systems for HVAC</t>
  </si>
  <si>
    <t>Common Work Results for HVAC</t>
  </si>
  <si>
    <t>Common Motor Requirements for HVAC Equipment</t>
  </si>
  <si>
    <t>Expansion Fittings and Loops for HVAC Piping</t>
  </si>
  <si>
    <t>Meters and Gages for HVAC Piping</t>
  </si>
  <si>
    <t>General-Duty Valves for HVAC Piping</t>
  </si>
  <si>
    <t>Hangers and Supports for HVAC Piping and Equipment</t>
  </si>
  <si>
    <t>Heat Tracing for HVAC Piping</t>
  </si>
  <si>
    <t>Vibration and Seismic Controls for HVAC</t>
  </si>
  <si>
    <t>Identification for HVAC Piping and Equipment</t>
  </si>
  <si>
    <t>Anti-Microbial Coatings for HVAC Ducts and Equipment</t>
  </si>
  <si>
    <t>Anti-Microbial Ultraviolet Emitters for HVAC Ducts and Equipment</t>
  </si>
  <si>
    <t>Testing, Adjusting, and Balancing for HVAC</t>
  </si>
  <si>
    <t>HVAC Insulation</t>
  </si>
  <si>
    <t>Duct Insulation</t>
  </si>
  <si>
    <t>HVAC Equipment Insulation</t>
  </si>
  <si>
    <t>HVAC Piping Insulation</t>
  </si>
  <si>
    <t>Commissioning of HVAC</t>
  </si>
  <si>
    <t>Instrumentation and Control for HVAC</t>
  </si>
  <si>
    <t>Instrumentation and Control Devices for HVAC</t>
  </si>
  <si>
    <t>Actuators and Operators</t>
  </si>
  <si>
    <t>Sensors and Transmitters</t>
  </si>
  <si>
    <t>Control Valves</t>
  </si>
  <si>
    <t>Control Dampers</t>
  </si>
  <si>
    <t>Direct-Digital Control System for HVAC</t>
  </si>
  <si>
    <t>Electric and Electronic Control System for HVAC</t>
  </si>
  <si>
    <t>Pneumatic Control System for HVAC</t>
  </si>
  <si>
    <t>Pneumatic and Electric Control System for HVAC</t>
  </si>
  <si>
    <t>Sequence of Operations for HVAC Controls</t>
  </si>
  <si>
    <t>Facility Fuel Piping</t>
  </si>
  <si>
    <t>Facility Fuel-Oil Piping</t>
  </si>
  <si>
    <t>Facility Gasoline Piping</t>
  </si>
  <si>
    <t>Facility Natural-Gas Piping</t>
  </si>
  <si>
    <t>Facility Liquefied-Petroleum Gas Piping</t>
  </si>
  <si>
    <t>Facility Fuel Pumps</t>
  </si>
  <si>
    <t>Facility Fuel-Oil Pumps</t>
  </si>
  <si>
    <t>Facility Gasoline Dispensing Pumps</t>
  </si>
  <si>
    <t>Facility Fuel-Storage Tanks</t>
  </si>
  <si>
    <t>Facility Underground Fuel-Oil, Storage Tanks</t>
  </si>
  <si>
    <t>Double-Wall Steel, Underground Fuel-Oil, Storage Tanks</t>
  </si>
  <si>
    <t>Composite, Steel, Underground Fuel-Oil, Storage Tanks</t>
  </si>
  <si>
    <t>Jacketed, Steel, Underground Fuel-Oil, Storage Tanks</t>
  </si>
  <si>
    <t>Glass-Fiber-Reinforced-Plastic, Underground Fuel-Oil, Storage Tanks</t>
  </si>
  <si>
    <t>Fuel-Oil Storage Tank Pumps</t>
  </si>
  <si>
    <t>Facility Aboveground Fuel-Oil, Storage Tanks</t>
  </si>
  <si>
    <t>Vertical, Steel, Aboveground Fuel-Oil, Storage Tanks</t>
  </si>
  <si>
    <t>Horizontal, Steel, Aboveground Fuel-Oil, Storage Tanks</t>
  </si>
  <si>
    <t>Containment-Dike, Steel, Aboveground Fuel-Oil, Storage Tanks</t>
  </si>
  <si>
    <t>Insulated, Steel, Aboveground Fuel-Oil, Storage Tanks</t>
  </si>
  <si>
    <t>Concrete-Vaulted, Steel, Aboveground Fuel-Oil, Storage Tanks</t>
  </si>
  <si>
    <t>HVAC Piping and Pumps</t>
  </si>
  <si>
    <t>Hydronic Piping and Pumps</t>
  </si>
  <si>
    <t>Hydronic Piping</t>
  </si>
  <si>
    <t>Underground Hydronic Piping</t>
  </si>
  <si>
    <t>Aboveground Hydronic Piping</t>
  </si>
  <si>
    <t>Ground-Loop Heat-Pump Piping</t>
  </si>
  <si>
    <t>Hydronic Piping Specialties</t>
  </si>
  <si>
    <t>Hydronic Pumps</t>
  </si>
  <si>
    <t>In-Line Centrifugal Hydronic Pumps</t>
  </si>
  <si>
    <t>Base-Mounted, Centrifugal Hydronic Pumps</t>
  </si>
  <si>
    <t>Vertical-Mounted, Double-Suction Centrifugal Hydronic Pumps</t>
  </si>
  <si>
    <t>Vertical-Turbine Hydronic Pumps</t>
  </si>
  <si>
    <t>Automatic Condensate Pump Units</t>
  </si>
  <si>
    <t>Steam and Condensate Piping and Pumps</t>
  </si>
  <si>
    <t>Steam and Condensate Heating Piping</t>
  </si>
  <si>
    <t>Underground Steam and Condensate Heating Piping</t>
  </si>
  <si>
    <t>Aboveground Steam and Condensate Heating Piping</t>
  </si>
  <si>
    <t>Steam and Condensate Heating Piping Specialties</t>
  </si>
  <si>
    <t>Steam Condensate Pumps</t>
  </si>
  <si>
    <t>Electric-Driven Steam Condensate Pumps</t>
  </si>
  <si>
    <t>Pressure-Powered Steam Condensate Pumps</t>
  </si>
  <si>
    <t>Refrigerant Piping</t>
  </si>
  <si>
    <t>Refrigerant Piping Valves</t>
  </si>
  <si>
    <t>Refrigerant Piping Specialties</t>
  </si>
  <si>
    <t>Refrigerant Safety Relief Valve Discharge Piping</t>
  </si>
  <si>
    <t>Refrigerants</t>
  </si>
  <si>
    <t>Internal-Combustion Engine Piping</t>
  </si>
  <si>
    <t>Internal-Combustion Engine Remote-Radiator Coolant Piping</t>
  </si>
  <si>
    <t>Internal-Combustion Engine Exhaust Piping</t>
  </si>
  <si>
    <t>HVAC Water Treatment</t>
  </si>
  <si>
    <t>Water Treatment for Closed-Loop Hydronic Systems</t>
  </si>
  <si>
    <t>Water Treatment for Open Hydronic Systems</t>
  </si>
  <si>
    <t>Water Treatment for Steam System Feedwater</t>
  </si>
  <si>
    <t>Water Treatment for Humidification Steam System Feedwater</t>
  </si>
  <si>
    <t>HVAC Ducts and Casings</t>
  </si>
  <si>
    <t>Metal Ducts</t>
  </si>
  <si>
    <t>Rectangular Metal Ducts</t>
  </si>
  <si>
    <t>Round and Flat-Oval Spiral Ducts</t>
  </si>
  <si>
    <t>Metal Duct Fittings</t>
  </si>
  <si>
    <t>Nonmetal Ducts</t>
  </si>
  <si>
    <t>Fibrous-Glass Ducts</t>
  </si>
  <si>
    <t>Thermoset Fiberglass-Reinforced Plastic Ducts</t>
  </si>
  <si>
    <t>PVC Ducts</t>
  </si>
  <si>
    <t>Concrete Ducts</t>
  </si>
  <si>
    <t>HVAC Casings</t>
  </si>
  <si>
    <t>Air Plenums and Chases</t>
  </si>
  <si>
    <t>Fabricated, Metal Air Plenums</t>
  </si>
  <si>
    <t>Air-Distribution Ceiling Plenums</t>
  </si>
  <si>
    <t>Air-Distribution Floor Plenums</t>
  </si>
  <si>
    <t xml:space="preserve">Air-Distribution Wall Plenums </t>
  </si>
  <si>
    <t>Air-Distribution Chases Formed by General Construction</t>
  </si>
  <si>
    <t>Acoustical Air Plenums</t>
  </si>
  <si>
    <t>Air Duct Accessories</t>
  </si>
  <si>
    <t>Dampers</t>
  </si>
  <si>
    <t>Volume-Control Dampers</t>
  </si>
  <si>
    <t>Fire Dampers</t>
  </si>
  <si>
    <t>Smoke-Control Dampers</t>
  </si>
  <si>
    <t>Backdraft Dampers</t>
  </si>
  <si>
    <t>Duct Silencers</t>
  </si>
  <si>
    <t>Turning Vanes</t>
  </si>
  <si>
    <t>Duct-Mounting Access Doors</t>
  </si>
  <si>
    <t>Flexible Connectors</t>
  </si>
  <si>
    <t>Flexible Ducts</t>
  </si>
  <si>
    <t>Duct Liners</t>
  </si>
  <si>
    <t>HVAC Fans</t>
  </si>
  <si>
    <t>Axial HVAC Fans</t>
  </si>
  <si>
    <t>Centrifugal HVAC Fans</t>
  </si>
  <si>
    <t>HVAC Power Ventilators</t>
  </si>
  <si>
    <t>Air Curtains</t>
  </si>
  <si>
    <t>Special Exhaust Systems</t>
  </si>
  <si>
    <t>Dust Collection Systems</t>
  </si>
  <si>
    <t>Sawdust Collection Systems</t>
  </si>
  <si>
    <t>Engine Exhaust Systems</t>
  </si>
  <si>
    <t>Positive-Pressure Engine Exhaust Systems</t>
  </si>
  <si>
    <t>Mechanical Engine Exhaust Systems</t>
  </si>
  <si>
    <t>Air Terminal Units</t>
  </si>
  <si>
    <t>Constant-Air-Volume Units</t>
  </si>
  <si>
    <t>Variable-Air-Volume Units</t>
  </si>
  <si>
    <t>Air Outlets and Inlets</t>
  </si>
  <si>
    <t>Diffusers, Registers, and Grilles</t>
  </si>
  <si>
    <t>Fabric Air Distribution Devices</t>
  </si>
  <si>
    <t>HVAC Gravity Ventilators</t>
  </si>
  <si>
    <t>HVAC Gravity Dome Ventilators</t>
  </si>
  <si>
    <t>HVAC Gravity Louvered-Penthouse Ventilators</t>
  </si>
  <si>
    <t>HVAC Gravity Upblast Ventilators</t>
  </si>
  <si>
    <t>Ventilation Hoods</t>
  </si>
  <si>
    <t>Commercial-Kitchen Hoods</t>
  </si>
  <si>
    <t>Listed Commercial-Kitchen Hoods</t>
  </si>
  <si>
    <t>Standard Commercial-Kitchen Hoods</t>
  </si>
  <si>
    <t>Fume Hoods</t>
  </si>
  <si>
    <t>HVAC Air Cleaning Devices</t>
  </si>
  <si>
    <t>Particulate Air Filtration</t>
  </si>
  <si>
    <t>Panel Air Filters</t>
  </si>
  <si>
    <t>Renewable-Media Air Filters</t>
  </si>
  <si>
    <t>Washable Air Filters</t>
  </si>
  <si>
    <t>Extended Surface Filters</t>
  </si>
  <si>
    <t>High-Efficiency Particulate Filtration</t>
  </si>
  <si>
    <t>Ultra-Low Penetration Filtration</t>
  </si>
  <si>
    <t>Super Ultra-Low Penetration Filtration</t>
  </si>
  <si>
    <t>Gas-Phase Air Filtration</t>
  </si>
  <si>
    <t>Activated-Carbon Air Filtration</t>
  </si>
  <si>
    <t>Chemically-Impregnated Adsorption Air Filtration</t>
  </si>
  <si>
    <t>Catalytic-Adsorption Air Filtration</t>
  </si>
  <si>
    <t>Electronic Air Cleaners</t>
  </si>
  <si>
    <t>Washable Electronic Air Cleaners</t>
  </si>
  <si>
    <t>Agglomerator Electronic Air Cleaners</t>
  </si>
  <si>
    <t>Self-Contained Electronic Air Cleaners</t>
  </si>
  <si>
    <t>Central Heating Equipment</t>
  </si>
  <si>
    <t>Breechings, Chimneys, and Stacks</t>
  </si>
  <si>
    <t>Draft Control Devices</t>
  </si>
  <si>
    <t>Draft-Induction Fans</t>
  </si>
  <si>
    <t>Vent Dampers</t>
  </si>
  <si>
    <t>Barometric Dampers</t>
  </si>
  <si>
    <t>Fabricated Breechings and Accessories</t>
  </si>
  <si>
    <t>Fabricated Stacks</t>
  </si>
  <si>
    <t>Gas Vents</t>
  </si>
  <si>
    <t>Insulated Sectional Chimneys</t>
  </si>
  <si>
    <t>Flue-Gas Filtration Equipment</t>
  </si>
  <si>
    <t>Gaseous Filtration</t>
  </si>
  <si>
    <t>Particulate Filtration</t>
  </si>
  <si>
    <t>Heating Boilers</t>
  </si>
  <si>
    <t>Electric Boilers</t>
  </si>
  <si>
    <t>Condensing Boilers</t>
  </si>
  <si>
    <t>Stainless-Steel Condensing Boilers</t>
  </si>
  <si>
    <t>Aluminum Condensing Boilers</t>
  </si>
  <si>
    <t>Low Mass Boilers</t>
  </si>
  <si>
    <t>Pulse Combustion Boilers</t>
  </si>
  <si>
    <t>Cast-Iron Boilers</t>
  </si>
  <si>
    <t>Water-Tube Boilers</t>
  </si>
  <si>
    <t>Finned Water-Tube Boilers</t>
  </si>
  <si>
    <t>Steel Water-Tube Boilers</t>
  </si>
  <si>
    <t>Copper Water-Tube Boilers</t>
  </si>
  <si>
    <t>Fire-Tube Boilers</t>
  </si>
  <si>
    <t>Scotch Marine Boilers</t>
  </si>
  <si>
    <t>Steel Fire-Tube Boilers</t>
  </si>
  <si>
    <t>Boiler Blowdown Systems</t>
  </si>
  <si>
    <t>Heating Boiler Feedwater Equipment</t>
  </si>
  <si>
    <t>Boiler Feedwater Pumps</t>
  </si>
  <si>
    <t>Deaerators</t>
  </si>
  <si>
    <t>Furnaces</t>
  </si>
  <si>
    <t>Electric-Resistance Furnaces</t>
  </si>
  <si>
    <t>Fuel-Fired Furnaces</t>
  </si>
  <si>
    <t>Gas-Fired Furnaces</t>
  </si>
  <si>
    <t>Oil-Fired Furnaces</t>
  </si>
  <si>
    <t>Fuel-Fired Heaters</t>
  </si>
  <si>
    <t>Fuel-Fired Duct Heaters</t>
  </si>
  <si>
    <t>Oil-Fired Duct Heaters</t>
  </si>
  <si>
    <t>Gas-Fired Duct Heaters</t>
  </si>
  <si>
    <t>Gas-Fired Radiant Heaters</t>
  </si>
  <si>
    <t>Fuel-Fired Unit Heaters</t>
  </si>
  <si>
    <t>Oil-Fired Unit Heaters</t>
  </si>
  <si>
    <t>Gas-Fired Unit Heaters</t>
  </si>
  <si>
    <t>Solar Energy Heating Equipment</t>
  </si>
  <si>
    <t>Heating Solar Collectors</t>
  </si>
  <si>
    <t>Heating Solar Flat-Plate Collectors</t>
  </si>
  <si>
    <t>Heating Solar Concentrating Collectors</t>
  </si>
  <si>
    <t>Heating Solar Vacuum-Tube Collectors</t>
  </si>
  <si>
    <t>Packaged Solar Heating Equipment</t>
  </si>
  <si>
    <t>Heat Exchangers for HVAC</t>
  </si>
  <si>
    <t>Steam-to-Steam Heat Exchangers</t>
  </si>
  <si>
    <t>Steam-to-Water Heat Exchangers</t>
  </si>
  <si>
    <t>Liquid-to-Liquid Heat Exchangers</t>
  </si>
  <si>
    <t>Plate-Type, Liquid-to-Liquid Heat Exchangers</t>
  </si>
  <si>
    <t>Shell-Type, Liquid-to-Liquid Heat Exchangers</t>
  </si>
  <si>
    <t>Direct Geoexchange Heat Exchangers</t>
  </si>
  <si>
    <t>Central Cooling Equipment</t>
  </si>
  <si>
    <t>Refrigerant Compressors</t>
  </si>
  <si>
    <t>Centrifugal Refrigerant Compressors</t>
  </si>
  <si>
    <t>Non-Condensable Gas Purge Equipment</t>
  </si>
  <si>
    <t>Reciprocating Refrigerant Compressors</t>
  </si>
  <si>
    <t>Scroll Refrigerant Compressors</t>
  </si>
  <si>
    <t>Rotary-Screw Refrigerant Compressors</t>
  </si>
  <si>
    <t>Packaged Compressor and Condenser Units</t>
  </si>
  <si>
    <t>Packaged Air-Cooled Refrigerant Compressor and Condenser Units</t>
  </si>
  <si>
    <t>Packaged Water-Cooled Refrigerant Compressor and Condenser Units</t>
  </si>
  <si>
    <t>Refrigerant Condensers</t>
  </si>
  <si>
    <t>Air-Cooled Refrigerant Condensers</t>
  </si>
  <si>
    <t>Water-Cooled Refrigerant Condensers</t>
  </si>
  <si>
    <t>Evaporative Refrigerant Condensers</t>
  </si>
  <si>
    <t>Packaged Water Chillers</t>
  </si>
  <si>
    <t>Absorption Water Chillers</t>
  </si>
  <si>
    <t>Direct-Fired Absorption Water Chillers</t>
  </si>
  <si>
    <t>Indirect-Fired Absorption Water Chillers</t>
  </si>
  <si>
    <t>Centrifugal Water Chillers</t>
  </si>
  <si>
    <t>Air-Cooled Centrifugal Water Chillers</t>
  </si>
  <si>
    <t>Water-Cooled Centrifugal Water Chillers</t>
  </si>
  <si>
    <t>Reciprocating Water Chillers</t>
  </si>
  <si>
    <t>Scroll Water Chillers</t>
  </si>
  <si>
    <t>Rotary-Screw Water Chillers</t>
  </si>
  <si>
    <t>Cooling Towers</t>
  </si>
  <si>
    <t>Forced-Draft Cooling Towers</t>
  </si>
  <si>
    <t>Open-Circuit, Forced-Draft Cooling Towers</t>
  </si>
  <si>
    <t>Closed-Circuit, Forced-Draft Cooling Towers</t>
  </si>
  <si>
    <t>Natural-Draft Cooling Towers</t>
  </si>
  <si>
    <t>Field-Erected Cooling Towers</t>
  </si>
  <si>
    <t>Liquid Coolers</t>
  </si>
  <si>
    <t>Central HVAC Equipment</t>
  </si>
  <si>
    <t>Thermal Storage</t>
  </si>
  <si>
    <t>Room Storage Heaters for Thermal Storage</t>
  </si>
  <si>
    <t>Heat-Pump Boosters for Thermal Storage</t>
  </si>
  <si>
    <t>Central Furnace Heat-Storage Units</t>
  </si>
  <si>
    <t>Pressurized-Water Thermal Storage Tanks</t>
  </si>
  <si>
    <t>Chilled-Water Thermal Storage</t>
  </si>
  <si>
    <t>Ice Storage</t>
  </si>
  <si>
    <t>Internal Ice-on-Coil Thermal Storage</t>
  </si>
  <si>
    <t>External Ice-on-Coil Thermal Storage</t>
  </si>
  <si>
    <t>Encapsulated-Ice Thermal Storage</t>
  </si>
  <si>
    <t>Ice-Harvesting Thermal Storage</t>
  </si>
  <si>
    <t>Ice-Slurry Thermal Storage</t>
  </si>
  <si>
    <t>Air-to-Air Energy Recovery Equipment</t>
  </si>
  <si>
    <t>Heat-Wheel Air-to-Air Energy-Recovery Equipment</t>
  </si>
  <si>
    <t>Heat-Pipe Air-to-Air Energy-Recovery Equipment</t>
  </si>
  <si>
    <t>Fixed-Plate Air-to-Air Energy-Recovery Equipment</t>
  </si>
  <si>
    <t>Packaged Air-to-Air Energy-Recovery Units</t>
  </si>
  <si>
    <t>Indoor Central-Station Air-Handling Units</t>
  </si>
  <si>
    <t>Modular Indoor Central-Station Air-Handling Units</t>
  </si>
  <si>
    <t>Custom Indoor Central-Station Air-Handling Units</t>
  </si>
  <si>
    <t>Indoor Indirect Fuel-Fired Heating and Ventilating Units</t>
  </si>
  <si>
    <t>Indoor Indirect Oil-Fired Heating and Ventilating Units</t>
  </si>
  <si>
    <t>Indoor Indirect Gas-Fired Heating and Ventilating Units</t>
  </si>
  <si>
    <t>Indoor, Direct Gas-Fired Heating and Ventilating Units</t>
  </si>
  <si>
    <t>Packaged Outdoor HVAC Equipment</t>
  </si>
  <si>
    <t>Packaged, Outdoor, Central-Station Air-Handling Units</t>
  </si>
  <si>
    <t>Packaged, Outdoor, Heating-Only Makeup-Air Units</t>
  </si>
  <si>
    <t>Packaged, Direct-Fired, Outdoor, Heating-Only Makeup-Air Units</t>
  </si>
  <si>
    <t>Packaged, Indirect-Fired, Outdoor, Heating-Only Makeup-Air Units</t>
  </si>
  <si>
    <t xml:space="preserve">Dedicated Outdoor-Air Units </t>
  </si>
  <si>
    <t>Custom-Packaged Outdoor HVAC Equipment</t>
  </si>
  <si>
    <t>Custom-Packaged, Outdoor, Central-Station Air-Handling Units</t>
  </si>
  <si>
    <t>Custom-Packaged, Outdoor, Heating and Ventilating Makeup-Air Units</t>
  </si>
  <si>
    <t>Custom-Packaged, Outdoor, Heating and Cooling Makeup Air-Conditioners</t>
  </si>
  <si>
    <t>Evaporative Air-Cooling Equipment</t>
  </si>
  <si>
    <t>Direct Evaporative Air Coolers</t>
  </si>
  <si>
    <t>Indirect Evaporative Air Coolers</t>
  </si>
  <si>
    <t>Combined Direct and Indirect Evaporative Air Coolers</t>
  </si>
  <si>
    <t>Decentralized HVAC Equipment</t>
  </si>
  <si>
    <t>Decentralized Unitary HVAC Equipment</t>
  </si>
  <si>
    <t>Packaged Terminal Air-Conditioners</t>
  </si>
  <si>
    <t>Room Air-Conditioners</t>
  </si>
  <si>
    <t>Self-Contained Air-Conditioners</t>
  </si>
  <si>
    <t>Small-Capacity Self-Contained Air-Conditioners</t>
  </si>
  <si>
    <t>Large-Capacity Self-Contained Air-Conditioners</t>
  </si>
  <si>
    <t>Computer-Room Air-Conditioners</t>
  </si>
  <si>
    <t>Split-System Air-Conditioners</t>
  </si>
  <si>
    <t>Small-Capacity Split-System Air-Conditioners</t>
  </si>
  <si>
    <t>Large-Capacity Split-System Air-Conditioners</t>
  </si>
  <si>
    <t>Air-Source Unitary Heat Pumps</t>
  </si>
  <si>
    <t>Water-Source Unitary Heat Pumps</t>
  </si>
  <si>
    <t>Convection Heating and Cooling Units</t>
  </si>
  <si>
    <t>Valance Heating and Cooling Units</t>
  </si>
  <si>
    <t>Chilled Beams</t>
  </si>
  <si>
    <t>Air Coils</t>
  </si>
  <si>
    <t>Fan Coil Units</t>
  </si>
  <si>
    <t>Unit Ventilators</t>
  </si>
  <si>
    <t>Induction Units</t>
  </si>
  <si>
    <t>Radiators</t>
  </si>
  <si>
    <t>Convectors</t>
  </si>
  <si>
    <t>Finned-Tube Radiation Heaters</t>
  </si>
  <si>
    <t>Unit Heaters</t>
  </si>
  <si>
    <t>Cabinet Unit Heaters</t>
  </si>
  <si>
    <t>Propeller Unit Heaters</t>
  </si>
  <si>
    <t>Wall and Ceiling Unit Heaters</t>
  </si>
  <si>
    <t>Water-to-Water Heat Pumps</t>
  </si>
  <si>
    <t>Radiant Heating Units</t>
  </si>
  <si>
    <t>Radiant-Heating Electric Cables</t>
  </si>
  <si>
    <t>Radiant-Heating Electric Mats</t>
  </si>
  <si>
    <t>Radiant-Heating Hydronic Piping</t>
  </si>
  <si>
    <t>Radiant-Heating Electric Panels</t>
  </si>
  <si>
    <t>Electric Radiant Heaters</t>
  </si>
  <si>
    <t>Humidity Control Equipment</t>
  </si>
  <si>
    <t>Humidifiers</t>
  </si>
  <si>
    <t>Heated-Pan Humidifiers</t>
  </si>
  <si>
    <t>Wetted-Element Humidifiers</t>
  </si>
  <si>
    <t>Atomizing Humidifiers</t>
  </si>
  <si>
    <t>Direct-Steam-Injection Humidifiers</t>
  </si>
  <si>
    <t>Jacketed, Steam Humidifiers</t>
  </si>
  <si>
    <t>Self-Contained Steam Humidifiers</t>
  </si>
  <si>
    <t>Portable Humidifiers</t>
  </si>
  <si>
    <t>Mechanical Dehumidification Units</t>
  </si>
  <si>
    <t>Outdoor, Mechanical Dehumidification Units</t>
  </si>
  <si>
    <t>Indoor, Mechanical Dehumidification Units</t>
  </si>
  <si>
    <t>Portable Dehumidifiers</t>
  </si>
  <si>
    <t>Desiccant Dehumidification Units</t>
  </si>
  <si>
    <t>Operation and Maintenance of Integrated Automation</t>
  </si>
  <si>
    <t>Operation and Maintenance of Integrated Automation Network Equipment</t>
  </si>
  <si>
    <t>Operation and Maintenance of Integrated Equipment</t>
  </si>
  <si>
    <t>Operation and Maintenance of Integrated Automation Instrumentation and Terminal Devices</t>
  </si>
  <si>
    <t>Diagnostic Systems for Integrated Automation</t>
  </si>
  <si>
    <t>Common Work Results for Integrated Automation</t>
  </si>
  <si>
    <t>Conductors and Cables for Integrated Automation</t>
  </si>
  <si>
    <t>Grounding and Bonding for Integrated Automation</t>
  </si>
  <si>
    <t>Pathways for Integrated Automation</t>
  </si>
  <si>
    <t>Hangers and Supports for Integrated Automation</t>
  </si>
  <si>
    <t>Conduits and Backboxes for Integrated Automation</t>
  </si>
  <si>
    <t>Cable Trays for Integrated Automation</t>
  </si>
  <si>
    <t>Surface Raceways for Integrated Automation</t>
  </si>
  <si>
    <t>Vibration and Seismic Controls for Integrated Automation</t>
  </si>
  <si>
    <t>Identification for Integrated Automation</t>
  </si>
  <si>
    <t>Commissioning of Integrated Automation</t>
  </si>
  <si>
    <t>Integrated Automation Network Equipment</t>
  </si>
  <si>
    <t>Integrated Automation Network Devices</t>
  </si>
  <si>
    <t>Integrated Automation Network Servers</t>
  </si>
  <si>
    <t>Integrated Automation Network Routers, Bridges, Switches, Hubs, and Modems</t>
  </si>
  <si>
    <t>Integrated Automation Network Operator Workstations</t>
  </si>
  <si>
    <t>Integrated Automation Network Gateways</t>
  </si>
  <si>
    <t>Hardwired Integration Network Gateways</t>
  </si>
  <si>
    <t>Direct-Protocol Integration Network Gateways</t>
  </si>
  <si>
    <t>Neutral-Protocol Integration Network Gateways</t>
  </si>
  <si>
    <t>Client-Server Information/Database Integration Network Gateways</t>
  </si>
  <si>
    <t>Integrated Automation Control and Monitoring Network</t>
  </si>
  <si>
    <t>Integrated Automation Control and Monitoring Network Supervisory Control</t>
  </si>
  <si>
    <t>Integrated Automation Control and Monitoring Network Integration Panels</t>
  </si>
  <si>
    <t>Integrated Automation Control and Monitoring Network Interoperability</t>
  </si>
  <si>
    <t>Integrated Automation Local Control Units</t>
  </si>
  <si>
    <t>Integrated Automation Remote Control Panels</t>
  </si>
  <si>
    <t>Integrated Automation Application-Specific Control Panels</t>
  </si>
  <si>
    <t>Integrated Automation Terminal Control Units</t>
  </si>
  <si>
    <t>Integrated Automation Field Equipment Panels</t>
  </si>
  <si>
    <t>Integrated Automation Software</t>
  </si>
  <si>
    <t>Integrated Automation Software for Network Gateways</t>
  </si>
  <si>
    <t>Integrated Automation Software for Control and Monitoring Networks</t>
  </si>
  <si>
    <t>Integrated Automation Software for Local Control Units</t>
  </si>
  <si>
    <t>Integrated Automation Instrumentation and Terminal Devices</t>
  </si>
  <si>
    <t>Integrated Automation Instrumentation and Terminal Devices for Facility Equipment</t>
  </si>
  <si>
    <t>Integrated Automation Instrumentation and Terminal Devices for Conveying Equipment</t>
  </si>
  <si>
    <t>Integrated Automation Instrumentation and Terminal Devices for Fire-Suppression Systems</t>
  </si>
  <si>
    <t>Integrated Automation Instrumentation and Terminal Devices for Plumbing</t>
  </si>
  <si>
    <t>Integrated Automation Instrumentation and Terminal Devices for HVAC</t>
  </si>
  <si>
    <t>Integrated Automation Actuators and Operators</t>
  </si>
  <si>
    <t>Integrated Automation Sensors and Transmitters</t>
  </si>
  <si>
    <t>Integrated Automation Control Valves</t>
  </si>
  <si>
    <t>Integrated Automation Control Dampers</t>
  </si>
  <si>
    <t>Integrated Automation Compressed Air Supply</t>
  </si>
  <si>
    <t>Integrated Automation Instrumentation and Terminal Devices for Electrical Systems</t>
  </si>
  <si>
    <t>Integrated Automation Power Meters</t>
  </si>
  <si>
    <t>Integrated Automation KW Transducers</t>
  </si>
  <si>
    <t>Integrated Automation Current Sensors</t>
  </si>
  <si>
    <t>Integrated Automation Battery Monitors</t>
  </si>
  <si>
    <t>Integrated Automation Lighting Relays</t>
  </si>
  <si>
    <t>Integrated Automation UPS Monitors</t>
  </si>
  <si>
    <t>Integrated Automation Instrumentation and Terminal Devices for Communications Systems</t>
  </si>
  <si>
    <t>Integrated Automation Instrumentation and Terminal Devices for Electronic Safety and Security Systems</t>
  </si>
  <si>
    <t>Integrated Automation Control of Facility Equipment</t>
  </si>
  <si>
    <t>Integrated Automation Control of Plumbing</t>
  </si>
  <si>
    <t>Integrated Automation Control of HVAC</t>
  </si>
  <si>
    <t>Integrated Automation Control of Communications Systems</t>
  </si>
  <si>
    <t>Integrated Automation Control Sequences</t>
  </si>
  <si>
    <t>Integrated Automation Control Sequences for Facility Equipment</t>
  </si>
  <si>
    <t>Integrated Automation Control Sequences for Conveying Equipment</t>
  </si>
  <si>
    <t>Integrated Automation Control Sequences for Fire-Suppression Systems</t>
  </si>
  <si>
    <t>Integrated Automation Control Sequences for Plumbing</t>
  </si>
  <si>
    <t>Integrated Automation Control Sequences for HVAC</t>
  </si>
  <si>
    <t>Integrated Automation Control Sequences for Electrical Systems</t>
  </si>
  <si>
    <t>Integrated Automation Control Sequences for Communications Systems</t>
  </si>
  <si>
    <t>Integrated Automation Control Sequences for Electronic Safety and Security Systems</t>
  </si>
  <si>
    <t>Operation and Maintenance of Electrical Systems</t>
  </si>
  <si>
    <t>Operation and Maintenance of Medium-Voltage Electrical Distribution</t>
  </si>
  <si>
    <t>Operation and Maintenance of Low-Voltage Electrical Distribution</t>
  </si>
  <si>
    <t>Maintenance Testing of Electrical Systems</t>
  </si>
  <si>
    <t>Operation and Maintenance of Facility Electrical Power Generating and Storing Equipment</t>
  </si>
  <si>
    <t>Operation and Maintenance of Electrical and Cathodic Protection Systems</t>
  </si>
  <si>
    <t>Operation and Maintenance of Lighting</t>
  </si>
  <si>
    <t>Luminaire Relamping</t>
  </si>
  <si>
    <t>Luminaire Replacement</t>
  </si>
  <si>
    <t>Common Work Results for Electrical</t>
  </si>
  <si>
    <t>Medium-Voltage Cables</t>
  </si>
  <si>
    <t>Medium-Voltage Open Conductors</t>
  </si>
  <si>
    <t>Medium-Voltage, Single- and Multi-Conductor Cables</t>
  </si>
  <si>
    <t>Low-Voltage Electrical Power Conductors and Cables</t>
  </si>
  <si>
    <t>Undercarpet Electrical Power Cables</t>
  </si>
  <si>
    <t>Manufactured Wiring Assemblies</t>
  </si>
  <si>
    <t>Control-Voltage Electrical Power Cables</t>
  </si>
  <si>
    <t>Grounding and Bonding for Electrical Systems</t>
  </si>
  <si>
    <t>Hangers and Supports for Electrical Systems</t>
  </si>
  <si>
    <t>Raceway and Boxes for Electrical Systems</t>
  </si>
  <si>
    <t>Conduit for Electrical Systems</t>
  </si>
  <si>
    <t>Boxes for Electrical Systems</t>
  </si>
  <si>
    <t>Surface raceways for Electrical Systems</t>
  </si>
  <si>
    <t>Cable Trays for Electrical Systems</t>
  </si>
  <si>
    <t>Underfloor Raceways for Electrical Systems</t>
  </si>
  <si>
    <t>Underground Ducts and Raceways for Electrical Systems</t>
  </si>
  <si>
    <t>Utility Poles for Electrical Systems</t>
  </si>
  <si>
    <t>Vibration and Seismic Controls for Electrical Systems</t>
  </si>
  <si>
    <t>Identification for Electrical Systems</t>
  </si>
  <si>
    <t>Overcurrent Protective Device Coordination Study</t>
  </si>
  <si>
    <t>Wiring Connections</t>
  </si>
  <si>
    <t>Commissioning of Electrical Systems</t>
  </si>
  <si>
    <t>Instrumentation and Control for Electrical Systems</t>
  </si>
  <si>
    <t>Electrical Power Monitoring</t>
  </si>
  <si>
    <t>Peak Load Controllers</t>
  </si>
  <si>
    <t>Electrical Controls and Relays</t>
  </si>
  <si>
    <t>Programmable Controllers</t>
  </si>
  <si>
    <t>Enclosed Contactors</t>
  </si>
  <si>
    <t>Lighting Control Devices</t>
  </si>
  <si>
    <t>Lighting Control Panelboards</t>
  </si>
  <si>
    <t>Central Dimming Controls</t>
  </si>
  <si>
    <t>Multichannel Remote-Controlled Dimmers</t>
  </si>
  <si>
    <t>Remote-Controlled Dimming Stations</t>
  </si>
  <si>
    <t>Modular Dimming Controls</t>
  </si>
  <si>
    <t>Manual Modular Dimming Controls</t>
  </si>
  <si>
    <t>Integrated Multipreset Modular Dimming Controls</t>
  </si>
  <si>
    <t>Network Lighting Controls</t>
  </si>
  <si>
    <t>Digital-Network Lighting Controls</t>
  </si>
  <si>
    <t>Addressable Fixture Lighting Control</t>
  </si>
  <si>
    <t>Theatrical Lighting Controls</t>
  </si>
  <si>
    <t>Medium-Voltage Electrical Distribution</t>
  </si>
  <si>
    <t>Substations</t>
  </si>
  <si>
    <t>Primary Unit Substations</t>
  </si>
  <si>
    <t>Secondary Unit Substations</t>
  </si>
  <si>
    <t>Medium-Voltage Transformers</t>
  </si>
  <si>
    <t>Liquid-Filled, Medium-Voltage Transformers</t>
  </si>
  <si>
    <t>Dry-Type, Medium-Voltage Transformers</t>
  </si>
  <si>
    <t>Pad-Mounted, Liquid-Filled, Medium-Voltage Transformers</t>
  </si>
  <si>
    <t>Medium-Voltage Switchgear</t>
  </si>
  <si>
    <t>Medium-Voltage Circuit Breaker Switchgear</t>
  </si>
  <si>
    <t>Medium-Voltage Fusible Interrupter Switchgear</t>
  </si>
  <si>
    <t>Medium-Voltage Vacuum Interrupter Switchgear</t>
  </si>
  <si>
    <t>Medium-Voltage  Metal-Enclosed Switchgear</t>
  </si>
  <si>
    <t>Medium-Voltage Metal-Clad Switchgear</t>
  </si>
  <si>
    <t>Medium-Voltage Compartmentalized Switchgear</t>
  </si>
  <si>
    <t>Medium-Voltage Metering</t>
  </si>
  <si>
    <t>Medium-Voltage Circuit Protection Devices</t>
  </si>
  <si>
    <t>Medium-Voltage Cutouts</t>
  </si>
  <si>
    <t>Medium-Voltage Fuses</t>
  </si>
  <si>
    <t>Medium-Voltage Lightning Arresters</t>
  </si>
  <si>
    <t>Medium-Voltage Surge Arresters</t>
  </si>
  <si>
    <t>Medium-Voltage Reclosers</t>
  </si>
  <si>
    <t>Medium-Voltage Enclosed Bus</t>
  </si>
  <si>
    <t>Medium-Voltage Enclosed Fuse Cutouts</t>
  </si>
  <si>
    <t>Medium-Voltage Enclosed Fuses</t>
  </si>
  <si>
    <t>Medium-Voltage Motor Controllers</t>
  </si>
  <si>
    <t>Low-Voltage Electrical Transmission</t>
  </si>
  <si>
    <t>Low-Voltage Electrical Service Entrance</t>
  </si>
  <si>
    <t>Low-Voltage Overhead Electrical Service Entrance</t>
  </si>
  <si>
    <t xml:space="preserve">Low-Voltage Underground Electrical Service Entrance </t>
  </si>
  <si>
    <t>Low-Voltage Transformers</t>
  </si>
  <si>
    <t>Low-Voltage Distribution Transformers</t>
  </si>
  <si>
    <t>Low-Voltage Buck-Boost Transformers</t>
  </si>
  <si>
    <t>Control and Signal Transformers</t>
  </si>
  <si>
    <t>Low-Voltage Switchgear</t>
  </si>
  <si>
    <t>Paralleling Low-Voltage Switchgear</t>
  </si>
  <si>
    <t>Switchboards and Panelboards</t>
  </si>
  <si>
    <t>Switchboards</t>
  </si>
  <si>
    <t>Panelboards</t>
  </si>
  <si>
    <t>Motor-Control Centers</t>
  </si>
  <si>
    <t>Enclosed Bus Assemblies</t>
  </si>
  <si>
    <t>Power Distribution Units</t>
  </si>
  <si>
    <t>Low-Voltage Distribution Equipment</t>
  </si>
  <si>
    <t>Electricity Metering</t>
  </si>
  <si>
    <t>Electrical Cabinets and Enclosures</t>
  </si>
  <si>
    <t>Multi-Outlet Assemblies</t>
  </si>
  <si>
    <t>Indoor Service Poles</t>
  </si>
  <si>
    <t>Door Chimes</t>
  </si>
  <si>
    <t>Low-Voltage Circuit Protective Devices</t>
  </si>
  <si>
    <t>Fuses</t>
  </si>
  <si>
    <t>Enclosed Switches and Circuit Breakers</t>
  </si>
  <si>
    <t>Enclosed Circuit Breakers</t>
  </si>
  <si>
    <t>Enclosed Switches</t>
  </si>
  <si>
    <t>Low-Voltage Controllers</t>
  </si>
  <si>
    <t>Enclosed Controllers</t>
  </si>
  <si>
    <t>Across-the-Line Motor Controllers</t>
  </si>
  <si>
    <t>Reduced-Voltage Motor Controllers</t>
  </si>
  <si>
    <t>Variable-Frequency Motor Controllers</t>
  </si>
  <si>
    <t>Controllers for Fire Pump Drivers</t>
  </si>
  <si>
    <t>Full-Service Controllers for Fire Pump Electric-Motor Drivers</t>
  </si>
  <si>
    <t>Limited-Service Controllers for Fire Pump Electric-Motor Drivers</t>
  </si>
  <si>
    <t>Controllers for Fire Pump Diesel Engine Drivers</t>
  </si>
  <si>
    <t>Facility Electrical Power Generating and Storing Equipment</t>
  </si>
  <si>
    <t>Engine Generators</t>
  </si>
  <si>
    <t>Diesel-Engine-Driven Generator Sets</t>
  </si>
  <si>
    <t>Gas-Engine-Driven Generator Sets</t>
  </si>
  <si>
    <t>Gas-Turbine Engine-Driven Generators</t>
  </si>
  <si>
    <t>Steam-Turbine Generators</t>
  </si>
  <si>
    <t>Hydro-Turbine Generators</t>
  </si>
  <si>
    <t>Wind Energy Equipment</t>
  </si>
  <si>
    <t>Frequency Changers</t>
  </si>
  <si>
    <t>Rotary Converters</t>
  </si>
  <si>
    <t>Rotary Uninterruptible Power Units</t>
  </si>
  <si>
    <t>Batteries</t>
  </si>
  <si>
    <t>Battery Racks</t>
  </si>
  <si>
    <t>Battery Units</t>
  </si>
  <si>
    <t>Central Battery Equipment</t>
  </si>
  <si>
    <t>Static Power Converters</t>
  </si>
  <si>
    <t>Battery Chargers</t>
  </si>
  <si>
    <t>Battery Monitoring</t>
  </si>
  <si>
    <t>Static Uninterruptible Power Supply</t>
  </si>
  <si>
    <t>Power Filters and Conditioners</t>
  </si>
  <si>
    <t>Capacitors</t>
  </si>
  <si>
    <t>Chokes and Inductors</t>
  </si>
  <si>
    <t>Electromagnetic-Interference Filters</t>
  </si>
  <si>
    <t>Harmonic Filters</t>
  </si>
  <si>
    <t>Power Factor Correction Equipment</t>
  </si>
  <si>
    <t>Slip Controllers</t>
  </si>
  <si>
    <t>Static-Frequency Converters</t>
  </si>
  <si>
    <t>Radio-Frequency-Interference Filters</t>
  </si>
  <si>
    <t>Voltage Regulators</t>
  </si>
  <si>
    <t>Manual Transfer Switches</t>
  </si>
  <si>
    <t>Automatic Transfer Switches</t>
  </si>
  <si>
    <t xml:space="preserve">Electrical and Cathodic Protection </t>
  </si>
  <si>
    <t>Facility Lightning Protection</t>
  </si>
  <si>
    <t>Lightning Protection for Structures</t>
  </si>
  <si>
    <t>Lightning Protection for Buildings</t>
  </si>
  <si>
    <t>Lightning Prevention and Dissipation</t>
  </si>
  <si>
    <t>Early Streamer Emission Lightning Protection</t>
  </si>
  <si>
    <t>Lightning Protection Surge Arresters and Suppressors</t>
  </si>
  <si>
    <t>Passive Cathodic Protection for Underground and Submerged Piping</t>
  </si>
  <si>
    <t>Passive Cathodic Protection for Underground Storage Tank</t>
  </si>
  <si>
    <t>Surge Protective Devices</t>
  </si>
  <si>
    <t>Transient-Voltage Suppression for Low-Voltage Electrical Power Circuits</t>
  </si>
  <si>
    <t>Interior Lighting</t>
  </si>
  <si>
    <t>Interior Lighting Fixtures, Lamps, And Ballasts</t>
  </si>
  <si>
    <t>Emergency Lighting</t>
  </si>
  <si>
    <t>Exit Signs</t>
  </si>
  <si>
    <t>Classified Location Lighting</t>
  </si>
  <si>
    <t>Special Purpose Lighting</t>
  </si>
  <si>
    <t>Outline Lighting</t>
  </si>
  <si>
    <t>Underwater Lighting</t>
  </si>
  <si>
    <t>Hazard Warning Lighting</t>
  </si>
  <si>
    <t>Obstruction Lighting</t>
  </si>
  <si>
    <t>Helipad Lighting</t>
  </si>
  <si>
    <t>Security Lighting</t>
  </si>
  <si>
    <t>Display Lighting</t>
  </si>
  <si>
    <t>Theatrical Lighting</t>
  </si>
  <si>
    <t>Detention Lighting</t>
  </si>
  <si>
    <t>Healthcare Lighting</t>
  </si>
  <si>
    <t>Broadcast Lighting</t>
  </si>
  <si>
    <t>Exterior Lighting</t>
  </si>
  <si>
    <t>Lighting Poles and Standards</t>
  </si>
  <si>
    <t>Parking Lighting</t>
  </si>
  <si>
    <t>Walkway Lighting</t>
  </si>
  <si>
    <t>Exterior Athletic Lighting</t>
  </si>
  <si>
    <t>Operation and Maintenance of Communications Systems</t>
  </si>
  <si>
    <t>Operation and Maintenance of Structured Cabling and Enclosures</t>
  </si>
  <si>
    <t>Operation and Maintenance of Data Communications</t>
  </si>
  <si>
    <t>Operation and Maintenance of Voice Communications</t>
  </si>
  <si>
    <t>Operation and Maintenance of Audio-Video Communications</t>
  </si>
  <si>
    <t>Operation and Maintenance of Distributed Communications and Monitoring</t>
  </si>
  <si>
    <t>Common Work Results for Communications</t>
  </si>
  <si>
    <t>Communications Services</t>
  </si>
  <si>
    <t>Dialtone Services</t>
  </si>
  <si>
    <t>T1 Services</t>
  </si>
  <si>
    <t>DSL Services</t>
  </si>
  <si>
    <t>Cable Services</t>
  </si>
  <si>
    <t>Satellite Services</t>
  </si>
  <si>
    <t>Grounding and Bonding for Communications Systems</t>
  </si>
  <si>
    <t>Pathways for Communications Systems</t>
  </si>
  <si>
    <t>Hangers and Supports for Communications Systems</t>
  </si>
  <si>
    <t>Conduits and Backboxes for Communications Systems</t>
  </si>
  <si>
    <t>Cable Trays for Communications Systems</t>
  </si>
  <si>
    <t>Surface Raceways for Communications Systems</t>
  </si>
  <si>
    <t>Underground Ducts and Raceways for Communications Systems</t>
  </si>
  <si>
    <t>Utility Poles for Communications Systems</t>
  </si>
  <si>
    <t>Vibration and Seismic Controls for Communications Systems</t>
  </si>
  <si>
    <t>Identification for Communications Systems</t>
  </si>
  <si>
    <t>Commissioning of Communications</t>
  </si>
  <si>
    <t>Structured Cabling</t>
  </si>
  <si>
    <t>Communications Equipment Room Fittings</t>
  </si>
  <si>
    <t>Communications Entrance Protection</t>
  </si>
  <si>
    <t>Communications Cabinets, Racks, Frames and Enclosures</t>
  </si>
  <si>
    <t>Communications Termination Blocks and Patch Panels</t>
  </si>
  <si>
    <t>Communications Cable Management and Ladder Rack</t>
  </si>
  <si>
    <t>Communications Rack Mounted Power Protection and Power Strips</t>
  </si>
  <si>
    <t>Communications Backbone Cabling</t>
  </si>
  <si>
    <t>Communications Copper Backbone Cabling</t>
  </si>
  <si>
    <t>Communications Copper Cable Splicing and Terminations</t>
  </si>
  <si>
    <t>Communications Optical Fiber Backbone Cabling</t>
  </si>
  <si>
    <t>Communications Optical Fiber Splicing and Terminations</t>
  </si>
  <si>
    <t>Communications Coaxial Backbone Cabling</t>
  </si>
  <si>
    <t>Communications Coaxial Splicing and Terminations</t>
  </si>
  <si>
    <t>Communications Services Cabling</t>
  </si>
  <si>
    <t>Dialtone Services Cabling</t>
  </si>
  <si>
    <t>T1 Services Cabling</t>
  </si>
  <si>
    <t>DSL Services Cabling</t>
  </si>
  <si>
    <t>Cable Services Cabling</t>
  </si>
  <si>
    <t>Satellite Services Cabling</t>
  </si>
  <si>
    <t>Communications Horizontal Cabling</t>
  </si>
  <si>
    <t>Communications Copper Horizontal Cabling</t>
  </si>
  <si>
    <t>Voice Communications Horizontal Cabling</t>
  </si>
  <si>
    <t>Data Communications Horizontal Cabling</t>
  </si>
  <si>
    <t>Audio-Video Communications Horizontal Cabling</t>
  </si>
  <si>
    <t>Communications Optical Fiber Horizontal Cabling</t>
  </si>
  <si>
    <t>Communications Coaxial Horizontal Cabling</t>
  </si>
  <si>
    <t>Patient Monitoring and Telemetry Communications Horizontal Cabling</t>
  </si>
  <si>
    <t>Nurse Call and Intercom Communications Horizontal Cabling</t>
  </si>
  <si>
    <t>Communications Faceplates and Connectors</t>
  </si>
  <si>
    <t>Paging Communications Horizontal Cabling</t>
  </si>
  <si>
    <t>Intermediate Frequency/Radio Frequency Communications Horizontal Cabling</t>
  </si>
  <si>
    <t>Antennas Communications Horizontal Cabling</t>
  </si>
  <si>
    <t>Communications Connecting Cords, Devices and Adapters</t>
  </si>
  <si>
    <t>Communications Custom Cable Assemblies</t>
  </si>
  <si>
    <t>Communications Media Converters, Adapters, and Transceivers</t>
  </si>
  <si>
    <t>Communications Patch Cords, Station Cords, and Cross Connect Wire</t>
  </si>
  <si>
    <t>Data Communications Firewalls</t>
  </si>
  <si>
    <t>Data Communications Routers, CSU/DSU, Multiplexers, Codec’s, and Modems</t>
  </si>
  <si>
    <t>Data Communications Network Management</t>
  </si>
  <si>
    <t>Data Communications Switches and Hubs</t>
  </si>
  <si>
    <t>Data Communications Wireless Access Points</t>
  </si>
  <si>
    <t>Data Communications Mainframes</t>
  </si>
  <si>
    <t>Data Communications Storage and Backup</t>
  </si>
  <si>
    <t>Data Communications Servers</t>
  </si>
  <si>
    <t>Data Communications Desktops</t>
  </si>
  <si>
    <t>Data Communications Laptops</t>
  </si>
  <si>
    <t>Data Communications Handhelds</t>
  </si>
  <si>
    <t>Scanners</t>
  </si>
  <si>
    <t>External Drives</t>
  </si>
  <si>
    <t>Audio-Video Devices</t>
  </si>
  <si>
    <t>Virtual Reality Equipment</t>
  </si>
  <si>
    <t>Disaster Recovery Equipment</t>
  </si>
  <si>
    <t>Virus Protection Software</t>
  </si>
  <si>
    <t>Application Suites</t>
  </si>
  <si>
    <t>Email Software</t>
  </si>
  <si>
    <t>Graphics/Multimedia Software</t>
  </si>
  <si>
    <t>Customer Relationship Management Software</t>
  </si>
  <si>
    <t>Operating System Software</t>
  </si>
  <si>
    <t>Database Software</t>
  </si>
  <si>
    <t>Virtual Private Network Software</t>
  </si>
  <si>
    <t>Internet Conferencing Software</t>
  </si>
  <si>
    <t>Data Communications Programming and Integration Services</t>
  </si>
  <si>
    <t>Web Development</t>
  </si>
  <si>
    <t>Database Development</t>
  </si>
  <si>
    <t>Application Development</t>
  </si>
  <si>
    <t>Network Integration Requirements</t>
  </si>
  <si>
    <t>Data Communications Integration Requirements</t>
  </si>
  <si>
    <t>PBX/ Key Systems</t>
  </si>
  <si>
    <t>Internet Protocol Voice Switches</t>
  </si>
  <si>
    <t>Telephone Sets</t>
  </si>
  <si>
    <t>Wireless Transceivers</t>
  </si>
  <si>
    <t>Elevator Telephones</t>
  </si>
  <si>
    <t>Ring-Down Emergency Telephones</t>
  </si>
  <si>
    <t>Facsimiles and Modems</t>
  </si>
  <si>
    <t>TTY Equipment</t>
  </si>
  <si>
    <t>Radio Communications Equipment</t>
  </si>
  <si>
    <t>Voice Mail and Auto Attendant</t>
  </si>
  <si>
    <t>Interactive Voice Response</t>
  </si>
  <si>
    <t>Facsimile Servers</t>
  </si>
  <si>
    <t>Toll Fraud Equipment and Software</t>
  </si>
  <si>
    <t>Telemanagement Software</t>
  </si>
  <si>
    <t>Digital Voice Announcers</t>
  </si>
  <si>
    <t>Automatic Call Distributors</t>
  </si>
  <si>
    <t>Call Status and Management Displays</t>
  </si>
  <si>
    <t>Dedicated 911 Systems</t>
  </si>
  <si>
    <t>Audio-Video Communications</t>
  </si>
  <si>
    <t>Architecturally Integrated Audio-Video Equipment</t>
  </si>
  <si>
    <t>Integrated Audio-Video Systems and Equipment</t>
  </si>
  <si>
    <t>Integrated Audio-Video Systems and Equipment for Restaurants and Bars</t>
  </si>
  <si>
    <t>Integrated Audio-Video Systems and Equipment for Conference Rooms</t>
  </si>
  <si>
    <t>Integrated Audio-Video Systems and Equipment for Board Rooms</t>
  </si>
  <si>
    <t>Integrated Audio-Video Systems and Equipment for Classrooms</t>
  </si>
  <si>
    <t>Integrated Audio-Video Systems and Equipment for Religious Facilities</t>
  </si>
  <si>
    <t>Integrated Audio-Video Systems and Equipment for Theaters</t>
  </si>
  <si>
    <t>Integrated Audio-Video Systems and Equipment for Auditoriums</t>
  </si>
  <si>
    <t>Integrated Audio-Video Systems and Equipment for Stadiums and Arenas</t>
  </si>
  <si>
    <t>Portable Audio-Video Equipment</t>
  </si>
  <si>
    <t>Audio-Video Accessories</t>
  </si>
  <si>
    <t>Master Antenna Television Systems</t>
  </si>
  <si>
    <t>Audio-Video Conferencing</t>
  </si>
  <si>
    <t>Point of Sale Systems</t>
  </si>
  <si>
    <t>Transportation Information Display Systems</t>
  </si>
  <si>
    <t>Public Information Systems</t>
  </si>
  <si>
    <t>Distributed Communications and Monitoring Systems</t>
  </si>
  <si>
    <t>Distributed Audio-Video Communications Systems</t>
  </si>
  <si>
    <t>Paging Systems</t>
  </si>
  <si>
    <t>Overhead Paging Systems</t>
  </si>
  <si>
    <t>Public Address Systems</t>
  </si>
  <si>
    <t>Sound Masking Systems</t>
  </si>
  <si>
    <t>Intercommunications and Program Systems</t>
  </si>
  <si>
    <t>Commercial Intercommunications and Program Systems</t>
  </si>
  <si>
    <t>Residential Intercommunications and Program Systems</t>
  </si>
  <si>
    <t>Educational Intercommunications and Program Systems</t>
  </si>
  <si>
    <t>Detention Intercommunications and Program Systems</t>
  </si>
  <si>
    <t>Healthcare Intercommunications and Program Systems</t>
  </si>
  <si>
    <t>Assistive Listening Systems</t>
  </si>
  <si>
    <t>Healthcare Communications and Monitoring Systems</t>
  </si>
  <si>
    <t>Patient Monitoring and Telemetry Systems</t>
  </si>
  <si>
    <t>Telemedicine Systems</t>
  </si>
  <si>
    <t>Healthcare Imaging Systems</t>
  </si>
  <si>
    <t>Nurse Call/Code Blue Systems</t>
  </si>
  <si>
    <t>Clock Systems</t>
  </si>
  <si>
    <t>Wireless Clock Systems</t>
  </si>
  <si>
    <t>Infrared and Radio Frequency Tracking Systems</t>
  </si>
  <si>
    <t>Internal Cellular, Paging, and Antenna Systems</t>
  </si>
  <si>
    <t>Operation and Maintenance of Electronic Safety and Security</t>
  </si>
  <si>
    <t>Operation and Maintenance of Electronic Access Control and Intrusion Detection</t>
  </si>
  <si>
    <t>Maintenance and Administration of Electronic Access Control and Intrusion Detection</t>
  </si>
  <si>
    <t>Revisions and Upgrades of Electronic Access Control and Intrusion Detection</t>
  </si>
  <si>
    <t>Operation and Maintenance of Electronic Surveillance</t>
  </si>
  <si>
    <t>Operation and Maintenance of Electronic Detection and Alarm</t>
  </si>
  <si>
    <t>Maintenance and Administration of Electronic Detection and Alarm</t>
  </si>
  <si>
    <t>Revisions and Upgrades of Electronic Detection and Alarm</t>
  </si>
  <si>
    <t>Operation and Maintenance of Electronic Monitoring and Control</t>
  </si>
  <si>
    <t>Maintenance and Administration of Electronic Monitoring and Control</t>
  </si>
  <si>
    <t>Revisions and Upgrades of Electronic Monitoring and Control</t>
  </si>
  <si>
    <t>Common Work Results for Electronic Safety and Security</t>
  </si>
  <si>
    <t>Conductors and Cables for Electronic Safety and Security</t>
  </si>
  <si>
    <t>CCTV Communications Conductors and Cables</t>
  </si>
  <si>
    <t>Access Control Communications Conductors and Cables</t>
  </si>
  <si>
    <t>Intrusion Detection Communications Conductors and Cables</t>
  </si>
  <si>
    <t>Fire Alarm Communications Conductors and Cables</t>
  </si>
  <si>
    <t>Grounding and Bonding for Electronic Safety and Security</t>
  </si>
  <si>
    <t>Pathways for Electronic Safety and Security</t>
  </si>
  <si>
    <t>Hangers and Supports for Electronic Safety and Security</t>
  </si>
  <si>
    <t>Conduits and Backboxes for Electronic Safety and Security</t>
  </si>
  <si>
    <t>Cable Trays for Electronic Safety and Security</t>
  </si>
  <si>
    <t>Surface Raceways for Electronic Safety and Security</t>
  </si>
  <si>
    <t>Vibration and Seismic Controls for Electronic Safety and Security</t>
  </si>
  <si>
    <t>Identification for Electronic Safety and Security</t>
  </si>
  <si>
    <t>Commissioning of Electronic Safety and Security</t>
  </si>
  <si>
    <t>Electronic Access Control and Intrusion Detection</t>
  </si>
  <si>
    <t>Access Control Global Applications</t>
  </si>
  <si>
    <t>Access Control Systems and Database Management</t>
  </si>
  <si>
    <t>Access Control Systems Infrastructure</t>
  </si>
  <si>
    <t>Access Control Remote Devices</t>
  </si>
  <si>
    <t>Access Control Interfaces</t>
  </si>
  <si>
    <t>Access Control Interfaces to Access Control Hardware</t>
  </si>
  <si>
    <t>Access Control Interfaces to Intrusion Detection</t>
  </si>
  <si>
    <t>Access Control Interfaces to Video Surveillance</t>
  </si>
  <si>
    <t>Access Control Interfaces to Fire Alarm</t>
  </si>
  <si>
    <t>Access Control Identification Management Systems</t>
  </si>
  <si>
    <t>Security Access Detection</t>
  </si>
  <si>
    <t>Security Access Metal Detectors</t>
  </si>
  <si>
    <t>Security Access X-Ray Equipment</t>
  </si>
  <si>
    <t>Security Access Explosive Detection Equipment</t>
  </si>
  <si>
    <t>Security Access Sniffing Equipment</t>
  </si>
  <si>
    <t>Access Control Vehicle Identification System</t>
  </si>
  <si>
    <t>Intrusion Detection Control, GUI, and Logic Systems</t>
  </si>
  <si>
    <t>Intrusion Detection Systems Infrastructure</t>
  </si>
  <si>
    <t>Intrusion Detection Remote Devices and Sensors</t>
  </si>
  <si>
    <t>Intrusion Detection Interfaces</t>
  </si>
  <si>
    <t>Intrusion Detection Interfaces to Remote Monitoring</t>
  </si>
  <si>
    <t>Intrusion Detection Interfaces to Access Control Hardware</t>
  </si>
  <si>
    <t>Intrusion Detection Interfaces to Access Control System</t>
  </si>
  <si>
    <t>Intrusion Detection Interfaces to Video Surveillance</t>
  </si>
  <si>
    <t>Intrusion Detection Interfaces to Fire Alarm</t>
  </si>
  <si>
    <t>Perimeter Security Systems</t>
  </si>
  <si>
    <t>Video Surveillance Control and Management Systems</t>
  </si>
  <si>
    <t>Video Surveillance Monitoring and Supervisory Interfaces</t>
  </si>
  <si>
    <t>Digital Video Recorders and Analog Recording Devices</t>
  </si>
  <si>
    <t>Video Surveillance Systems Infrastructure</t>
  </si>
  <si>
    <t>Video Surveillance Remote Positioning Equipment</t>
  </si>
  <si>
    <t>Video Surveillance Remote Devices and Sensors</t>
  </si>
  <si>
    <t>Electronic Personal Protection Systems</t>
  </si>
  <si>
    <t>Electronic Personal Safety Detection Systems</t>
  </si>
  <si>
    <t>Electronic Personal Safety Alarm Annunciation and Control Systems</t>
  </si>
  <si>
    <t>Electronic Personal Safety Interfaces to Remote Monitoring</t>
  </si>
  <si>
    <t>Electronic Personal Safety Emergency Aid Devices</t>
  </si>
  <si>
    <t>Electronic Detection and Alarm</t>
  </si>
  <si>
    <t>Digital, Addressable Fire-Alarm Systems</t>
  </si>
  <si>
    <t>Zoned (DC Loop) Fire-Alarm Systems</t>
  </si>
  <si>
    <t>Fire Detection and Alarm Control, GUI, and Logic Systems</t>
  </si>
  <si>
    <t>Fire Detection and Alarm Annunciation Panels and Fire Stations</t>
  </si>
  <si>
    <t>Fire Detection and Alarm Interfaces</t>
  </si>
  <si>
    <t>Fire Detection and Alarm Interfaces to Remote Monitoring</t>
  </si>
  <si>
    <t>Fire Detection and Alarm Interfaces to Access Control Hardware</t>
  </si>
  <si>
    <t>Fire Detection and Alarm Interfaces to Access Control System</t>
  </si>
  <si>
    <t>Fire Detection and Alarm Interfaces to Intrusion Detection</t>
  </si>
  <si>
    <t>Fire Detection and Alarm Interfaces to Video Surveillance</t>
  </si>
  <si>
    <t>Fire Detection and Alarm Interfaces to Elevator Control</t>
  </si>
  <si>
    <t>Fire Detection Sensors</t>
  </si>
  <si>
    <t>Smoke Detection Sensors</t>
  </si>
  <si>
    <t>Carbon-Monoxide Detection Sensors</t>
  </si>
  <si>
    <t>Fire Alarm Initiating Devices</t>
  </si>
  <si>
    <t>Fire Alarm Pull Stations</t>
  </si>
  <si>
    <t>Fire Alarm Level Detectors Switches</t>
  </si>
  <si>
    <t>Fire Alarm Flow Switches</t>
  </si>
  <si>
    <t>Fire Alarm Pressure Sensors</t>
  </si>
  <si>
    <t>Fire Alarm Integrated Audio Visual Evacuation Systems</t>
  </si>
  <si>
    <t>Fire Alarm Horns and Strobes</t>
  </si>
  <si>
    <t>Radiation Detection and Alarm Control, GUI, and Logic Systems</t>
  </si>
  <si>
    <t>Radiation Detection and Alarm Integrated Audio Evacuation Systems</t>
  </si>
  <si>
    <t>Radiation Detection Sensors</t>
  </si>
  <si>
    <t>Radiation Dosimeters</t>
  </si>
  <si>
    <t>Gas Detection and Alarm</t>
  </si>
  <si>
    <t>Gas Detection and Alarm Control, GUI, and Logic Systems</t>
  </si>
  <si>
    <t>Gas Detection and Alarm Integrated Audio Evacuation Systems</t>
  </si>
  <si>
    <t>Gas Detection Sensors</t>
  </si>
  <si>
    <t>Fuel-Oil Detection and Alarm Control, GUI, and Logic Systems</t>
  </si>
  <si>
    <t>Fuel-Oil Detection and Alarm Integrated Audio Evacuation Systems</t>
  </si>
  <si>
    <t>Fuel-Oil Detection Sensors</t>
  </si>
  <si>
    <t>Refrigerant Detection and Alarm</t>
  </si>
  <si>
    <t>Refrigerant Detection and Alarm Control, GUI, and Logic Systems</t>
  </si>
  <si>
    <t>Refrigerant Detection and Alarm Integrated Audio Evacuation Systems</t>
  </si>
  <si>
    <t>Refrigerant Detection Sensors</t>
  </si>
  <si>
    <t>Water Detection and Alarm</t>
  </si>
  <si>
    <t>Water Detection and Alarm Control, GUI, and Logic Systems</t>
  </si>
  <si>
    <t>Water Detection Sensors</t>
  </si>
  <si>
    <t>Mass Notification Systems</t>
  </si>
  <si>
    <t>Electronic Detention Monitoring and Control Systems</t>
  </si>
  <si>
    <t>Hard-Wired Detention Monitoring and Control Systems</t>
  </si>
  <si>
    <t>Relay-Logic Detention Monitoring and Control Systems</t>
  </si>
  <si>
    <t>PLC Electronic Detention Monitoring and Control Systems</t>
  </si>
  <si>
    <t>Computer-Based Detention Monitoring and Control Systems</t>
  </si>
  <si>
    <t>Discreet-Logic Detention Monitoring and Control Systems</t>
  </si>
  <si>
    <t>Discreet-Distributed Intelligence Detention Monitoring and Control Systems</t>
  </si>
  <si>
    <t>Earthwork</t>
  </si>
  <si>
    <t>Maintenance of Earthwork</t>
  </si>
  <si>
    <t>Maintenance of Clearing</t>
  </si>
  <si>
    <t>Maintenance of Earth Moving</t>
  </si>
  <si>
    <t>Maintenance of Shoring and Underpinning</t>
  </si>
  <si>
    <t>Maintenance of Excavation Support and Protection</t>
  </si>
  <si>
    <t>Maintenance of Special Foundations and Load Bearing Elements</t>
  </si>
  <si>
    <t>Maintenance of Driven Piles</t>
  </si>
  <si>
    <t>Driven Pile Repairs</t>
  </si>
  <si>
    <t>Maintenance of Bored and Augered Piles</t>
  </si>
  <si>
    <t>Bored and Augered Pile Repairs</t>
  </si>
  <si>
    <t>Maintenance of Tunneling and Mining</t>
  </si>
  <si>
    <t>Tunnel Leak Repairs</t>
  </si>
  <si>
    <t>Common Work Results for Earthwork</t>
  </si>
  <si>
    <t>Soils for Earthwork</t>
  </si>
  <si>
    <t>Aggregates for Earthwork</t>
  </si>
  <si>
    <t>Geosynthetics for Earthwork</t>
  </si>
  <si>
    <t>Geotextiles for Earthwork</t>
  </si>
  <si>
    <t>Geomembranes for Earthwork</t>
  </si>
  <si>
    <t>Geogrids for Earthwork</t>
  </si>
  <si>
    <t>Cement and Concrete for Earthwork</t>
  </si>
  <si>
    <t>Commissioning of Earthwork</t>
  </si>
  <si>
    <t>Pile Load Testing</t>
  </si>
  <si>
    <t>Dynamic Pile Load Testing</t>
  </si>
  <si>
    <t>Static Pile Load Testing</t>
  </si>
  <si>
    <t>Geotechnical Instrumentation and Monitoring of Earthwork</t>
  </si>
  <si>
    <t>Geotechnical Instrumentation and Monitoring</t>
  </si>
  <si>
    <t>Groundwater Monitoring During Construction</t>
  </si>
  <si>
    <t>Foundation Performance Instrumentation</t>
  </si>
  <si>
    <t>Bored and Augered Pile Load Tests</t>
  </si>
  <si>
    <t>Selective Clearing</t>
  </si>
  <si>
    <t>Selective Tree and Shrub Removal and Trimming</t>
  </si>
  <si>
    <t>Selective Tree and Shrub Removal</t>
  </si>
  <si>
    <t>Selective Tree and Shrub Trimming</t>
  </si>
  <si>
    <t>Soil Stripping and Stockpiling</t>
  </si>
  <si>
    <t>Soil Stripping</t>
  </si>
  <si>
    <t>Soil Stockpiling</t>
  </si>
  <si>
    <t>Topsoil Stripping and Stockpiling</t>
  </si>
  <si>
    <t>Sod Stripping and Stockpiling</t>
  </si>
  <si>
    <t>Sod Stripping</t>
  </si>
  <si>
    <t>Sod Stockpiling</t>
  </si>
  <si>
    <t>Earth Moving</t>
  </si>
  <si>
    <t>Radon Venting</t>
  </si>
  <si>
    <t>Methane Venting</t>
  </si>
  <si>
    <t>Rough Grading</t>
  </si>
  <si>
    <t>Fine Grading</t>
  </si>
  <si>
    <t>Roadway Subgrade Reshaping</t>
  </si>
  <si>
    <t>Finish Grading</t>
  </si>
  <si>
    <t>Spreading and Grading Topsoil</t>
  </si>
  <si>
    <t>Subgrade Preparation</t>
  </si>
  <si>
    <t>Excavation</t>
  </si>
  <si>
    <t>Trenching</t>
  </si>
  <si>
    <t>Structural Excavation for Minor Structures</t>
  </si>
  <si>
    <t>Rock Removal</t>
  </si>
  <si>
    <t>Dewatering</t>
  </si>
  <si>
    <t>Fill</t>
  </si>
  <si>
    <t>Backfill</t>
  </si>
  <si>
    <t>Compaction</t>
  </si>
  <si>
    <t>Flowable Fill</t>
  </si>
  <si>
    <t>Geofoam</t>
  </si>
  <si>
    <t>Trenching and Backfilling</t>
  </si>
  <si>
    <t>Roadway Embankments</t>
  </si>
  <si>
    <t>Railway Embankments</t>
  </si>
  <si>
    <t>Stabilization Measures for Erosion and Sedimentation Control</t>
  </si>
  <si>
    <t>Hydraulically-Applied Erosion Control</t>
  </si>
  <si>
    <t>Rolled Erosion Control Mats and Blankets</t>
  </si>
  <si>
    <t>Structural Measures for Erosion and Sedimentation Control</t>
  </si>
  <si>
    <t>Rock Barriers</t>
  </si>
  <si>
    <t>Retention Measures for Erosion and Sedimentation Controls</t>
  </si>
  <si>
    <t>Rock Basins</t>
  </si>
  <si>
    <t>Earthwork Methods</t>
  </si>
  <si>
    <t>Rodent Control</t>
  </si>
  <si>
    <t>Rodent Control Bait Systems</t>
  </si>
  <si>
    <t>Rodent Control Traps</t>
  </si>
  <si>
    <t>Rodent Control Electronic Systems</t>
  </si>
  <si>
    <t>Rodent Control Repellants</t>
  </si>
  <si>
    <t>Termite Control</t>
  </si>
  <si>
    <t>Chemical Termite Control</t>
  </si>
  <si>
    <t>Termite Control Bait Systems</t>
  </si>
  <si>
    <t>Termite Control Barriers</t>
  </si>
  <si>
    <t>Vegetation Control</t>
  </si>
  <si>
    <t>Chemical Vegetation Control</t>
  </si>
  <si>
    <t>Soil Mixing Stabilization</t>
  </si>
  <si>
    <t>Asphalt Soil Stabilization</t>
  </si>
  <si>
    <t>Cement Soil Stabilization</t>
  </si>
  <si>
    <t>Lime Soil Stabilization</t>
  </si>
  <si>
    <t>Fly-Ash Soil Stabilization</t>
  </si>
  <si>
    <t>Lime-Fly-Ash Soil Stabilization</t>
  </si>
  <si>
    <t>Chemical Treatment Soil Stabilization</t>
  </si>
  <si>
    <t>Polymer Emulsion Soil Stabilization</t>
  </si>
  <si>
    <t>Water Injection Soil Stabilization</t>
  </si>
  <si>
    <t>Geosynthetic Soil Stabilization and Layer Separation</t>
  </si>
  <si>
    <t>Geogrid Soil Stabilization</t>
  </si>
  <si>
    <t>Geotextile Soil Stabilization</t>
  </si>
  <si>
    <t>Geogrid Layer Separation</t>
  </si>
  <si>
    <t>Geotextile Layer Separation</t>
  </si>
  <si>
    <t>Pressure Grouting Soil Stabilization</t>
  </si>
  <si>
    <t>Cementitious Pressure Grouting Soil Stabilization</t>
  </si>
  <si>
    <t>Chemical Pressure Grouting Soil Stabilization</t>
  </si>
  <si>
    <t>Shotcrete Soil Slope Stabilization</t>
  </si>
  <si>
    <t>Soil Nailing</t>
  </si>
  <si>
    <t>Driven Soil Nailing</t>
  </si>
  <si>
    <t>Grouted Soil Nailing</t>
  </si>
  <si>
    <t>Corrosion-Protected Soil Nailing</t>
  </si>
  <si>
    <t>Jet-Grouted Soil Nailing</t>
  </si>
  <si>
    <t>Launched Soil Nailing</t>
  </si>
  <si>
    <t>Rock Bolting and Grouting</t>
  </si>
  <si>
    <t>Rock Slope Netting</t>
  </si>
  <si>
    <t>Rock Slope Wire Mesh</t>
  </si>
  <si>
    <t>Shotcrete Rock Slope Stabilization</t>
  </si>
  <si>
    <t>Vegetated Rock Slope Stabilization</t>
  </si>
  <si>
    <t>Geosynthetic Soil Reinforcement</t>
  </si>
  <si>
    <t>Geogrid Soil Reinforcement</t>
  </si>
  <si>
    <t>Geotextile Soil Reinforcement</t>
  </si>
  <si>
    <t>Fiber Soil Reinforcement</t>
  </si>
  <si>
    <t>Geosynthetic Fiber Soil Reinforcement</t>
  </si>
  <si>
    <t>Geosynthetic Slope Protection</t>
  </si>
  <si>
    <t>Geogrid Slope Protection</t>
  </si>
  <si>
    <t>Geotextile Slope Protection</t>
  </si>
  <si>
    <t>Slope Protection with Mulch Control Netting</t>
  </si>
  <si>
    <t>Slope Protection with Slope Paving</t>
  </si>
  <si>
    <t>Cast-In-Place Concrete Slope Paving</t>
  </si>
  <si>
    <t>Precast Concrete Slope Paving</t>
  </si>
  <si>
    <t>Concrete Unit Masonry Slope Paving</t>
  </si>
  <si>
    <t>Containment Barriers</t>
  </si>
  <si>
    <t>Clay Containment Barriers</t>
  </si>
  <si>
    <t>Geomembrane Containment Barriers</t>
  </si>
  <si>
    <t>Bentonite Slurry Trench</t>
  </si>
  <si>
    <t>Gabion Boxes</t>
  </si>
  <si>
    <t>Gabion Mattresses</t>
  </si>
  <si>
    <t>Vegetated Gabion Mattresses</t>
  </si>
  <si>
    <t>Machined Riprap</t>
  </si>
  <si>
    <t>Non-Machined Riprap</t>
  </si>
  <si>
    <t>Rubble-Stone Riprap</t>
  </si>
  <si>
    <t>Concrete Unit Masonry Riprap</t>
  </si>
  <si>
    <t>Sacked Sand-Cement Riprap</t>
  </si>
  <si>
    <t>Shoring and Underpinning</t>
  </si>
  <si>
    <t>Shoring</t>
  </si>
  <si>
    <t>Timber Shoring</t>
  </si>
  <si>
    <t>Sheet Piling</t>
  </si>
  <si>
    <t>Steel Sheet Piling</t>
  </si>
  <si>
    <t>Plastic Sheet Piling</t>
  </si>
  <si>
    <t>Metal Hydraulic Shoring</t>
  </si>
  <si>
    <t>Aluminum Hydraulic Shoring</t>
  </si>
  <si>
    <t>Pneumatic Shoring</t>
  </si>
  <si>
    <t>Trench Shielding</t>
  </si>
  <si>
    <t>Concrete Raising</t>
  </si>
  <si>
    <t>Pressure Grouting</t>
  </si>
  <si>
    <t>Concrete Pressure Grouting</t>
  </si>
  <si>
    <t>Polyurethane Pressure Grouting</t>
  </si>
  <si>
    <t>Compaction Grouting</t>
  </si>
  <si>
    <t>Mechanical Jacking</t>
  </si>
  <si>
    <t>Vibroflotation and Densification</t>
  </si>
  <si>
    <t>Vibroflotation</t>
  </si>
  <si>
    <t>Densification</t>
  </si>
  <si>
    <t>Needle Beams</t>
  </si>
  <si>
    <t>Cantilever Needle Beams</t>
  </si>
  <si>
    <t>Underpinning Piers</t>
  </si>
  <si>
    <t>Bracket Piers</t>
  </si>
  <si>
    <t>Jacked Piers</t>
  </si>
  <si>
    <t>Micropile Underpinning</t>
  </si>
  <si>
    <t>Excavation Support and Protection</t>
  </si>
  <si>
    <t>Excavation Soil Anchors</t>
  </si>
  <si>
    <t>Excavation Rock Anchors</t>
  </si>
  <si>
    <t>Sheet Piling Cofferdams</t>
  </si>
  <si>
    <t>Timber Cofferdams</t>
  </si>
  <si>
    <t>Precast Concrete Cofferdams</t>
  </si>
  <si>
    <t>Timber Cribwork</t>
  </si>
  <si>
    <t>Bentonite Slurry Walls</t>
  </si>
  <si>
    <t>Soil-Bentonite Slurry Walls</t>
  </si>
  <si>
    <t>Cement-Bentonite Slurry Walls</t>
  </si>
  <si>
    <t>Slag-Cement-Bentonite Slurry Walls</t>
  </si>
  <si>
    <t>Soil-Cement-Bentonite Slurry Walls</t>
  </si>
  <si>
    <t>Pozzolan-Bentonite Slurry Walls</t>
  </si>
  <si>
    <t>Organically-Modified Bentonite Slurry Walls</t>
  </si>
  <si>
    <t>Attipulgite Slurry Walls</t>
  </si>
  <si>
    <t>Soil-Attipulgite Slurry Walls</t>
  </si>
  <si>
    <t>Slurry-Geomembrane Composite Slurry Walls</t>
  </si>
  <si>
    <t>Lean Concrete Slurry Walls</t>
  </si>
  <si>
    <t>Bio-Polymer Trench Drain</t>
  </si>
  <si>
    <t>Special Foundations and Load-Bearing Elements</t>
  </si>
  <si>
    <t>Concrete Piles</t>
  </si>
  <si>
    <t>Cast-in-Place Concrete Piles</t>
  </si>
  <si>
    <t>Concrete Displacement Piles</t>
  </si>
  <si>
    <t>Precast Concrete Piles</t>
  </si>
  <si>
    <t>Prestressed Concrete Piles</t>
  </si>
  <si>
    <t>Pressure-Injected Footings</t>
  </si>
  <si>
    <t>Steel Piles</t>
  </si>
  <si>
    <t>Sheet Steel Piles</t>
  </si>
  <si>
    <t>Steel H Piles</t>
  </si>
  <si>
    <t>Unfilled Tubular Steel Piles</t>
  </si>
  <si>
    <t>Timber Piles</t>
  </si>
  <si>
    <t>Composite Piles</t>
  </si>
  <si>
    <t>Concrete-Filled Steel Piles</t>
  </si>
  <si>
    <t>Wood and Cast-In-Place Concrete Piles</t>
  </si>
  <si>
    <t>Bored and Augered Test Piles</t>
  </si>
  <si>
    <t>Auger Cast Grout Piles</t>
  </si>
  <si>
    <t>Bored and Socketed Piles</t>
  </si>
  <si>
    <t>Rock Sockets for Piles</t>
  </si>
  <si>
    <t>Bored Concrete Piles</t>
  </si>
  <si>
    <t>Bored and Belled Concrete Piles</t>
  </si>
  <si>
    <t>Bored Friction Concrete Piles</t>
  </si>
  <si>
    <t>Drilled Caissons</t>
  </si>
  <si>
    <t>Fixed End Caisson Piles</t>
  </si>
  <si>
    <t>Concrete Caissons for Marine Construction</t>
  </si>
  <si>
    <t>Drilled Concrete Piers and Shafts</t>
  </si>
  <si>
    <t>Uncased Drilled Concrete Piers</t>
  </si>
  <si>
    <t>Cased Drilled Concrete Piers</t>
  </si>
  <si>
    <t>Drilled Micropiles</t>
  </si>
  <si>
    <t>Box Caissons</t>
  </si>
  <si>
    <t>Excavated Caissons</t>
  </si>
  <si>
    <t>Floating Caissons</t>
  </si>
  <si>
    <t>Open Caissons</t>
  </si>
  <si>
    <t>Pneumatic Caissons</t>
  </si>
  <si>
    <t>Sheeted Caissons</t>
  </si>
  <si>
    <t>Special Piles</t>
  </si>
  <si>
    <t>Rammed Aggregate Piles</t>
  </si>
  <si>
    <t>Helical Foundation Piles</t>
  </si>
  <si>
    <t>Anchored Foundation Walls</t>
  </si>
  <si>
    <t>Concrete Cribbing Foundation Walls</t>
  </si>
  <si>
    <t>Metal Cribbing Foundation Walls</t>
  </si>
  <si>
    <t>Manufactured Modular Foundation Walls</t>
  </si>
  <si>
    <t>Mechanically Stabilized Earth Foundation Walls</t>
  </si>
  <si>
    <t>Slurry Diaphragm Foundation Walls</t>
  </si>
  <si>
    <t>Soldier-Beam Foundation Walls</t>
  </si>
  <si>
    <t>Permanently-Anchored Soldier-Beam Foundation Walls</t>
  </si>
  <si>
    <t>Refrigerated Foundations</t>
  </si>
  <si>
    <t>Rock Foundation Anchors</t>
  </si>
  <si>
    <t>Helical Foundation Anchors</t>
  </si>
  <si>
    <t>Tunneling and Mining</t>
  </si>
  <si>
    <t>Tunnel Excavation</t>
  </si>
  <si>
    <t>Shield Driving Tunnel Excavation</t>
  </si>
  <si>
    <t>Tunnel Excavation by Drilling and Blasting</t>
  </si>
  <si>
    <t>Tunnel Excavation by Tunnel Boring Machine</t>
  </si>
  <si>
    <t>Tunneling by Cut and Cover</t>
  </si>
  <si>
    <t>Tunnel Support Systems</t>
  </si>
  <si>
    <t>Rock Reinforcement and Initial Support</t>
  </si>
  <si>
    <t>Steel Ribs and Lagging</t>
  </si>
  <si>
    <t>Tunnel Grouting</t>
  </si>
  <si>
    <t>Cement Tunnel Grouting</t>
  </si>
  <si>
    <t>Chemical Tunnel Grouting</t>
  </si>
  <si>
    <t>Tunnel Construction</t>
  </si>
  <si>
    <t>Cast-in-Place Concrete Tunnel Lining</t>
  </si>
  <si>
    <t>Precast Concrete Tunnel Lining</t>
  </si>
  <si>
    <t>Shotcrete Tunnel Lining</t>
  </si>
  <si>
    <t>Shaft Construction</t>
  </si>
  <si>
    <t>Cast-in-Place Concrete Shaft Lining</t>
  </si>
  <si>
    <t>Precast Concrete Shaft Lining</t>
  </si>
  <si>
    <t>Submersible Tube Tunnels</t>
  </si>
  <si>
    <t>Trench Excavation for Submerged Tunnels</t>
  </si>
  <si>
    <t>Tube Construction (Outfitting Tunnel Tubes)</t>
  </si>
  <si>
    <t>Floating and Laying Submerged Tunnels</t>
  </si>
  <si>
    <t>Exterior Improvements</t>
  </si>
  <si>
    <t>Operation and Maintenance of Exterior Improvements</t>
  </si>
  <si>
    <t>Paving Cleaning</t>
  </si>
  <si>
    <t>Rubber and Paint Removal from Paving</t>
  </si>
  <si>
    <t>Rubber Removal from Paving</t>
  </si>
  <si>
    <t>Paint Removal from Paving</t>
  </si>
  <si>
    <t>Flexible Paving Surface Treatment</t>
  </si>
  <si>
    <t>Slurry Seal (Latex Modified)</t>
  </si>
  <si>
    <t>Asphalt Surface Treatment</t>
  </si>
  <si>
    <t>Flexible Paving Rehabilitation</t>
  </si>
  <si>
    <t>Cold Milling Asphalt Paving</t>
  </si>
  <si>
    <t>Asphalt Paving Reuse</t>
  </si>
  <si>
    <t>In Place Cold Reused Asphalt Paving</t>
  </si>
  <si>
    <t>In Place Hot Reused Asphalt Paving</t>
  </si>
  <si>
    <t>Heater Scarifying of Asphalt Paving</t>
  </si>
  <si>
    <t>Flexible Paving Repair</t>
  </si>
  <si>
    <t>Sealing Cracks in Asphalt Paving</t>
  </si>
  <si>
    <t>Stress-Absorbing Membrane Interlayer</t>
  </si>
  <si>
    <t>Rigid Paving Surface Treatment</t>
  </si>
  <si>
    <t>Sealing of Joints in Rigid Paving</t>
  </si>
  <si>
    <t>Patching of Rigid Paving</t>
  </si>
  <si>
    <t>Base Course Reconditioning</t>
  </si>
  <si>
    <t>Rigid Paving Rehabilitation</t>
  </si>
  <si>
    <t>Grooving of Concrete Paving</t>
  </si>
  <si>
    <t>Grinding of Concrete Paving</t>
  </si>
  <si>
    <t>Milling of Concrete Paving</t>
  </si>
  <si>
    <t>Concrete Overlays</t>
  </si>
  <si>
    <t>Concrete Paving Reuse</t>
  </si>
  <si>
    <t>Rigid Paving Repair</t>
  </si>
  <si>
    <t>Partial Depth Patching of Rigid Paving</t>
  </si>
  <si>
    <t>Concrete Paving Raising</t>
  </si>
  <si>
    <t>Subsealing and Stabilization</t>
  </si>
  <si>
    <t>Operation and Maintenance of Site Improvements</t>
  </si>
  <si>
    <t>Snow Removal</t>
  </si>
  <si>
    <t>Operation and Maintenance of Irrigation</t>
  </si>
  <si>
    <t>Operation and Maintenance of Planting</t>
  </si>
  <si>
    <t>Fertilizing</t>
  </si>
  <si>
    <t>Amending Soils</t>
  </si>
  <si>
    <t>Mowing</t>
  </si>
  <si>
    <t>Pruning</t>
  </si>
  <si>
    <t>Watering</t>
  </si>
  <si>
    <t>Topsoil Preservation</t>
  </si>
  <si>
    <t>Tree and Shrub Preservation</t>
  </si>
  <si>
    <t>Common Work Results for Exterior Improvements</t>
  </si>
  <si>
    <t>Soils for Exterior Improvements</t>
  </si>
  <si>
    <t>Aggregates for Exterior Improvements</t>
  </si>
  <si>
    <t>Geosynthetics for Exterior Improvements</t>
  </si>
  <si>
    <t>Geotextiles for Exterior Improvements</t>
  </si>
  <si>
    <t>Geomembranes for Exterior Improvements</t>
  </si>
  <si>
    <t>Geogrids for Exterior Improvements</t>
  </si>
  <si>
    <t>Cement and Concrete for Exterior Improvements</t>
  </si>
  <si>
    <t>Common Work Results for Planting</t>
  </si>
  <si>
    <t>Commissioning of Exterior Improvements</t>
  </si>
  <si>
    <t>Bases, Ballasts, and Paving</t>
  </si>
  <si>
    <t>Base Courses</t>
  </si>
  <si>
    <t>Subgrade Modifications</t>
  </si>
  <si>
    <t>Lime-Treated Subgrades</t>
  </si>
  <si>
    <t>Bituminous-Treated Subgrades</t>
  </si>
  <si>
    <t>Subbase Courses</t>
  </si>
  <si>
    <t>Sand-Clay Subbase Courses</t>
  </si>
  <si>
    <t>Aggregate Subbase Courses</t>
  </si>
  <si>
    <t>Aggregate Base Courses</t>
  </si>
  <si>
    <t>Sand-Clay Base Courses</t>
  </si>
  <si>
    <t>Base Course Drainage Layers</t>
  </si>
  <si>
    <t>Asphaltic Base Courses</t>
  </si>
  <si>
    <t>Plant Mix Asphaltic Base Courses</t>
  </si>
  <si>
    <t>Road Mix Asphaltic Base Courses</t>
  </si>
  <si>
    <t>Bituminous-Stabilized Base Courses</t>
  </si>
  <si>
    <t>Lime Treated Base Courses</t>
  </si>
  <si>
    <t>Lime-Fly Ash-Treated Base Courses</t>
  </si>
  <si>
    <t>Cement-Treated Base Courses</t>
  </si>
  <si>
    <t>Portland Cement-Stabilized Base Courses</t>
  </si>
  <si>
    <t>Concrete Base Courses</t>
  </si>
  <si>
    <t>Lean Concrete Base Courses</t>
  </si>
  <si>
    <t>Plain Cement Concrete Base Courses</t>
  </si>
  <si>
    <t>Hydraulic Cement Concrete Base Courses</t>
  </si>
  <si>
    <t>Flexible Paving</t>
  </si>
  <si>
    <t>Preparatory Coats</t>
  </si>
  <si>
    <t>Tack Coats</t>
  </si>
  <si>
    <t>Asphaltic Tack Coats</t>
  </si>
  <si>
    <t>Prime Coats</t>
  </si>
  <si>
    <t>Asphaltic Prime Coats</t>
  </si>
  <si>
    <t>Asphalt Paving</t>
  </si>
  <si>
    <t>Plant-Mix Asphalt Paving</t>
  </si>
  <si>
    <t>Road-Mix Asphalt Paving</t>
  </si>
  <si>
    <t>Cold-Mix Asphalt Paving</t>
  </si>
  <si>
    <t>Reinforced Asphalt Paving</t>
  </si>
  <si>
    <t>Fiber-Modified Asphalt Paving</t>
  </si>
  <si>
    <t>Polymer-Modified Asphalt Paving</t>
  </si>
  <si>
    <t>Granulated Rubber-Modified Asphalt Paving</t>
  </si>
  <si>
    <t>Athletic Asphalt Paving</t>
  </si>
  <si>
    <t>Asphalt Paving Wearing Courses</t>
  </si>
  <si>
    <t>Road-Mix Asphalt Paving Wearing Courses</t>
  </si>
  <si>
    <t>Resin-Modified Asphalt Paving Wearing Courses</t>
  </si>
  <si>
    <t>Porous Friction Asphalt Paving Wearing Courses</t>
  </si>
  <si>
    <t>Flexible Paving Surface Treatments</t>
  </si>
  <si>
    <t>Seal Coats</t>
  </si>
  <si>
    <t>Asphaltic Seal and Fog Coats</t>
  </si>
  <si>
    <t>Coal Tar Seal Coats</t>
  </si>
  <si>
    <t>Coal Tar Seal Coats with Unvulcanized Rubber</t>
  </si>
  <si>
    <t>Fuel-Resistant Sealers</t>
  </si>
  <si>
    <t>Porous Flexible Paving</t>
  </si>
  <si>
    <t>Asphalt Paving Joint Sealants</t>
  </si>
  <si>
    <t>Rigid Paving</t>
  </si>
  <si>
    <t>Concrete Paving</t>
  </si>
  <si>
    <t>Exposed Aggregate Concrete Paving</t>
  </si>
  <si>
    <t>Power-Compacted Concrete Paving</t>
  </si>
  <si>
    <t>Prestressed Concrete Paving</t>
  </si>
  <si>
    <t>Concrete Paving Surface Treatment</t>
  </si>
  <si>
    <t>Plain Concrete Paving</t>
  </si>
  <si>
    <t>Decorative Concrete Paving</t>
  </si>
  <si>
    <t>Patterned Concrete Paving</t>
  </si>
  <si>
    <t>Roller-Compacted Concrete Paving</t>
  </si>
  <si>
    <t>Imprinted Concrete Paving</t>
  </si>
  <si>
    <t>Stamped Concrete Paving</t>
  </si>
  <si>
    <t>Pervious Concrete Paving</t>
  </si>
  <si>
    <t>Concrete Paving Joint Sealants</t>
  </si>
  <si>
    <t>Fuel-Resistant Concrete Paving Joint Sealants</t>
  </si>
  <si>
    <t>Field-Molded Concrete Paving Joint Sealants</t>
  </si>
  <si>
    <t>Compression Concrete Paving Joint Sealants</t>
  </si>
  <si>
    <t>Unit Paving</t>
  </si>
  <si>
    <t>Precast Concrete Unit Paving</t>
  </si>
  <si>
    <t>Interlocking Precast Concrete Unit Paving</t>
  </si>
  <si>
    <t>Precast Concrete Unit Paving Slabs</t>
  </si>
  <si>
    <t>Porous Precast Concrete Unit Paving</t>
  </si>
  <si>
    <t>Brick Unit Paving</t>
  </si>
  <si>
    <t>Asphalt Unit Paving</t>
  </si>
  <si>
    <t>Wood Paving</t>
  </si>
  <si>
    <t>Recycled-Rubber Paving</t>
  </si>
  <si>
    <t>Stone Paving</t>
  </si>
  <si>
    <t>Porous Unit Paving</t>
  </si>
  <si>
    <t>Aggregate Surfacing</t>
  </si>
  <si>
    <t>Cinder Surfacing</t>
  </si>
  <si>
    <t>Crushed Stone Surfacing</t>
  </si>
  <si>
    <t>Curbs, Gutters, Sidewalks, and Driveways</t>
  </si>
  <si>
    <t>Curbs and Gutters</t>
  </si>
  <si>
    <t>Cast-In-Place Concrete Curbs and Gutters</t>
  </si>
  <si>
    <t>Steel Faced Curbs</t>
  </si>
  <si>
    <t>Precast Concrete Curbs and Gutters</t>
  </si>
  <si>
    <t>Asphalt Curbs</t>
  </si>
  <si>
    <t>Stone Curbs</t>
  </si>
  <si>
    <t>Sidewalks</t>
  </si>
  <si>
    <t>Driveways</t>
  </si>
  <si>
    <t>Paving Specialties</t>
  </si>
  <si>
    <t>Parking Bumpers</t>
  </si>
  <si>
    <t>Metal Parking Bumpers</t>
  </si>
  <si>
    <t>Plastic Parking Bumpers</t>
  </si>
  <si>
    <t>Precast Concrete Parking Bumpers</t>
  </si>
  <si>
    <t>Rubber Parking Bumpers</t>
  </si>
  <si>
    <t>Wood Parking Bumpers</t>
  </si>
  <si>
    <t>Speed Bumps</t>
  </si>
  <si>
    <t>Pavement Markings</t>
  </si>
  <si>
    <t>Painted Pavement Markings</t>
  </si>
  <si>
    <t>Raised Pavement Markings</t>
  </si>
  <si>
    <t>Plastic Pavement Markings</t>
  </si>
  <si>
    <t>Tactile Warning Surfacing</t>
  </si>
  <si>
    <t>Pavement Snow Melting Systems</t>
  </si>
  <si>
    <t>Athletic and Recreational Surfacing</t>
  </si>
  <si>
    <t>Synthetic Grass Surfacing</t>
  </si>
  <si>
    <t>Synthetic Resilient Surfacing</t>
  </si>
  <si>
    <t>Playground Protective Surfacing</t>
  </si>
  <si>
    <t>Athletic Surfacing</t>
  </si>
  <si>
    <t>Baseball Field Surfacing</t>
  </si>
  <si>
    <t>Natural Baseball Field Surfacing</t>
  </si>
  <si>
    <t>Synthetic Baseball Field Surfacing</t>
  </si>
  <si>
    <t>Field Sport Surfacing</t>
  </si>
  <si>
    <t>Natural Field Sport Surfacing</t>
  </si>
  <si>
    <t>Synthetic Field Sport Surfacing</t>
  </si>
  <si>
    <t>Running Track Surfacing</t>
  </si>
  <si>
    <t>Natural Running Track Surfacing</t>
  </si>
  <si>
    <t>Synthetic Running Track Surfacing</t>
  </si>
  <si>
    <t>Recreational Court Surfacing</t>
  </si>
  <si>
    <t>Tennis Court Surfacing</t>
  </si>
  <si>
    <t>Natural Tennis Court Surfacing</t>
  </si>
  <si>
    <t>Synthetic Tennis Court Surfacing</t>
  </si>
  <si>
    <t>Gate Operators</t>
  </si>
  <si>
    <t>Chain Link Fences and Gates</t>
  </si>
  <si>
    <t>Recreational Court Fences and Gates</t>
  </si>
  <si>
    <t>Tennis Court Fences and Gates</t>
  </si>
  <si>
    <t>Tennis Court Wind Breaker</t>
  </si>
  <si>
    <t>Chain Link Backstops</t>
  </si>
  <si>
    <t>High-Security Chain Link Fences and Gates</t>
  </si>
  <si>
    <t>Welded Wire Fences and Gates</t>
  </si>
  <si>
    <t>Expanded Metal Fences and Gates</t>
  </si>
  <si>
    <t>Decorative Metal Fences and Gates</t>
  </si>
  <si>
    <t>Plastic Fences and Gates</t>
  </si>
  <si>
    <t>Wire Fences and Gates</t>
  </si>
  <si>
    <t>Wood Fences and Gates</t>
  </si>
  <si>
    <t>Composite Fences and Gates</t>
  </si>
  <si>
    <t>Cattle Guards</t>
  </si>
  <si>
    <t>Cast-in-Place Concrete Retaining Walls</t>
  </si>
  <si>
    <t>Precast Concrete Retaining Walls</t>
  </si>
  <si>
    <t>Unit Masonry Retaining Walls</t>
  </si>
  <si>
    <t>Segmental Retaining Walls</t>
  </si>
  <si>
    <t>Segmental Concrete Unit Masonry Retaining Walls</t>
  </si>
  <si>
    <t>Manufactured Modular Walls</t>
  </si>
  <si>
    <t>Metal Crib Retaining Walls</t>
  </si>
  <si>
    <t>Timber Retaining Walls</t>
  </si>
  <si>
    <t>Reinforced Soil Retaining Walls</t>
  </si>
  <si>
    <t>Gabion Retaining Walls</t>
  </si>
  <si>
    <t>Soldier-Beam Retaining Walls</t>
  </si>
  <si>
    <t>Stone Retaining Walls</t>
  </si>
  <si>
    <t>Fabricated Bridges</t>
  </si>
  <si>
    <t>Fabricated Pedestrian Bridges</t>
  </si>
  <si>
    <t>Fabricated Roadway Bridges</t>
  </si>
  <si>
    <t>Fabricated Railway Bridges</t>
  </si>
  <si>
    <t>Screening Devices</t>
  </si>
  <si>
    <t>Screens and Louvers</t>
  </si>
  <si>
    <t>Sound Barriers</t>
  </si>
  <si>
    <t>Manufactured Site Specialties</t>
  </si>
  <si>
    <t>Manufactured Metal Bollards</t>
  </si>
  <si>
    <t>Constructed Wetlands</t>
  </si>
  <si>
    <t>Wetlands Restoration</t>
  </si>
  <si>
    <t>Irrigation</t>
  </si>
  <si>
    <t>Irrigation Pumps</t>
  </si>
  <si>
    <t>Drip Irrigation</t>
  </si>
  <si>
    <t>Underground Sprinklers</t>
  </si>
  <si>
    <t>Agricultural Irrigation</t>
  </si>
  <si>
    <t>Planting</t>
  </si>
  <si>
    <t>Planting Preparation</t>
  </si>
  <si>
    <t>Soil Preparation</t>
  </si>
  <si>
    <t>Hydro-Punching</t>
  </si>
  <si>
    <t>Mulching</t>
  </si>
  <si>
    <t>Planting Soil Mixing</t>
  </si>
  <si>
    <t>Structural Soil Mixing</t>
  </si>
  <si>
    <t>Planting Beds</t>
  </si>
  <si>
    <t>Planting Soil Stabilization</t>
  </si>
  <si>
    <t>Blanket Planting Soil Stabilization</t>
  </si>
  <si>
    <t>Mat Planting Soil Stabilization</t>
  </si>
  <si>
    <t>Netting Planting Soil Stabilization</t>
  </si>
  <si>
    <t>Landscape Grading</t>
  </si>
  <si>
    <t>Topsoil Placement and Grading</t>
  </si>
  <si>
    <t>Hydro-Mulching</t>
  </si>
  <si>
    <t>Plugging</t>
  </si>
  <si>
    <t>Seeding</t>
  </si>
  <si>
    <t>Mechanical Seeding</t>
  </si>
  <si>
    <t>Hydraulic Seeding</t>
  </si>
  <si>
    <t>Sodding</t>
  </si>
  <si>
    <t>Sprigging</t>
  </si>
  <si>
    <t>Stolonizing</t>
  </si>
  <si>
    <t>Ground Covers</t>
  </si>
  <si>
    <t>Plants and Bulbs</t>
  </si>
  <si>
    <t>Shrubs</t>
  </si>
  <si>
    <t>Trees</t>
  </si>
  <si>
    <t>Landscape Edging</t>
  </si>
  <si>
    <t>Landscape Timbers</t>
  </si>
  <si>
    <t>Landscape Surfacing</t>
  </si>
  <si>
    <t>Planters</t>
  </si>
  <si>
    <t>Tree Grates</t>
  </si>
  <si>
    <t>Tree Grids</t>
  </si>
  <si>
    <t>Transplanting</t>
  </si>
  <si>
    <t>Ground Cover Transplanting</t>
  </si>
  <si>
    <t>Plant and Bulb Transplanting</t>
  </si>
  <si>
    <t>Shrub Transplanting</t>
  </si>
  <si>
    <t>Tree Transplanting</t>
  </si>
  <si>
    <t>Utilities</t>
  </si>
  <si>
    <t>Operation and Maintenance of Utilities</t>
  </si>
  <si>
    <t>Operation and Maintenance of Water Utilities</t>
  </si>
  <si>
    <t>Operation and Maintenance of Wells</t>
  </si>
  <si>
    <t>Operation and Maintenance of Sewer Utilities</t>
  </si>
  <si>
    <t>Sewer and Manhole Testing</t>
  </si>
  <si>
    <t>TV Inspection of Sewer Pipelines</t>
  </si>
  <si>
    <t>Maintenance of Sewer Utilities</t>
  </si>
  <si>
    <t>Pond and Reservoir Maintenance</t>
  </si>
  <si>
    <t>Sewer and Pipe Joint Sealing</t>
  </si>
  <si>
    <t>Manhole Grout Sealing</t>
  </si>
  <si>
    <t>Rehabilitation of Sewer Utilities</t>
  </si>
  <si>
    <t>Relining Sewers</t>
  </si>
  <si>
    <t>Operation and Maintenance of Fuel Distribution Lines</t>
  </si>
  <si>
    <t>Cleaning Fuel-Storage Tanks</t>
  </si>
  <si>
    <t>Lining of Steel Fuel-Storage Tanks</t>
  </si>
  <si>
    <t>Operation and Maintenance of Hydronic and Steam Energy Utilities</t>
  </si>
  <si>
    <t>Operation and Maintenance of Electrical Utilities</t>
  </si>
  <si>
    <t>Operation and Maintenance of Communications Utilities</t>
  </si>
  <si>
    <t>Common Work Results for Utilities</t>
  </si>
  <si>
    <t>Manholes and Structures</t>
  </si>
  <si>
    <t>Manhole Grade Adjustment</t>
  </si>
  <si>
    <t>Utility Structures</t>
  </si>
  <si>
    <t>Precast Concrete Utility Structures</t>
  </si>
  <si>
    <t>Rebuilding Utility Structures</t>
  </si>
  <si>
    <t>Pressure Piping Tied Joint Restraint System</t>
  </si>
  <si>
    <t>Trenchless Utility Installation</t>
  </si>
  <si>
    <t>Utility Horizontal Directional Drilling</t>
  </si>
  <si>
    <t>Utility Pipe Jacking</t>
  </si>
  <si>
    <t>Microtunneling</t>
  </si>
  <si>
    <t>Utility Pipe Ramming</t>
  </si>
  <si>
    <t>Utility Impact Moling</t>
  </si>
  <si>
    <t>Cable Trenching and Plowing</t>
  </si>
  <si>
    <t>Utility Identification</t>
  </si>
  <si>
    <t>Utility Identification Signs</t>
  </si>
  <si>
    <t>Utility Identification Markers</t>
  </si>
  <si>
    <t>Utility Identification Flags</t>
  </si>
  <si>
    <t>Utility Identification Trace Wires</t>
  </si>
  <si>
    <t>Commissioning of Utilities</t>
  </si>
  <si>
    <t>Commissioning of Water Utilities</t>
  </si>
  <si>
    <t>Commissioning of Wells</t>
  </si>
  <si>
    <t>Commissioning of Sanitary Sewerage Utilities</t>
  </si>
  <si>
    <t>Commissioning of Storm Drainage Utilities</t>
  </si>
  <si>
    <t>Commissioning of Fuel Distribution Utilities</t>
  </si>
  <si>
    <t>Commissioning of Hydronic and Steam Energy Utilities</t>
  </si>
  <si>
    <t>Commissioning of Electrical Utilities</t>
  </si>
  <si>
    <t>Commissioning of Communications Utilities</t>
  </si>
  <si>
    <t>Instrumentation and Control for Utilities</t>
  </si>
  <si>
    <t>Instrumentation and Control for Water Utilities</t>
  </si>
  <si>
    <t>Instrumentation and Control for Wells</t>
  </si>
  <si>
    <t>Instrumentation and Control for Sanitary Sewerage Utilities</t>
  </si>
  <si>
    <t>Instrumentation and Control for Storm Drainage Utilities</t>
  </si>
  <si>
    <t>Instrumentation and Control for Fuel Distribution Utilities</t>
  </si>
  <si>
    <t>Instrumentation and Control for Hydronic and Steam Energy Utilities</t>
  </si>
  <si>
    <t>Instrumentation and Control for Electrical Utilities</t>
  </si>
  <si>
    <t>Instrumentation and Control for Communications Utilities</t>
  </si>
  <si>
    <t>Water Utility Distribution Piping</t>
  </si>
  <si>
    <t>Public Water Utility Distribution Piping</t>
  </si>
  <si>
    <t>Ductile Iron Public Water Utility Distribution Piping</t>
  </si>
  <si>
    <t>Cast Iron Public Water Utility Distribution Piping</t>
  </si>
  <si>
    <t>Plastic Public Water Utility Distribution Piping</t>
  </si>
  <si>
    <t>Galvanized Steel Public Water Utility Distribution Piping</t>
  </si>
  <si>
    <t>Concrete Public Water Utility Distribution Piping</t>
  </si>
  <si>
    <t>Site Water Utility Distribution Piping</t>
  </si>
  <si>
    <t>Fire Suppression Utility Water Distribution Piping</t>
  </si>
  <si>
    <t>Water Utility Distribution Equipment</t>
  </si>
  <si>
    <t>Water Service Connections</t>
  </si>
  <si>
    <t>Water Supply Backflow Preventer Assemblies</t>
  </si>
  <si>
    <t>Water Utility Distribution Valves</t>
  </si>
  <si>
    <t>Water Utility Distribution Fire Hydrants</t>
  </si>
  <si>
    <t>Water Utility Pumping Stations</t>
  </si>
  <si>
    <t>Water Utility Metering</t>
  </si>
  <si>
    <t>Disinfecting of Water Utility Distribution</t>
  </si>
  <si>
    <t>Water Utility Storage Tanks</t>
  </si>
  <si>
    <t>Aboveground Water Utility Storage Tanks</t>
  </si>
  <si>
    <t>Steel Aboveground Water Utility Storage Tanks</t>
  </si>
  <si>
    <t>Prestressed Concrete Aboveground Water Utility Storage Tanks</t>
  </si>
  <si>
    <t>Plastic Aboveground Water Utility Storage Tanks</t>
  </si>
  <si>
    <t>Underground Water Utility Storage Tanks</t>
  </si>
  <si>
    <t>Elevated Water Utility Storage Tanks</t>
  </si>
  <si>
    <t>Wells</t>
  </si>
  <si>
    <t>Water Supply Wells</t>
  </si>
  <si>
    <t>Public Water Supply Wells</t>
  </si>
  <si>
    <t>Irrigation Water Wells</t>
  </si>
  <si>
    <t>Test Wells</t>
  </si>
  <si>
    <t>Extraction Wells</t>
  </si>
  <si>
    <t>Monitoring Wells</t>
  </si>
  <si>
    <t>Groundwater Monitoring Wells</t>
  </si>
  <si>
    <t>Recharge Wells</t>
  </si>
  <si>
    <t>Relief Wells</t>
  </si>
  <si>
    <t>Well Abandonment</t>
  </si>
  <si>
    <t>Sanitary Utility Sewerage Piping</t>
  </si>
  <si>
    <t>Public Sanitary Utility Sewerage Piping</t>
  </si>
  <si>
    <t>Industrial Waste Utility Sewerage Piping</t>
  </si>
  <si>
    <t>Wastewater Utility Pumping Stations</t>
  </si>
  <si>
    <t>Packaged Utility Lift Stations</t>
  </si>
  <si>
    <t>Packaged Sewage Lift Stations, Wet Well Type</t>
  </si>
  <si>
    <t>Packaged Utility Wastewater Pumping Stations</t>
  </si>
  <si>
    <t>Packaged Sewage Grinder Pumping Units</t>
  </si>
  <si>
    <t>Public Utility Wastewater Pumping Stations</t>
  </si>
  <si>
    <t>Low Pressure Utility Sewerage</t>
  </si>
  <si>
    <t>Sanitary Utility Sewerage</t>
  </si>
  <si>
    <t>Combined Utility Sewerage</t>
  </si>
  <si>
    <t>Sanitary Utility Sewerage Force Mains</t>
  </si>
  <si>
    <t>Sanitary Utility Sewerage Inverted Siphons</t>
  </si>
  <si>
    <t>Utility Septic Tank and Effluent Wet Wells</t>
  </si>
  <si>
    <t>Utility Septic Tank Effluent Pumps</t>
  </si>
  <si>
    <t>Utility Drainage Field</t>
  </si>
  <si>
    <t>Sanitary Utility Sewerage Structures</t>
  </si>
  <si>
    <t>Sanitary Utility Sewerage Manholes, Frames, and Covers</t>
  </si>
  <si>
    <t>Sanitary Utility Sewerage Cleanouts</t>
  </si>
  <si>
    <t>Storm Utility Drainage Piping</t>
  </si>
  <si>
    <t>Public Storm Utility Drainage Piping</t>
  </si>
  <si>
    <t>Pipe Culverts</t>
  </si>
  <si>
    <t>Public Pipe Culverts</t>
  </si>
  <si>
    <t>Concrete Culverts</t>
  </si>
  <si>
    <t>Precast Concrete Culverts</t>
  </si>
  <si>
    <t>Cast-in-Place Concrete Culverts</t>
  </si>
  <si>
    <t>Storm Utility Water Drains</t>
  </si>
  <si>
    <t>Utility Area Drains</t>
  </si>
  <si>
    <t>Catchbasins</t>
  </si>
  <si>
    <t>Utility Trench Drains</t>
  </si>
  <si>
    <t>Utility Storm Water Treatment</t>
  </si>
  <si>
    <t>In-Line Utility Storm Water Filters</t>
  </si>
  <si>
    <t>Catch Basin Insert Utility Storm Water Filters</t>
  </si>
  <si>
    <t>Utility Oil and Gas Separators</t>
  </si>
  <si>
    <t>Storm Utility Drainage Pumps</t>
  </si>
  <si>
    <t>Subdrainage</t>
  </si>
  <si>
    <t>Foundation Drainage Piping</t>
  </si>
  <si>
    <t>Geocomposite Foundation Drainage</t>
  </si>
  <si>
    <t>Subdrainage Piping</t>
  </si>
  <si>
    <t>Geocomposite Subdrainage</t>
  </si>
  <si>
    <t>Pipe Underdrains</t>
  </si>
  <si>
    <t>Underslab Drainage Piping</t>
  </si>
  <si>
    <t>Geocomposite Underslab Drainage</t>
  </si>
  <si>
    <t>Drainage Layers</t>
  </si>
  <si>
    <t>Gravel Drainage Layers</t>
  </si>
  <si>
    <t>Geosynthetic Drainage Layers</t>
  </si>
  <si>
    <t>Geotextile Subsurface Drainage Filtration</t>
  </si>
  <si>
    <t>Retaining Wall Drainage</t>
  </si>
  <si>
    <t>Ponds and Reservoirs</t>
  </si>
  <si>
    <t>Pond and Reservoir Liners</t>
  </si>
  <si>
    <t>Pond Liners</t>
  </si>
  <si>
    <t>Reservoir Liners</t>
  </si>
  <si>
    <t>Pond and Reservoir Covers</t>
  </si>
  <si>
    <t>Pond Covers</t>
  </si>
  <si>
    <t>Reservoir Covers</t>
  </si>
  <si>
    <t>Water Ponds and Reservoirs</t>
  </si>
  <si>
    <t>Water Distribution Ponds</t>
  </si>
  <si>
    <t>Water Retainage Reservoirs</t>
  </si>
  <si>
    <t>Cooling Water Ponds</t>
  </si>
  <si>
    <t>Fire-Protection Water Ponds</t>
  </si>
  <si>
    <t>Stabilization Ponds</t>
  </si>
  <si>
    <t>Retention Basins</t>
  </si>
  <si>
    <t>Leaching Pits</t>
  </si>
  <si>
    <t>Storm Drainage Structures</t>
  </si>
  <si>
    <t>Storm Drainage Manholes, Frames, and Covers</t>
  </si>
  <si>
    <t>Storm Drainage Water Retention Structures</t>
  </si>
  <si>
    <t>Fuel Distribution Utilities</t>
  </si>
  <si>
    <t>Natural-Gas Distribution</t>
  </si>
  <si>
    <t>Natural-Gas Piping</t>
  </si>
  <si>
    <t>Natural-Gas Metering</t>
  </si>
  <si>
    <t>Liquid Fuel Distribution</t>
  </si>
  <si>
    <t>Fuel-Oil Distribution</t>
  </si>
  <si>
    <t>Fuel-Oil Piping</t>
  </si>
  <si>
    <t>Fuel-Oil Pumps</t>
  </si>
  <si>
    <t>Gasoline Distribution</t>
  </si>
  <si>
    <t>Gasoline Piping</t>
  </si>
  <si>
    <t>Gasoline Pumps</t>
  </si>
  <si>
    <t>Diesel Fuel Distribution</t>
  </si>
  <si>
    <t>Diesel Fuel Piping</t>
  </si>
  <si>
    <t>Diesel Fuel Pumps</t>
  </si>
  <si>
    <t>Aviation Fuel Distribution</t>
  </si>
  <si>
    <t>Aviation Fuel Piping</t>
  </si>
  <si>
    <t>Aviation Fuel Connections</t>
  </si>
  <si>
    <t>Aviation Fuel Grounding</t>
  </si>
  <si>
    <t>Aviation Fuel Pumps</t>
  </si>
  <si>
    <t>Fuel-Storage Tanks</t>
  </si>
  <si>
    <t>Aboveground Fuel-Storage Tanks</t>
  </si>
  <si>
    <t>Underground Fuel-Storage Tanks</t>
  </si>
  <si>
    <t>Aviation Fuel-Storage Tanks</t>
  </si>
  <si>
    <t>Aboveground Aviation Fuel-Storage Tanks</t>
  </si>
  <si>
    <t>Underground Aviation Fuel-Storage Tanks</t>
  </si>
  <si>
    <t>Compressed Gases Storage Tanks</t>
  </si>
  <si>
    <t>Hydronic and Steam Energy Utilities</t>
  </si>
  <si>
    <t>Hydronic Energy Distribution</t>
  </si>
  <si>
    <t>Underground Hydronic Energy Distribution</t>
  </si>
  <si>
    <t>Aboveground Hydronic Energy Distribution</t>
  </si>
  <si>
    <t>Hydronic Energy Distribution Metering</t>
  </si>
  <si>
    <t>Steam Energy Distribution</t>
  </si>
  <si>
    <t>Underground Steam and Condensate Distribution Piping</t>
  </si>
  <si>
    <t>Aboveground Steam and Condensate Distribution Piping</t>
  </si>
  <si>
    <t>Steam Energy Distribution Metering</t>
  </si>
  <si>
    <t>Electrical Utilities</t>
  </si>
  <si>
    <t>Electrical Utility Transmission and Distribution</t>
  </si>
  <si>
    <t>Electrical Utility Towers</t>
  </si>
  <si>
    <t>Precast Concrete Electrical Utility Towers</t>
  </si>
  <si>
    <t>Steel Electrical Utility Towers</t>
  </si>
  <si>
    <t>Wood Electrical Utility Towers</t>
  </si>
  <si>
    <t>Electrical Utility Poles</t>
  </si>
  <si>
    <t>Precast Concrete Electrical Utility Poles</t>
  </si>
  <si>
    <t>Steel Electrical Utility Poles</t>
  </si>
  <si>
    <t>Wood Electrical Utility Poles</t>
  </si>
  <si>
    <t>Electrical Underground Ducts and Manholes</t>
  </si>
  <si>
    <t>Electrical Manholes and Handholes</t>
  </si>
  <si>
    <t>Insulators and Fittings</t>
  </si>
  <si>
    <t>Suspension Insulators</t>
  </si>
  <si>
    <t>Post Insulators</t>
  </si>
  <si>
    <t>Potheads</t>
  </si>
  <si>
    <t>Transmission and Distribution Equipment</t>
  </si>
  <si>
    <t>Capacitor Banks</t>
  </si>
  <si>
    <t>Coupling Capacitors</t>
  </si>
  <si>
    <t>Current Transformers</t>
  </si>
  <si>
    <t>Potential Transformers</t>
  </si>
  <si>
    <t>Extra-High-Voltage Wiring</t>
  </si>
  <si>
    <t>Overhead Extra-High-Voltage Wiring</t>
  </si>
  <si>
    <t>High-Voltage Wiring</t>
  </si>
  <si>
    <t>Overhead High-Voltage Wiring</t>
  </si>
  <si>
    <t>Underground High-Voltage Wiring</t>
  </si>
  <si>
    <t>Underwater High-Voltage Wiring</t>
  </si>
  <si>
    <t>Medium-Voltage Wiring</t>
  </si>
  <si>
    <t>Overhead Medium-Voltage Wiring</t>
  </si>
  <si>
    <t>Underground Medium-Voltage Wiring</t>
  </si>
  <si>
    <t>Underwater Medium-Voltage Wiring</t>
  </si>
  <si>
    <t>Direct-Current Transmission</t>
  </si>
  <si>
    <t>Electric Meters</t>
  </si>
  <si>
    <t>Transmission and Distribution Specialties</t>
  </si>
  <si>
    <t>Utility Substations</t>
  </si>
  <si>
    <t>Deadend Structures</t>
  </si>
  <si>
    <t>Structural Bus Supports</t>
  </si>
  <si>
    <t>Bus Support Insulators</t>
  </si>
  <si>
    <t>Substation Bus Assemblies</t>
  </si>
  <si>
    <t>Aluminum Substation Bus Assemblies</t>
  </si>
  <si>
    <t>Copper Substation Bus Assemblies</t>
  </si>
  <si>
    <t>Control House Equipment</t>
  </si>
  <si>
    <t>Relays</t>
  </si>
  <si>
    <t>Substation Control Panels</t>
  </si>
  <si>
    <t>Power-Line Carriers</t>
  </si>
  <si>
    <t>Substation Metering</t>
  </si>
  <si>
    <t>Raceway and Boxes for Utility Substations</t>
  </si>
  <si>
    <t>Cable Trays for Utility Substations</t>
  </si>
  <si>
    <t>Substation Backup Batteries</t>
  </si>
  <si>
    <t>Substation Converter Stations</t>
  </si>
  <si>
    <t>Substation Control Wiring</t>
  </si>
  <si>
    <t>Utility Transformers</t>
  </si>
  <si>
    <t>Liquid-Filled Utility Transformers</t>
  </si>
  <si>
    <t>Dry-Type Utility Transformers</t>
  </si>
  <si>
    <t>High-Voltage Switchgear and Protection Devices</t>
  </si>
  <si>
    <t>Air High-Voltage Circuit Breaker</t>
  </si>
  <si>
    <t>Oil High-Voltage Circuit Breaker</t>
  </si>
  <si>
    <t>Gas High-Voltage Circuit Breaker</t>
  </si>
  <si>
    <t>Vacuum High-Voltage Circuit Breaker</t>
  </si>
  <si>
    <t>High-Voltage Utility Fuses</t>
  </si>
  <si>
    <t>High-Voltage Surge Arresters</t>
  </si>
  <si>
    <t>Shunt Reactors</t>
  </si>
  <si>
    <t>Medium-Voltage Utility Switchgear and Protection Devices</t>
  </si>
  <si>
    <t>Air Medium-Voltage Circuit Breaker</t>
  </si>
  <si>
    <t>Oil Medium-Voltage Circuit Breaker</t>
  </si>
  <si>
    <t>Gas Medium-Voltage Circuit Breaker</t>
  </si>
  <si>
    <t>Vacuum Medium-Voltage Circuit Breaker</t>
  </si>
  <si>
    <t>Medium-Voltage Utility Fusible Interrupter Switchgear</t>
  </si>
  <si>
    <t>Medium-Voltage Utility Cutouts</t>
  </si>
  <si>
    <t>Medium-Voltage Utility Fuses</t>
  </si>
  <si>
    <t>Medium-Voltage Utility Surge Arresters</t>
  </si>
  <si>
    <t>Medium-Voltage Utility Reclosers</t>
  </si>
  <si>
    <t>Site Improvements Grounding</t>
  </si>
  <si>
    <t>Electric Fence Grounding</t>
  </si>
  <si>
    <t>Tower Grounding</t>
  </si>
  <si>
    <t>Communications Tower Grounding</t>
  </si>
  <si>
    <t>Antenna Tower Grounding</t>
  </si>
  <si>
    <t>Utilities Grounding</t>
  </si>
  <si>
    <t>Electrical Utilities Grounding</t>
  </si>
  <si>
    <t>Communications Utilities Grounding</t>
  </si>
  <si>
    <t>Utility Substation Grounding</t>
  </si>
  <si>
    <t>Site Grounding Conductors</t>
  </si>
  <si>
    <t>Grounding Wire, Bar, and Rod</t>
  </si>
  <si>
    <t>Chemical Rod</t>
  </si>
  <si>
    <t>Conductive Concrete</t>
  </si>
  <si>
    <t>Earth Grounding Enhancement</t>
  </si>
  <si>
    <t>Deep Earth Grounding</t>
  </si>
  <si>
    <t>Site Lightning Protection</t>
  </si>
  <si>
    <t>Lightning Strike Counters</t>
  </si>
  <si>
    <t>Lightning Strike Warning Devices</t>
  </si>
  <si>
    <t>Communications Utilities</t>
  </si>
  <si>
    <t>Communications Structures</t>
  </si>
  <si>
    <t>Communications Transmission Towers</t>
  </si>
  <si>
    <t>Antenna Towers</t>
  </si>
  <si>
    <t>Communications Utility Poles</t>
  </si>
  <si>
    <t>Aerial Cable Installation Hardware</t>
  </si>
  <si>
    <t>Communications Underground Ducts, Manholes, and Handholes</t>
  </si>
  <si>
    <t>Communications Vaults, Pedestals and Enclosures</t>
  </si>
  <si>
    <t>Communications Blowers, Fans, and Ventilation</t>
  </si>
  <si>
    <t>Communications Distribution</t>
  </si>
  <si>
    <t>Copper Communications Distribution Cabling</t>
  </si>
  <si>
    <t>Copper Splicing and Terminations</t>
  </si>
  <si>
    <t>Optical Fiber Communications Distribution Cabling</t>
  </si>
  <si>
    <t>Optical Fiber Splicing and Terminations</t>
  </si>
  <si>
    <t>Coaxial Communications Distribution Cabling</t>
  </si>
  <si>
    <t>Coaxial Splicing and Terminations</t>
  </si>
  <si>
    <t>Grounding and Bonding for Communications Distribution</t>
  </si>
  <si>
    <t>Cable Pressurization Equipment</t>
  </si>
  <si>
    <t>Cleaning, Lubrication and Restoration Chemicals</t>
  </si>
  <si>
    <t>Laser Transmitters and Receivers</t>
  </si>
  <si>
    <t>Microwave Transmitters and Receivers</t>
  </si>
  <si>
    <t>Infrared Transmitters and Receivers</t>
  </si>
  <si>
    <t>UHF/VHF Transmitters and Antennas</t>
  </si>
  <si>
    <t>Transportation</t>
  </si>
  <si>
    <t>Operation and Maintenance of Transportation</t>
  </si>
  <si>
    <t>Operation and Maintenance of Roadways</t>
  </si>
  <si>
    <t>Operation and Maintenance of Railways</t>
  </si>
  <si>
    <t>Track Removal and Salvage</t>
  </si>
  <si>
    <t>Track Crosstie Replacement</t>
  </si>
  <si>
    <t>Operation and Maintenance of Airfields</t>
  </si>
  <si>
    <t>Operation and Maintenance of Bridges</t>
  </si>
  <si>
    <t>Common Work Results for Transportation</t>
  </si>
  <si>
    <t>Common Work Results for Roadways</t>
  </si>
  <si>
    <t>Common Work Results for Railways</t>
  </si>
  <si>
    <t>Common Work Results for Airports</t>
  </si>
  <si>
    <t>Common Work Results for Bridges</t>
  </si>
  <si>
    <t>Commissioning of Transportation</t>
  </si>
  <si>
    <t>Commissioning of Roadways</t>
  </si>
  <si>
    <t>Commissioning of Railways</t>
  </si>
  <si>
    <t>Commissioning of Airfields</t>
  </si>
  <si>
    <t>Commissioning of Bridges</t>
  </si>
  <si>
    <t>Guideways/Railways</t>
  </si>
  <si>
    <t>Rail Tracks</t>
  </si>
  <si>
    <t>Track Rails</t>
  </si>
  <si>
    <t>Light Rail Track</t>
  </si>
  <si>
    <t>Heavy Rail Track</t>
  </si>
  <si>
    <t>Welded Track Rails</t>
  </si>
  <si>
    <t>In-Track Butt-Welded Track Rail</t>
  </si>
  <si>
    <t>Pressure-Welded Track Rail</t>
  </si>
  <si>
    <t>Thermite-Welded Track Rail</t>
  </si>
  <si>
    <t>Track Rail Joints</t>
  </si>
  <si>
    <t>Special Trackwork</t>
  </si>
  <si>
    <t>Ballasted Special Track Rail</t>
  </si>
  <si>
    <t>Direct-Fixation Track</t>
  </si>
  <si>
    <t>Running Rail</t>
  </si>
  <si>
    <t>Precurved Running Rail</t>
  </si>
  <si>
    <t>Ballasted Track Rail</t>
  </si>
  <si>
    <t>Track Rail Ballast</t>
  </si>
  <si>
    <t>Track Rail Subballast</t>
  </si>
  <si>
    <t>Embedded Track Rail</t>
  </si>
  <si>
    <t>Track Cross Ties</t>
  </si>
  <si>
    <t>Concrete Track Cross Ties</t>
  </si>
  <si>
    <t>Timber Track Cross Ties</t>
  </si>
  <si>
    <t>Resilient Track Cross Ties</t>
  </si>
  <si>
    <t>Track Rail Fasteners</t>
  </si>
  <si>
    <t>Direct-Fixation Fasteners</t>
  </si>
  <si>
    <t>Track Collector Pans</t>
  </si>
  <si>
    <t>Fiberglass Track Collector Pans</t>
  </si>
  <si>
    <t>Track Appurtenances and Accessories</t>
  </si>
  <si>
    <t>Monorails</t>
  </si>
  <si>
    <t>Elevated Monorails</t>
  </si>
  <si>
    <t>On-Grade Monorails</t>
  </si>
  <si>
    <t>Below-Grade Monorails</t>
  </si>
  <si>
    <t>Maglev Monorail</t>
  </si>
  <si>
    <t>Monorail Track</t>
  </si>
  <si>
    <t>Funiculars</t>
  </si>
  <si>
    <t>Inclined Railway</t>
  </si>
  <si>
    <t>Cable Transportation</t>
  </si>
  <si>
    <t>Aerial Tramways</t>
  </si>
  <si>
    <t>Gondolas</t>
  </si>
  <si>
    <t>Funitels</t>
  </si>
  <si>
    <t>Chairlifts</t>
  </si>
  <si>
    <t>Surface Lifts</t>
  </si>
  <si>
    <t>Ropeway Tows</t>
  </si>
  <si>
    <t>Cable Car Systems</t>
  </si>
  <si>
    <t>Traction Power</t>
  </si>
  <si>
    <t>Traction Power Distribution</t>
  </si>
  <si>
    <t>High Power Static Frequency Converters</t>
  </si>
  <si>
    <t>Traction Power Substations</t>
  </si>
  <si>
    <t>AC Traction Power Substations</t>
  </si>
  <si>
    <t>DC Traction Power Substations</t>
  </si>
  <si>
    <t>Traction Power Switchgear</t>
  </si>
  <si>
    <t>AC Traction Power Switchgear</t>
  </si>
  <si>
    <t>DC Traction Power Switchgear</t>
  </si>
  <si>
    <t>Frequency Changer</t>
  </si>
  <si>
    <t>Traction Power Transformer-Rectifier Units</t>
  </si>
  <si>
    <t>Overhead Traction Power</t>
  </si>
  <si>
    <t>Traction Power Poles</t>
  </si>
  <si>
    <t>Overhead Cable Suspension</t>
  </si>
  <si>
    <t>Overhead Traction Power Cables</t>
  </si>
  <si>
    <t>Third Rail Traction Power</t>
  </si>
  <si>
    <t>Bottom-Contact Third Rail</t>
  </si>
  <si>
    <t>Side-Contact Third Rail</t>
  </si>
  <si>
    <t>Top-Contact Third Rail</t>
  </si>
  <si>
    <t>Transportation Signaling and Control Equipment</t>
  </si>
  <si>
    <t>Roadway Signaling and Control Equipment</t>
  </si>
  <si>
    <t>Traffic Signals</t>
  </si>
  <si>
    <t>Traffic Control Equipment</t>
  </si>
  <si>
    <t>Roadway Monitoring Equipment</t>
  </si>
  <si>
    <t>Railway Signaling and Control Equipment</t>
  </si>
  <si>
    <t>Railway Signals</t>
  </si>
  <si>
    <t>General Railway Signal Requirements</t>
  </si>
  <si>
    <t>Signal Solid State Coded Track Circuits</t>
  </si>
  <si>
    <t>Train Control Wires and Cables</t>
  </si>
  <si>
    <t>Vital Interlocking Logic Controllers</t>
  </si>
  <si>
    <t>Railway Control Equipment</t>
  </si>
  <si>
    <t>Mainline Train Control Room Equipment</t>
  </si>
  <si>
    <t>Yard Train Control Room Equipment</t>
  </si>
  <si>
    <t>Integrated Control Equipment</t>
  </si>
  <si>
    <t>Interlocking Railway Control Equipment</t>
  </si>
  <si>
    <t>Rail Network Equipment</t>
  </si>
  <si>
    <t>Station Agent Equipment</t>
  </si>
  <si>
    <t>Yard Management Equipment</t>
  </si>
  <si>
    <t>Supervisory Control and Data Acquisition</t>
  </si>
  <si>
    <t>Airfield Signals</t>
  </si>
  <si>
    <t>Airfield Runway Identification Lights</t>
  </si>
  <si>
    <t>Airfield Runway and Taxiway Inset Lighting</t>
  </si>
  <si>
    <t>Airfield Landing Equipment</t>
  </si>
  <si>
    <t>Microwave Airfield Landing Equipment</t>
  </si>
  <si>
    <t>Instrument Airfield Landing Equipment</t>
  </si>
  <si>
    <t>Airfield Visual-Approach Slope Indicator Equipment</t>
  </si>
  <si>
    <t>Airfield Short-Approach Lighting Equipment</t>
  </si>
  <si>
    <t>Airfield Omni-Directional-Approach Lighting Equipment</t>
  </si>
  <si>
    <t>Airfield Low-Intensity-Approach Lighting Equipment</t>
  </si>
  <si>
    <t>Airfield High-Intensity-Approach Lighting Equipment</t>
  </si>
  <si>
    <t>Airfield Precision-Approach Path Indicator Equipment</t>
  </si>
  <si>
    <t>Airfield Traffic Control Tower Equipment</t>
  </si>
  <si>
    <t>Weather Observation Equipment</t>
  </si>
  <si>
    <t>Automatic Weather Observation Equipment</t>
  </si>
  <si>
    <t>Airfield Wind Cones</t>
  </si>
  <si>
    <t>Airfield Control Equipment</t>
  </si>
  <si>
    <t>Airfield Lighting Control Equipment</t>
  </si>
  <si>
    <t>Airfield Lighting PLC Control Equipment</t>
  </si>
  <si>
    <t>Airfield Lighting Regulator Assembly</t>
  </si>
  <si>
    <t>Bridge Signaling and Control Equipment</t>
  </si>
  <si>
    <t>Operating Bridge Signals</t>
  </si>
  <si>
    <t>Operating Bridge Control Equipment</t>
  </si>
  <si>
    <t>Transportation Fare Collection Equipment</t>
  </si>
  <si>
    <t>Vehicle Ticketing Equipment</t>
  </si>
  <si>
    <t>Vehicle Ticket Vending Machines</t>
  </si>
  <si>
    <t>Vehicle Fare Collection Equipment</t>
  </si>
  <si>
    <t>Vehicle Coin Fare Collection Equipment</t>
  </si>
  <si>
    <t>Vehicle Electronic Fare Collection Equipment</t>
  </si>
  <si>
    <t>Vehicle Fare Gates</t>
  </si>
  <si>
    <t>Passenger Fare Collection</t>
  </si>
  <si>
    <t>Passenger Ticketing Equipment</t>
  </si>
  <si>
    <t>Passenger Ticket Vending Machines</t>
  </si>
  <si>
    <t>Passenger Addfare Machines</t>
  </si>
  <si>
    <t>Passenger Intermodal Transfer Machines</t>
  </si>
  <si>
    <t>Passenger Fare Collection Equipment</t>
  </si>
  <si>
    <t>Passenger Coin Fare Collection Equipment</t>
  </si>
  <si>
    <t>Passenger Electronic Fare Collection Equipment</t>
  </si>
  <si>
    <t>Passenger Fare Gates</t>
  </si>
  <si>
    <t>Transportation Construction and Equipment</t>
  </si>
  <si>
    <t>Roadway Construction</t>
  </si>
  <si>
    <t>Vehicle Barriers</t>
  </si>
  <si>
    <t>Vehicle Median Barriers</t>
  </si>
  <si>
    <t>Vehicle Crash Barriers</t>
  </si>
  <si>
    <t>Vehicle Traffic Barriers</t>
  </si>
  <si>
    <t>Vehicle Guide Rails</t>
  </si>
  <si>
    <t>Vehicle Barrier Fenders</t>
  </si>
  <si>
    <t>Impact Attenuating Devices</t>
  </si>
  <si>
    <t>Vehicle Delineators</t>
  </si>
  <si>
    <t>Fixed Vehicle Delineators</t>
  </si>
  <si>
    <t>Flexible Vehicle Delineators</t>
  </si>
  <si>
    <t>Railway Construction</t>
  </si>
  <si>
    <t>Railway Line</t>
  </si>
  <si>
    <t>Railway Siding</t>
  </si>
  <si>
    <t>Airfield Construction</t>
  </si>
  <si>
    <t>Aircraft Tiedowns</t>
  </si>
  <si>
    <t>Airfield Grounding</t>
  </si>
  <si>
    <t>Aircraft Static Grounding</t>
  </si>
  <si>
    <t>Jet Blast Barriers</t>
  </si>
  <si>
    <t>Manufactured Airfield Control Towers</t>
  </si>
  <si>
    <t>Manufactured Helipads</t>
  </si>
  <si>
    <t>Roadway Equipment</t>
  </si>
  <si>
    <t>Operable Roadway Equipment</t>
  </si>
  <si>
    <t>Active Vehicle Barriers</t>
  </si>
  <si>
    <t>Railway Equipment</t>
  </si>
  <si>
    <t>Roadway Crossing Control Equipment</t>
  </si>
  <si>
    <t>Transportation Equipment</t>
  </si>
  <si>
    <t>Fixed Aircraft Passenger Loading Bridges</t>
  </si>
  <si>
    <t>Movable Aircraft Passenger Loading Bridges</t>
  </si>
  <si>
    <t>Ship Passenger Loading Bridges</t>
  </si>
  <si>
    <t>Baggage Scanning Equipment</t>
  </si>
  <si>
    <t>Baggage Scales</t>
  </si>
  <si>
    <t>Baggage Conveying Equipment</t>
  </si>
  <si>
    <t>Bridges</t>
  </si>
  <si>
    <t>Bridge Machinery</t>
  </si>
  <si>
    <t>Single-Swing Bridge Machinery</t>
  </si>
  <si>
    <t>Double-Swing Bridge Machinery</t>
  </si>
  <si>
    <t>Cantilever Bridge Machinery</t>
  </si>
  <si>
    <t>Lift Bridge Machinery</t>
  </si>
  <si>
    <t>Sliding Bridge Machinery</t>
  </si>
  <si>
    <t>Pontoon Bridge Machinery</t>
  </si>
  <si>
    <t>Bascule Bridge Machinery</t>
  </si>
  <si>
    <t>Bridge Specialties</t>
  </si>
  <si>
    <t>Bridge Vibration Dampers</t>
  </si>
  <si>
    <t>Visco Elastic Bridge Vibration Dampers</t>
  </si>
  <si>
    <t>Tuned-Mass Bridge Vibration Dampers</t>
  </si>
  <si>
    <t>Bridge Pier Protection</t>
  </si>
  <si>
    <t>Bridge Pier Ice Shields</t>
  </si>
  <si>
    <t>Waterway and Marine Construction</t>
  </si>
  <si>
    <t>Operation and Maintenance of Waterway and Marine Construction</t>
  </si>
  <si>
    <t>Operation and Maintenance of Coastal Construction</t>
  </si>
  <si>
    <t>Operation and Maintenance of Waterway Construction</t>
  </si>
  <si>
    <t>Waterway Dredging</t>
  </si>
  <si>
    <t>Preservation of Water Courses</t>
  </si>
  <si>
    <t>Operation and Maintenance of Marine Construction</t>
  </si>
  <si>
    <t>Marine Dredging</t>
  </si>
  <si>
    <t>Channel Excavation, Cleaning and Deepening</t>
  </si>
  <si>
    <t>Operation and Maintenance of Dams</t>
  </si>
  <si>
    <t>Common Work Results for Waterway and Marine Construction</t>
  </si>
  <si>
    <t>Common Work Results for Coastal Construction</t>
  </si>
  <si>
    <t>Common Work Results for Waterway Construction</t>
  </si>
  <si>
    <t>Common Work Results for Marine Construction</t>
  </si>
  <si>
    <t>Common Work Results for Dams</t>
  </si>
  <si>
    <t>Commissioning of Waterway and Marine Construction</t>
  </si>
  <si>
    <t>Commissioning of Coastal Construction</t>
  </si>
  <si>
    <t>Commissioning of Waterway Construction</t>
  </si>
  <si>
    <t>Commissioning of Marine Construction</t>
  </si>
  <si>
    <t>Commissioning of Dams</t>
  </si>
  <si>
    <t>Waterway and Marine Signaling and Control Equipment</t>
  </si>
  <si>
    <t>Signaling and Control Equipment for Waterways</t>
  </si>
  <si>
    <t>Signaling Equipment for Waterways</t>
  </si>
  <si>
    <t>Control Equipment for Waterways</t>
  </si>
  <si>
    <t>Marine Signaling and Control Equipment</t>
  </si>
  <si>
    <t>Marine Signaling Equipment</t>
  </si>
  <si>
    <t>Lighthouse Equipment</t>
  </si>
  <si>
    <t>Marine Navigation Equipment</t>
  </si>
  <si>
    <t>Marine Control Equipment</t>
  </si>
  <si>
    <t>Signaling and Control Equipment for Dams</t>
  </si>
  <si>
    <t>Signaling Equipment for Dams</t>
  </si>
  <si>
    <t>Control Equipment for Dams</t>
  </si>
  <si>
    <t>Waterway and Marine Construction and Equipment</t>
  </si>
  <si>
    <t>Hydraulic Fabrications</t>
  </si>
  <si>
    <t>Hydraulic Bifurcation Panels</t>
  </si>
  <si>
    <t>Hydraulic Bulkheads</t>
  </si>
  <si>
    <t>Hydraulic Manifolds</t>
  </si>
  <si>
    <t>Hydraulic Penstocks</t>
  </si>
  <si>
    <t>Hydraulic Trashracks</t>
  </si>
  <si>
    <t>Hydraulic Gates</t>
  </si>
  <si>
    <t>Hydraulic Spillway Crest Gates</t>
  </si>
  <si>
    <t>Hydraulic Head Gates</t>
  </si>
  <si>
    <t>Hydraulic Sluice Gates</t>
  </si>
  <si>
    <t>Hydraulic Miter Gates</t>
  </si>
  <si>
    <t>Hydraulic Sector Gates</t>
  </si>
  <si>
    <t>Hydraulic Tainter Gates and Anchorages</t>
  </si>
  <si>
    <t>Hydraulic Vertical Lift Gates</t>
  </si>
  <si>
    <t>Hydraulic Closure Gates</t>
  </si>
  <si>
    <t>Hydraulic Valves</t>
  </si>
  <si>
    <t>Hydraulic Butterfly Valves</t>
  </si>
  <si>
    <t>Hydraulic Regulating Valves</t>
  </si>
  <si>
    <t>Dredging</t>
  </si>
  <si>
    <t>Mechanical Dredging</t>
  </si>
  <si>
    <t>Hydraulic Dredging</t>
  </si>
  <si>
    <t>Integrated Dredging and Dewatering</t>
  </si>
  <si>
    <t>Coastal Construction</t>
  </si>
  <si>
    <t>Shoreline Protection</t>
  </si>
  <si>
    <t>Seawalls</t>
  </si>
  <si>
    <t>Concrete Seawalls</t>
  </si>
  <si>
    <t>Segmental Seawalls</t>
  </si>
  <si>
    <t>Steel Sheet Piling Seawalls</t>
  </si>
  <si>
    <t>Timber Seawalls</t>
  </si>
  <si>
    <t>Stone Seawalls</t>
  </si>
  <si>
    <t>Revetments</t>
  </si>
  <si>
    <t>Sacked Cement-Sand Revetments</t>
  </si>
  <si>
    <t>Concrete Unit Masonry Revetments</t>
  </si>
  <si>
    <t>Gabion Revetments</t>
  </si>
  <si>
    <t>Stone Revetments</t>
  </si>
  <si>
    <t>Breakwaters</t>
  </si>
  <si>
    <t>Rubble Mound Breakwaters</t>
  </si>
  <si>
    <t>Precast Breakwater Modules</t>
  </si>
  <si>
    <t>Jetties</t>
  </si>
  <si>
    <t>Concrete Jetties</t>
  </si>
  <si>
    <t>Concrete Unit Masonry Jetties</t>
  </si>
  <si>
    <t>Gabion Jetties</t>
  </si>
  <si>
    <t>Stone Jetties</t>
  </si>
  <si>
    <t>Groins</t>
  </si>
  <si>
    <t>Concrete Groins</t>
  </si>
  <si>
    <t>Concrete Unit Masonry Groins</t>
  </si>
  <si>
    <t>Steel Groins</t>
  </si>
  <si>
    <t>Gabion Groins</t>
  </si>
  <si>
    <t>Stone Groins</t>
  </si>
  <si>
    <t>Artificial Reefs</t>
  </si>
  <si>
    <t>Scrap Material Artificial Reefs</t>
  </si>
  <si>
    <t>Scrap Concrete Artificial Reefs</t>
  </si>
  <si>
    <t>Scrap Steel Artificial Reefs</t>
  </si>
  <si>
    <t>Sunken Ship Artificial Reefs</t>
  </si>
  <si>
    <t>Constructed Artificial Reefs</t>
  </si>
  <si>
    <t>Constructed Concrete Artificial Reefs</t>
  </si>
  <si>
    <t>Constructed Steel Artificial Reefs</t>
  </si>
  <si>
    <t>Waterway Construction and Equipment</t>
  </si>
  <si>
    <t>Levees</t>
  </si>
  <si>
    <t>Landside Levee Berms</t>
  </si>
  <si>
    <t>Stability Landside Levee Berms</t>
  </si>
  <si>
    <t>Seepage Landside Levee Berms</t>
  </si>
  <si>
    <t>Levee Cutoff Trenches</t>
  </si>
  <si>
    <t>Levee Relief Wells</t>
  </si>
  <si>
    <t>Waterway Bank Protection</t>
  </si>
  <si>
    <t>Piling Bank Protection</t>
  </si>
  <si>
    <t>Steel Sheet Piling Bank Protection</t>
  </si>
  <si>
    <t>Timber Piling Bank Protection</t>
  </si>
  <si>
    <t>Plastic Piling Bank Protection</t>
  </si>
  <si>
    <t>Grout-Bag Bank Protection</t>
  </si>
  <si>
    <t>Soil Reinforcement Bank Protection</t>
  </si>
  <si>
    <t>Slope Protection Bank Protection</t>
  </si>
  <si>
    <t>Gabion Bank Protection</t>
  </si>
  <si>
    <t>Riprap Bank Protection</t>
  </si>
  <si>
    <t>Wall Bank Protection</t>
  </si>
  <si>
    <t>Concrete Unit Masonry Wall Bank Protection</t>
  </si>
  <si>
    <t>Segmental Wall Bank Protection</t>
  </si>
  <si>
    <t>Stone Wall Bank Protection</t>
  </si>
  <si>
    <t>Waterway Scour Protection</t>
  </si>
  <si>
    <t>Grout-Bag Scour Protection</t>
  </si>
  <si>
    <t>Soil Reinforcement Scour Protection</t>
  </si>
  <si>
    <t>Slope Protection Scour Protection</t>
  </si>
  <si>
    <t>Gabion Scour Protection</t>
  </si>
  <si>
    <t>Riprap Scour Protection</t>
  </si>
  <si>
    <t>Wall Scour Protection</t>
  </si>
  <si>
    <t>Concrete Unit Masonry Wall Scour Protection</t>
  </si>
  <si>
    <t>Segmental Wall Scour Protection</t>
  </si>
  <si>
    <t>Stone Wall Scour Protection</t>
  </si>
  <si>
    <t>Waterway Structures</t>
  </si>
  <si>
    <t>Floodwalls</t>
  </si>
  <si>
    <t>Concrete Floodwalls</t>
  </si>
  <si>
    <t>Masonry Floodwalls</t>
  </si>
  <si>
    <t>Waterway Locks</t>
  </si>
  <si>
    <t>Concrete Waterway Locks</t>
  </si>
  <si>
    <t>Piling Waterway Locks</t>
  </si>
  <si>
    <t>Floodgate Machinery</t>
  </si>
  <si>
    <t>Marine Construction and Equipment</t>
  </si>
  <si>
    <t>Floating Construction</t>
  </si>
  <si>
    <t>Floating Piers</t>
  </si>
  <si>
    <t>Floating Wood Piers</t>
  </si>
  <si>
    <t>Floating Plastic Piers</t>
  </si>
  <si>
    <t>Pontoons</t>
  </si>
  <si>
    <t>Offshore Platform Construction</t>
  </si>
  <si>
    <t>Fixed Offshore Platform Construction</t>
  </si>
  <si>
    <t>Semi-Submersible Offshore Platform Construction</t>
  </si>
  <si>
    <t>Floating Offshore Platform Construction</t>
  </si>
  <si>
    <t>Underwater Construction</t>
  </si>
  <si>
    <t>Underwater Harbor Deepening</t>
  </si>
  <si>
    <t>Underwater Pipeline Construction</t>
  </si>
  <si>
    <t>Underwater Foundation Construction</t>
  </si>
  <si>
    <t>Underwater Structures Construction</t>
  </si>
  <si>
    <t>Underwater Waterproofing</t>
  </si>
  <si>
    <t>Marine Specialties</t>
  </si>
  <si>
    <t>Marine Fenders</t>
  </si>
  <si>
    <t>Prestressed Concrete Marine Fender Piling</t>
  </si>
  <si>
    <t>Resilient Foam-Filled Marine Fenders</t>
  </si>
  <si>
    <t>Rubber Marine Fenders</t>
  </si>
  <si>
    <t>Buoys</t>
  </si>
  <si>
    <t>Mooring Buoys</t>
  </si>
  <si>
    <t>Anchor Pendant Buoys</t>
  </si>
  <si>
    <t>Navigation Buoys</t>
  </si>
  <si>
    <t>Mooring Devices</t>
  </si>
  <si>
    <t>Quick-Release Mooring Hooks</t>
  </si>
  <si>
    <t>Laser Docking Systems</t>
  </si>
  <si>
    <t>Capstans</t>
  </si>
  <si>
    <t>Marine Bollards and Cleats</t>
  </si>
  <si>
    <t>Cast-Steel Marine Bollards and Cleats</t>
  </si>
  <si>
    <t>Cast-Iron Marine Bollards and Cleats</t>
  </si>
  <si>
    <t>Stainless-Steel Marine Bollards and Cleats</t>
  </si>
  <si>
    <t>Plastic Marine Bollards and Cleats</t>
  </si>
  <si>
    <t>Marine Chain and Accessories</t>
  </si>
  <si>
    <t>Marine Chain</t>
  </si>
  <si>
    <t>Marine Shackles</t>
  </si>
  <si>
    <t>Marine Chain Tensioners</t>
  </si>
  <si>
    <t>Dam Construction and Equipment</t>
  </si>
  <si>
    <t>Gravity Dams</t>
  </si>
  <si>
    <t>Concrete Gravity Dams</t>
  </si>
  <si>
    <t>Masonry Gravity Dams</t>
  </si>
  <si>
    <t>Rockfill Gravity Dams</t>
  </si>
  <si>
    <t>Arch Dams</t>
  </si>
  <si>
    <t>Concrete Arch Dams</t>
  </si>
  <si>
    <t>Embankment Dams</t>
  </si>
  <si>
    <t>Earth Embankment Dam</t>
  </si>
  <si>
    <t>Rock Embankment Dams</t>
  </si>
  <si>
    <t>Buttress Dams</t>
  </si>
  <si>
    <t>Concrete Buttress Dams</t>
  </si>
  <si>
    <t>Auxiliary Dam Structures</t>
  </si>
  <si>
    <t>Fish Ladders</t>
  </si>
  <si>
    <t>Concrete Fish Ladders</t>
  </si>
  <si>
    <t>Process Integration</t>
  </si>
  <si>
    <t>Operation and Maintenance of Process Integration</t>
  </si>
  <si>
    <t>Operation and Maintenance of Gas and Vapor Process Piping</t>
  </si>
  <si>
    <t>Operation and Maintenance of Liquids Process Piping</t>
  </si>
  <si>
    <t>Operation and Maintenance of Solid and Mixed Materials Piping and Chutes</t>
  </si>
  <si>
    <t>Operation and Maintenance of Process Piping and Equipment Protection</t>
  </si>
  <si>
    <t>Common Work Results for Process Integration</t>
  </si>
  <si>
    <t>Common Work Results for Process Piping</t>
  </si>
  <si>
    <t>Steel Process Piping</t>
  </si>
  <si>
    <t>Lined or Internally-Coated Steel Process Piping</t>
  </si>
  <si>
    <t>Stainless-Steel Process Piping</t>
  </si>
  <si>
    <t>Aluminum Alloys Process Piping</t>
  </si>
  <si>
    <t>Brass, Bronze, Copper, and Copper Alloys Process Piping</t>
  </si>
  <si>
    <t>Nickel and Nickel Alloys Process Piping</t>
  </si>
  <si>
    <t>Ductile, Malleable, and Cast Iron Alloys Process Piping</t>
  </si>
  <si>
    <t>Titanium and Titanium Alloys Process Piping</t>
  </si>
  <si>
    <t>Plastic Process Piping</t>
  </si>
  <si>
    <t>Fiberglass-Reinforced Plastic and Resins Process Piping</t>
  </si>
  <si>
    <t>Other Metals Process Piping</t>
  </si>
  <si>
    <t>Common Work Results for Process Valves</t>
  </si>
  <si>
    <t>Carbon Steel Process Valves</t>
  </si>
  <si>
    <t>Low and Intermediate Alloy Steel Process Valves</t>
  </si>
  <si>
    <t>Stainless-Steel Process Valves</t>
  </si>
  <si>
    <t>Brass and Iron Process Valves</t>
  </si>
  <si>
    <t>Nickel and Nickel Alloys Steel Process Valves</t>
  </si>
  <si>
    <t>Plastic and Plastic Lined Process Valves</t>
  </si>
  <si>
    <t>Other Metals Process Valves</t>
  </si>
  <si>
    <t>Gas and Vapor Process Piping</t>
  </si>
  <si>
    <t>Steam Process Piping</t>
  </si>
  <si>
    <t>Low-Pressure Steam Process Piping</t>
  </si>
  <si>
    <t>Intermediate-Pressure Steam Process Piping</t>
  </si>
  <si>
    <t>High-Pressure Steam Process Piping</t>
  </si>
  <si>
    <t>Condensate Process Piping</t>
  </si>
  <si>
    <t>Compressed Air Process Piping</t>
  </si>
  <si>
    <t>Breathing Compressed Air Process Piping</t>
  </si>
  <si>
    <t>Non-Breathing Compressed Air Process Piping</t>
  </si>
  <si>
    <t>Inert Gases Process Piping</t>
  </si>
  <si>
    <t>Argon Process Piping</t>
  </si>
  <si>
    <t>Carbon-Dioxide Process Piping</t>
  </si>
  <si>
    <t>Helium Process Piping</t>
  </si>
  <si>
    <t>Krypton Process Piping</t>
  </si>
  <si>
    <t>Neon Process Piping</t>
  </si>
  <si>
    <t>Nitrogen Process Piping</t>
  </si>
  <si>
    <t>Xenon Process Piping</t>
  </si>
  <si>
    <t>Mixed Inert Gases Process Piping</t>
  </si>
  <si>
    <t>Fuel Gases Process Piping</t>
  </si>
  <si>
    <t>Blast Furnace Piping</t>
  </si>
  <si>
    <t>Blue (Water) Fuel Gas Piping</t>
  </si>
  <si>
    <t>Butane Piping</t>
  </si>
  <si>
    <t>Carbon-Monoxide Piping</t>
  </si>
  <si>
    <t>Chlorine Fuel Gas Piping</t>
  </si>
  <si>
    <t>Coke Oven Gas Piping</t>
  </si>
  <si>
    <t>Ethane-Gas Piping</t>
  </si>
  <si>
    <t>Hydrogen Fuel Gas Piping</t>
  </si>
  <si>
    <t>Liquid Natural-Gas Process Piping</t>
  </si>
  <si>
    <t>Methylacetylene-Propadiene Fuel Gas Piping</t>
  </si>
  <si>
    <t>Natural-Gas Process Piping</t>
  </si>
  <si>
    <t>Synthetic Natural-Gas Piping</t>
  </si>
  <si>
    <t>Propane-Air Mixes Fuel Gas Piping</t>
  </si>
  <si>
    <t>Octane Fuel Gas Piping</t>
  </si>
  <si>
    <t>Propane Fuel Gas Process Piping</t>
  </si>
  <si>
    <t>Sewage Fuel Gas Piping</t>
  </si>
  <si>
    <t>Mixed Fuel Gases Piping</t>
  </si>
  <si>
    <t>Combustion System Gas Piping</t>
  </si>
  <si>
    <t>Combustion Air Piping</t>
  </si>
  <si>
    <t>Oxygen Combustion System Gas Piping</t>
  </si>
  <si>
    <t>Flue-Gas Combustion System Piping</t>
  </si>
  <si>
    <t>Exothermic-Gas Combustion System Piping</t>
  </si>
  <si>
    <t>Endothermic-Gas Combustion System Piping</t>
  </si>
  <si>
    <t>Disassociated-Ammonia-Gas Combustion System Piping</t>
  </si>
  <si>
    <t>Specialty and High-Purity Gases Piping</t>
  </si>
  <si>
    <t>Ammonia Gas Piping</t>
  </si>
  <si>
    <t>Boron Gas Piping</t>
  </si>
  <si>
    <t>Diborane Gas Piping</t>
  </si>
  <si>
    <t>Fluorine Gas Piping</t>
  </si>
  <si>
    <t>Hydrogen Sulfide Gas Piping</t>
  </si>
  <si>
    <t>Nitrous-Oxide Gas Process Piping</t>
  </si>
  <si>
    <t>Ozone Gas Piping</t>
  </si>
  <si>
    <t>Phosphine Gas Piping</t>
  </si>
  <si>
    <t>Silane Gas Piping</t>
  </si>
  <si>
    <t>Sulfur-Dioxide Gas Piping</t>
  </si>
  <si>
    <t>Specialty Gas Mixtures Piping</t>
  </si>
  <si>
    <t>High-Purity Gas Piping Components</t>
  </si>
  <si>
    <t>Welding and Cutting Gases Piping</t>
  </si>
  <si>
    <t>Acetylene Welding and Cutting Piping</t>
  </si>
  <si>
    <t>Acetylene-Hydrogen Mix Welding and Cutting Piping</t>
  </si>
  <si>
    <t>Methylacetylene-Propadiene Welding and Cutting Piping</t>
  </si>
  <si>
    <t>Oxygen Welding and Cutting Piping</t>
  </si>
  <si>
    <t>Inert Gas Welding and Cutting Piping</t>
  </si>
  <si>
    <t>Vacuum Systems Process Piping</t>
  </si>
  <si>
    <t>Low-Vacuum Systems Process Piping</t>
  </si>
  <si>
    <t>High-Vacuum Systems Process Piping</t>
  </si>
  <si>
    <t>Liquids Process Piping</t>
  </si>
  <si>
    <t>Liquid Fuel Process Piping</t>
  </si>
  <si>
    <t>Bio Fuels Process Piping</t>
  </si>
  <si>
    <t>Gasoline Process Piping</t>
  </si>
  <si>
    <t>Diesel Process Piping</t>
  </si>
  <si>
    <t>Fuel-Oils Process Piping</t>
  </si>
  <si>
    <t>No. 2 Fuel-Oil Process Piping</t>
  </si>
  <si>
    <t>No. 4 Fuel-Oil Process Piping</t>
  </si>
  <si>
    <t>No. 5 Fuel-Oil Process Piping</t>
  </si>
  <si>
    <t>No. 6 Fuel-Oil Process Piping</t>
  </si>
  <si>
    <t>Kerosene Process Piping</t>
  </si>
  <si>
    <t>Tar Process Piping</t>
  </si>
  <si>
    <t>Petroleum Products Piping</t>
  </si>
  <si>
    <t>Heavy-Fractions Petroleum Products Piping</t>
  </si>
  <si>
    <t>Light-Fractions Petroleum Products Piping</t>
  </si>
  <si>
    <t>Water Process Piping</t>
  </si>
  <si>
    <t>De-Ionized Water Process Piping</t>
  </si>
  <si>
    <t>Distilled-Water Process Piping</t>
  </si>
  <si>
    <t>Process Plant Water Piping</t>
  </si>
  <si>
    <t>Potable Water Process Piping</t>
  </si>
  <si>
    <t>Recirculated Water Process Piping</t>
  </si>
  <si>
    <t>Reverse-Osmosis Water Process Piping</t>
  </si>
  <si>
    <t>Sanitary Water Process Piping</t>
  </si>
  <si>
    <t>Specialty Liquid Chemicals Piping</t>
  </si>
  <si>
    <t>Alcohol Piping</t>
  </si>
  <si>
    <t>Gel Piping</t>
  </si>
  <si>
    <t>Slurries Process Piping</t>
  </si>
  <si>
    <t>Thixotropic Liquid Piping</t>
  </si>
  <si>
    <t>Liquid Acids and Bases Piping</t>
  </si>
  <si>
    <t>Liquid Acids Piping</t>
  </si>
  <si>
    <t>Liquid Bases Piping</t>
  </si>
  <si>
    <t>Liquid Polymer Piping</t>
  </si>
  <si>
    <t>Solid and Mixed Materials Piping and Chutes</t>
  </si>
  <si>
    <t>Bulk Materials Piping and Chutes</t>
  </si>
  <si>
    <t>Abrasive Materials Piping and Chutes</t>
  </si>
  <si>
    <t>Nonabrasive Materials Piping and Chutes</t>
  </si>
  <si>
    <t>Bulk Materials Valves</t>
  </si>
  <si>
    <t>Airlock Bulk Materials Valves</t>
  </si>
  <si>
    <t>Blind Bulk Materials Valves</t>
  </si>
  <si>
    <t>Butterfly Bulk Materials Valves</t>
  </si>
  <si>
    <t>Cone Bulk Materials Valves</t>
  </si>
  <si>
    <t>Diverter Bulk Materials Valves</t>
  </si>
  <si>
    <t>Double or Single Dump Bulk Materials Valves</t>
  </si>
  <si>
    <t>Knife and Slide Gate Bulk Materials Valves</t>
  </si>
  <si>
    <t>Pinch Bulk Materials Valves</t>
  </si>
  <si>
    <t>Swing Bulk Materials Valves</t>
  </si>
  <si>
    <t>Specialty Bulk Materials Valves</t>
  </si>
  <si>
    <t>Pneumatic Conveying Lines</t>
  </si>
  <si>
    <t>Dense Phase Pneumatic Conveying Lines</t>
  </si>
  <si>
    <t>Dilute Phase Pneumatic Conveying Lines</t>
  </si>
  <si>
    <t>Process Piping and Equipment Protection</t>
  </si>
  <si>
    <t>Process Piping and Equipment Heat Tracing</t>
  </si>
  <si>
    <t>Process Piping Heat Tracing</t>
  </si>
  <si>
    <t>Process Piping Electrical Resistance Heat Tracing</t>
  </si>
  <si>
    <t>Process Piping Electrical Conductance Heat Tracing</t>
  </si>
  <si>
    <t>Process Piping Gas Heat Tracing</t>
  </si>
  <si>
    <t>Process Piping Steam Heat Tracing</t>
  </si>
  <si>
    <t>Process Piping Thermal Fluids Heat Tracing</t>
  </si>
  <si>
    <t>Process Equipment Heat Tracing</t>
  </si>
  <si>
    <t>Process Equipment Electrical Resistance Heat Tracing</t>
  </si>
  <si>
    <t>Process Equipment Electrical Conductance Heat Tracing</t>
  </si>
  <si>
    <t>Process Equipment Gas Heat Tracing</t>
  </si>
  <si>
    <t>Process Equipment Steam Heat Tracing</t>
  </si>
  <si>
    <t>Process Equipment Thermal Fluids Heat Tracing</t>
  </si>
  <si>
    <t>Process Piping and Equipment Insulation</t>
  </si>
  <si>
    <t>Process Piping Insulation</t>
  </si>
  <si>
    <t>Cryogenic Temperature Process Piping Insulation</t>
  </si>
  <si>
    <t>Low Temperature Process Piping Insulation</t>
  </si>
  <si>
    <t>Intermediate Temperature Process Piping Insulation</t>
  </si>
  <si>
    <t>High Temperature Process Piping Insulation</t>
  </si>
  <si>
    <t>Process Piping Insulation for Specialty Applications</t>
  </si>
  <si>
    <t>Process Equipment Insulation</t>
  </si>
  <si>
    <t>Cryogenic Temperature Process Equipment Insulation</t>
  </si>
  <si>
    <t>Low Temperature Process Equipment Insulation</t>
  </si>
  <si>
    <t>Intermediate Temperature Process Equipment Insulation</t>
  </si>
  <si>
    <t>High Temperature Process Equipment Insulation</t>
  </si>
  <si>
    <t>Process Equipment Insulation for Specialty Applications</t>
  </si>
  <si>
    <t>Process Corrosion Protection</t>
  </si>
  <si>
    <t>Coatings and Wrappings for Process Corrosion Protection</t>
  </si>
  <si>
    <t>Cathodic Process Corrosion Protection</t>
  </si>
  <si>
    <t>Refractories</t>
  </si>
  <si>
    <t>Silica Refractories</t>
  </si>
  <si>
    <t>Alumina Refractories</t>
  </si>
  <si>
    <t>Carbon and Graphite Refractories</t>
  </si>
  <si>
    <t>Castable Refractories</t>
  </si>
  <si>
    <t>Rammed Refractories</t>
  </si>
  <si>
    <t>Refractory Concrete</t>
  </si>
  <si>
    <t>Commissioning of Process Systems</t>
  </si>
  <si>
    <t>Instrumentation and Control for Process Systems</t>
  </si>
  <si>
    <t>Primary Process Measurement Devices</t>
  </si>
  <si>
    <t>Chemical Properties Process Measurement Devices</t>
  </si>
  <si>
    <t>Ammonia Process Measurement Devices</t>
  </si>
  <si>
    <t>Chlorine Process Measurement Devices</t>
  </si>
  <si>
    <t>Fluoride Process Measurement Devices</t>
  </si>
  <si>
    <t>Gas Analysis Process Measurement Devices</t>
  </si>
  <si>
    <t>Gas Chromatograph Process Measurement Devices</t>
  </si>
  <si>
    <t>pH Level Process Measurement Devices</t>
  </si>
  <si>
    <t>Electromagnetic Process Measurement Devices</t>
  </si>
  <si>
    <t>Amperes Process Measurement Devices</t>
  </si>
  <si>
    <t>Capacitance Process Measurement Devices</t>
  </si>
  <si>
    <t>Conductivity Process Measurement Devices</t>
  </si>
  <si>
    <t>Inductance Process Measurement Devices</t>
  </si>
  <si>
    <t>Lumens Process Measurement Devices</t>
  </si>
  <si>
    <t>Magnetic Field Process Measurement Devices</t>
  </si>
  <si>
    <t>Electrical Power Process Measurement Devices</t>
  </si>
  <si>
    <t>Radiation Process Measurement Devices</t>
  </si>
  <si>
    <t>Electrical Resistance Process Measurement Devices</t>
  </si>
  <si>
    <t>Ultraviolet Sensors</t>
  </si>
  <si>
    <t>Voltage Process Measurement Devices</t>
  </si>
  <si>
    <t>Physical Properties Process Measurement Devices</t>
  </si>
  <si>
    <t>Density Process Measurement Devices</t>
  </si>
  <si>
    <t>Humidity Process Measurement Devices</t>
  </si>
  <si>
    <t>Mass Process Measurement Devices</t>
  </si>
  <si>
    <t>Particle Counters Process Measurement Devices</t>
  </si>
  <si>
    <t>Gas Pressure Process Measurement Devices</t>
  </si>
  <si>
    <t>Liquid Pressure Process Measurement Devices</t>
  </si>
  <si>
    <t>Stress/Strain Process Measurement Devices</t>
  </si>
  <si>
    <t>Temperature Process Measurement Devices</t>
  </si>
  <si>
    <t>Vapor Pressure Process Measurement Devices</t>
  </si>
  <si>
    <t>Weight Process Measurement Devices</t>
  </si>
  <si>
    <t>Miscellaneous Properties Measurement Devices</t>
  </si>
  <si>
    <t>Acceleration Process Measurement Devices</t>
  </si>
  <si>
    <t>Angle Process Measurement Devices</t>
  </si>
  <si>
    <t>Color Process Measurement Devices</t>
  </si>
  <si>
    <t>Count Process Measurement Devices</t>
  </si>
  <si>
    <t>Distance Process Measurement Devices</t>
  </si>
  <si>
    <t>Energy Process Measurement Devices</t>
  </si>
  <si>
    <t>Flow Process Measurement Devices</t>
  </si>
  <si>
    <t>Level Process Measurement Devices</t>
  </si>
  <si>
    <t>Physical Resistance Process Measurement Devices</t>
  </si>
  <si>
    <t>RPM Process Measurement Devices</t>
  </si>
  <si>
    <t>Time Process Measurement Devices</t>
  </si>
  <si>
    <t>Turbidity Process Measurement Devices</t>
  </si>
  <si>
    <t>Velocity Process Measurement Devices</t>
  </si>
  <si>
    <t>Primary Control Devices</t>
  </si>
  <si>
    <t>Primary Control Valves</t>
  </si>
  <si>
    <t>Electrically-Operated Primary Control Valves</t>
  </si>
  <si>
    <t>Hydraulically-Operated Primary Control Valves</t>
  </si>
  <si>
    <t>Pneumatically-Operated Primary Control Valves</t>
  </si>
  <si>
    <t>Pressure-Relief Primary Control Valves</t>
  </si>
  <si>
    <t>Solenoid Primary Control Valves</t>
  </si>
  <si>
    <t>Specialty Primary Control Valves</t>
  </si>
  <si>
    <t>Current-To-Pressure Converters</t>
  </si>
  <si>
    <t>Self-Contained Flow Controllers</t>
  </si>
  <si>
    <t>Linear Actuators and Positioners</t>
  </si>
  <si>
    <t>Self-Contained Pressure Regulators</t>
  </si>
  <si>
    <t>Rotary Actuators</t>
  </si>
  <si>
    <t>Saturable Core Reactors</t>
  </si>
  <si>
    <t>Variable Frequency Drives</t>
  </si>
  <si>
    <t>Voltage-To-Pressure Converters</t>
  </si>
  <si>
    <t>Analog Controllers/Recorders</t>
  </si>
  <si>
    <t>Analog Controllers</t>
  </si>
  <si>
    <t>Electronic Analog Controllers</t>
  </si>
  <si>
    <t>Electro-Hydraulic Analog Controllers</t>
  </si>
  <si>
    <t>Electro-Pneumatic Analog Controllers</t>
  </si>
  <si>
    <t>Hydraulic Analog Controllers</t>
  </si>
  <si>
    <t>Pneumatic Analog Controllers</t>
  </si>
  <si>
    <t>Chart Recorders</t>
  </si>
  <si>
    <t>Digital Process Controllers</t>
  </si>
  <si>
    <t>Digital Process Control Computers</t>
  </si>
  <si>
    <t>Host Digital Process Control Computers</t>
  </si>
  <si>
    <t>Personal Digital Process Control Computers</t>
  </si>
  <si>
    <t>Personal Digital Assistant Digital Process Control Computers</t>
  </si>
  <si>
    <t>Distributed Process Control Systems</t>
  </si>
  <si>
    <t>Human – Machine Interfaces</t>
  </si>
  <si>
    <t>Programmable Logic Process Controllers</t>
  </si>
  <si>
    <t>Process Control Hardware</t>
  </si>
  <si>
    <t>Process Control Panels and Hardware</t>
  </si>
  <si>
    <t>Local Process Control Panels and Hardware</t>
  </si>
  <si>
    <t>Main Process Control Panels and Hardware</t>
  </si>
  <si>
    <t>Process Control Display Devices</t>
  </si>
  <si>
    <t>Process Control Input/Output Modules</t>
  </si>
  <si>
    <t>Process Control Instrument Air Piping and Devices</t>
  </si>
  <si>
    <t>Process Control Networks</t>
  </si>
  <si>
    <t>Cabled Process Control Networks</t>
  </si>
  <si>
    <t>Fiber Optic Process Control Networks</t>
  </si>
  <si>
    <t>Wireless Process Control Networks</t>
  </si>
  <si>
    <t>Process Control Hardware Interfaces</t>
  </si>
  <si>
    <t>Process Control Mounting Racks and Supports</t>
  </si>
  <si>
    <t>Process Control Routers</t>
  </si>
  <si>
    <t>Process Control Switches</t>
  </si>
  <si>
    <t>Process Control Transformers</t>
  </si>
  <si>
    <t>Process Control Wireless Equipment</t>
  </si>
  <si>
    <t>Process Control Wireless Transmitters</t>
  </si>
  <si>
    <t>Process Control Wireless Receivers</t>
  </si>
  <si>
    <t>Process Control Wireless Repeaters</t>
  </si>
  <si>
    <t>Process Control Wiring</t>
  </si>
  <si>
    <t>Process Control Cable</t>
  </si>
  <si>
    <t>Process Control Conduit, Raceway and Supports</t>
  </si>
  <si>
    <t>Process Control Junction Boxes</t>
  </si>
  <si>
    <t>Process Control Software</t>
  </si>
  <si>
    <t>Process Control Software Architecture</t>
  </si>
  <si>
    <t>Process Control Software Input/Output Lists</t>
  </si>
  <si>
    <t>Process Control Software Instrument Lists</t>
  </si>
  <si>
    <t>Process Control Software Logic Diagrams</t>
  </si>
  <si>
    <t>Process Control Software Loop Diagrams</t>
  </si>
  <si>
    <t>Process Control Software Programming</t>
  </si>
  <si>
    <t>Process Control Software Reports</t>
  </si>
  <si>
    <t>Process Control Auxiliary Devices</t>
  </si>
  <si>
    <t>Process Control Annunciators</t>
  </si>
  <si>
    <t>Process Control Gages</t>
  </si>
  <si>
    <t>Process Control Rotameters</t>
  </si>
  <si>
    <t>Process Control Potentiometers</t>
  </si>
  <si>
    <t>Process Control Test Equipment</t>
  </si>
  <si>
    <t>Material Processing and Handling Equipment</t>
  </si>
  <si>
    <t>Operation and Maintenance of Material Processing and Handling Equipment</t>
  </si>
  <si>
    <t>Operation and Maintenance of Bulk Material Processing Equipment</t>
  </si>
  <si>
    <t>Operation and Maintenance of Piece Material Handling Equipment</t>
  </si>
  <si>
    <t>Operation and Maintenance of Manufacturing Equipment</t>
  </si>
  <si>
    <t>Operation and Maintenance of Container Processing and Packaging</t>
  </si>
  <si>
    <t>Operation and Maintenance of Material Storage</t>
  </si>
  <si>
    <t>Operation and Maintenance of Mobile Plant Equipment</t>
  </si>
  <si>
    <t>Commissioning of Material Processing and Handling Equipment</t>
  </si>
  <si>
    <t>Commissioning of Bulk Material Processing Equipment</t>
  </si>
  <si>
    <t>Commissioning of Piece Material Handling Equipment</t>
  </si>
  <si>
    <t>Commissioning of Manufacturing Equipment</t>
  </si>
  <si>
    <t>Commissioning of Container Processing and Packaging</t>
  </si>
  <si>
    <t>Commissioning of Material Storage</t>
  </si>
  <si>
    <t>Commissioning of Mobile Plant Equipment</t>
  </si>
  <si>
    <t>Bulk Material Processing Equipment</t>
  </si>
  <si>
    <t>Bulk Material Sizing Equipment</t>
  </si>
  <si>
    <t>Bulk Material Agglomerators</t>
  </si>
  <si>
    <t>Bulk Material Air Mill Classifiers</t>
  </si>
  <si>
    <t>Bulk Material Centrifuges</t>
  </si>
  <si>
    <t>Bulk Material Crushers</t>
  </si>
  <si>
    <t>Bulk Material Cyclones</t>
  </si>
  <si>
    <t>Bulk Material Fluid Bed Separators</t>
  </si>
  <si>
    <t>Bulk Material Grinders</t>
  </si>
  <si>
    <t>Bulk Material Homogenizers</t>
  </si>
  <si>
    <t>Bulk Material Lump Breakers</t>
  </si>
  <si>
    <t>Bulk Material Mills</t>
  </si>
  <si>
    <t>Bulk Material Pulverizers</t>
  </si>
  <si>
    <t>Bulk Material Screens</t>
  </si>
  <si>
    <t>Bulk Material Shredders</t>
  </si>
  <si>
    <t>Bulk Material Sieves</t>
  </si>
  <si>
    <t>Bulk Material Conveying Equipment</t>
  </si>
  <si>
    <t>Bulk Material Conveyors</t>
  </si>
  <si>
    <t>Airslide Bulk Material Conveyors</t>
  </si>
  <si>
    <t>Auger Bulk Material Conveyors</t>
  </si>
  <si>
    <t>Belt Bulk Material Conveyors</t>
  </si>
  <si>
    <t>Container Bulk Material Conveyors</t>
  </si>
  <si>
    <t>Drag Chain Bulk Material Conveyors</t>
  </si>
  <si>
    <t>Hopper Bulk Material Conveyors</t>
  </si>
  <si>
    <t>Reciprocating Bulk Material Conveyors</t>
  </si>
  <si>
    <t>Screw Bulk Material Conveyors</t>
  </si>
  <si>
    <t>Stacking and Reclaim Bulk Material Conveyors</t>
  </si>
  <si>
    <t>Trough Bulk Material Conveyors</t>
  </si>
  <si>
    <t>Tube Bulk Material Conveyors</t>
  </si>
  <si>
    <t>Vibratory Bulk Material Conveyors</t>
  </si>
  <si>
    <t>Weigh Belt Bulk Material Conveyors</t>
  </si>
  <si>
    <t>Bucket Elevators</t>
  </si>
  <si>
    <t>Pneumatic Conveyors</t>
  </si>
  <si>
    <t>Dense Phase Pneumatic Conveyors</t>
  </si>
  <si>
    <t>Dilute Phase Pneumatic Conveyors</t>
  </si>
  <si>
    <t>Bulk Material Feeders</t>
  </si>
  <si>
    <t>Bin Activators/Live Bin Bottoms</t>
  </si>
  <si>
    <t>Feeders</t>
  </si>
  <si>
    <t>Airlock Bulk Material Feeders</t>
  </si>
  <si>
    <t>Apron Bulk Material Feeders</t>
  </si>
  <si>
    <t>Rotary-Valve Bulk Material Feeders</t>
  </si>
  <si>
    <t>Screw Bulk Material Feeders</t>
  </si>
  <si>
    <t>Vibratory Bulk Material Feeders</t>
  </si>
  <si>
    <t>Volumetric Bulk Material Feeders</t>
  </si>
  <si>
    <t>Weigh Bulk Material Feeders</t>
  </si>
  <si>
    <t>Batching Equipment</t>
  </si>
  <si>
    <t>Bag-Handling Batching Equipment</t>
  </si>
  <si>
    <t>Batch Cars/Transports</t>
  </si>
  <si>
    <t>Batch Hoppers</t>
  </si>
  <si>
    <t>Bulk Bag-Handling Batching Equipment</t>
  </si>
  <si>
    <t>Blenders</t>
  </si>
  <si>
    <t>Drum-Handling Batching Equipment</t>
  </si>
  <si>
    <t>Mixers</t>
  </si>
  <si>
    <t>Weigh Scales</t>
  </si>
  <si>
    <t>Piece Material Handling Equipment</t>
  </si>
  <si>
    <t>Automatic Guided Vehicle Systems</t>
  </si>
  <si>
    <t>Piece Material Conveyors</t>
  </si>
  <si>
    <t>Belt Piece Material Conveyors</t>
  </si>
  <si>
    <t>Container Piece Material Conveyors</t>
  </si>
  <si>
    <t>Drag-Chain Piece Material Conveyors</t>
  </si>
  <si>
    <t>Hopper Piece Material Conveyors</t>
  </si>
  <si>
    <t>Monorail Piece Material Conveyors</t>
  </si>
  <si>
    <t>Power and Free Piece Material Conveyors</t>
  </si>
  <si>
    <t>Reciprocating Piece Material Conveyors</t>
  </si>
  <si>
    <t>Roller Piece Material Conveyors</t>
  </si>
  <si>
    <t>Vibratory Piece Material Conveyors</t>
  </si>
  <si>
    <t>Walking-Beam Piece Material Conveyors</t>
  </si>
  <si>
    <t>Weigh-Belt Piece Material Conveyors</t>
  </si>
  <si>
    <t>Postal Conveyors</t>
  </si>
  <si>
    <t>Piece Material Diverter Gates</t>
  </si>
  <si>
    <t>Piece Material Gravity Slides</t>
  </si>
  <si>
    <t>Piece Material Transfer Cars</t>
  </si>
  <si>
    <t>Piece Material Turntables</t>
  </si>
  <si>
    <t>Piece Material Feeders</t>
  </si>
  <si>
    <t>Piece Material Vibratory Feeders</t>
  </si>
  <si>
    <t>Cranes and Hoists</t>
  </si>
  <si>
    <t>Bridge Cranes</t>
  </si>
  <si>
    <t>Gantry Cranes</t>
  </si>
  <si>
    <t>Jib Cranes</t>
  </si>
  <si>
    <t>Mobile Cranes</t>
  </si>
  <si>
    <t>Tower Cranes</t>
  </si>
  <si>
    <t>Specialty Cranes</t>
  </si>
  <si>
    <t>Fixed Hoists</t>
  </si>
  <si>
    <t>Portable Hoists</t>
  </si>
  <si>
    <t>Monorail Hoists</t>
  </si>
  <si>
    <t>Specialty Hoists</t>
  </si>
  <si>
    <t>Lifting Devices</t>
  </si>
  <si>
    <t>Clamps</t>
  </si>
  <si>
    <t>Grabs</t>
  </si>
  <si>
    <t>Hooks</t>
  </si>
  <si>
    <t>Slings</t>
  </si>
  <si>
    <t>Spreader Bars/Beams</t>
  </si>
  <si>
    <t>Tongs</t>
  </si>
  <si>
    <t>Specialty Material Handling Equipment</t>
  </si>
  <si>
    <t>Aeration Devices</t>
  </si>
  <si>
    <t>Bin Vibrators</t>
  </si>
  <si>
    <t>Dehydrators</t>
  </si>
  <si>
    <t>Hydrators</t>
  </si>
  <si>
    <t>Hydraulic Power Systems</t>
  </si>
  <si>
    <t>Lubrication Systems</t>
  </si>
  <si>
    <t>Magnetic Separators</t>
  </si>
  <si>
    <t>Metal Detectors</t>
  </si>
  <si>
    <t>Railcar Movers</t>
  </si>
  <si>
    <t>Turnheads/Distributors</t>
  </si>
  <si>
    <t>Sorting Machines</t>
  </si>
  <si>
    <t>Postal Sorting Machines</t>
  </si>
  <si>
    <t>Manufacturing Equipment</t>
  </si>
  <si>
    <t>Manufacturing Lines and Equipment</t>
  </si>
  <si>
    <t>Manufacturing Lines</t>
  </si>
  <si>
    <t>Assembly Lines</t>
  </si>
  <si>
    <t>Casting Lines</t>
  </si>
  <si>
    <t>Coating Lines</t>
  </si>
  <si>
    <t>Converting Lines</t>
  </si>
  <si>
    <t>Disassembly Lines</t>
  </si>
  <si>
    <t>Extrusion Lines</t>
  </si>
  <si>
    <t>Machining Lines</t>
  </si>
  <si>
    <t>Molding Lines</t>
  </si>
  <si>
    <t>Finishing/Painting Lines</t>
  </si>
  <si>
    <t>Painting Lines</t>
  </si>
  <si>
    <t>Pickling Lines</t>
  </si>
  <si>
    <t>Plating Lines</t>
  </si>
  <si>
    <t>Polishing Lines</t>
  </si>
  <si>
    <t>Press Lines</t>
  </si>
  <si>
    <t>Rolling/Calendaring Lines</t>
  </si>
  <si>
    <t>Web Processing Lines</t>
  </si>
  <si>
    <t>Pick and Place Systems</t>
  </si>
  <si>
    <t>Manufacturing-Line Robots</t>
  </si>
  <si>
    <t>Specialty Assembly Machines</t>
  </si>
  <si>
    <t>Forming Equipment</t>
  </si>
  <si>
    <t>Bending Equipment</t>
  </si>
  <si>
    <t>Blow-Molding Equipment</t>
  </si>
  <si>
    <t>Brake-Forming Equipment</t>
  </si>
  <si>
    <t>Cold-Forming Equipment</t>
  </si>
  <si>
    <t>Die-Casting Equipment</t>
  </si>
  <si>
    <t>Drawing Equipment</t>
  </si>
  <si>
    <t>Electroforming Equipment</t>
  </si>
  <si>
    <t>Forging Equipment</t>
  </si>
  <si>
    <t>Extruding Equipment</t>
  </si>
  <si>
    <t>Metal-Spinning Equipment</t>
  </si>
  <si>
    <t>Piercing Equipment</t>
  </si>
  <si>
    <t>Powder Metal-Forming Equipment</t>
  </si>
  <si>
    <t>Pressing Equipment</t>
  </si>
  <si>
    <t>Roll-Forming Equipment</t>
  </si>
  <si>
    <t>Shearing Equipment</t>
  </si>
  <si>
    <t>Spinning Equipment</t>
  </si>
  <si>
    <t>Stretching/Leveling Equipment</t>
  </si>
  <si>
    <t>Swaging Equipment</t>
  </si>
  <si>
    <t>Machining Equipment</t>
  </si>
  <si>
    <t>Automatic Screw Machining Equipment</t>
  </si>
  <si>
    <t>Boring Equipment</t>
  </si>
  <si>
    <t>Broaching Equipment</t>
  </si>
  <si>
    <t>Drilling Equipment</t>
  </si>
  <si>
    <t>Electro-Discharge Machining Equipment</t>
  </si>
  <si>
    <t>Grinding Equipment</t>
  </si>
  <si>
    <t>Hobbing Equipment</t>
  </si>
  <si>
    <t>Lapping Equipment</t>
  </si>
  <si>
    <t>Lathe Equipment</t>
  </si>
  <si>
    <t>Leveling Equipment</t>
  </si>
  <si>
    <t>Machining Center Equipment</t>
  </si>
  <si>
    <t>Milling Equipment</t>
  </si>
  <si>
    <t>Horizontal Milling Equipment</t>
  </si>
  <si>
    <t>Vertical Milling Equipment</t>
  </si>
  <si>
    <t>Multi-Axis Machine Equipment</t>
  </si>
  <si>
    <t>Planing Equipment</t>
  </si>
  <si>
    <t>Reaming Equipment</t>
  </si>
  <si>
    <t>Routing Equipment</t>
  </si>
  <si>
    <t>Sawing Equipment</t>
  </si>
  <si>
    <t>Shaping Equipment</t>
  </si>
  <si>
    <t>Threading Equipment</t>
  </si>
  <si>
    <t>Anodizing Equipment</t>
  </si>
  <si>
    <t>Barrel Tumbling Equipment</t>
  </si>
  <si>
    <t>Coating Equipment</t>
  </si>
  <si>
    <t>Diffusion Coating Equipment</t>
  </si>
  <si>
    <t>Dipping Coating Equipment</t>
  </si>
  <si>
    <t>Film Coating Equipment</t>
  </si>
  <si>
    <t>Phosphatizing Coating Equipment</t>
  </si>
  <si>
    <t>Plasma Coating Equipment</t>
  </si>
  <si>
    <t>Hardface Welding Coating Equipment</t>
  </si>
  <si>
    <t>Spray Painting Booth</t>
  </si>
  <si>
    <t>Deburring Equipment</t>
  </si>
  <si>
    <t>Electroplating Equipment</t>
  </si>
  <si>
    <t>Honing Equipment</t>
  </si>
  <si>
    <t>Shot Peening Equipment</t>
  </si>
  <si>
    <t>Superfinishing/Polishing Equipment</t>
  </si>
  <si>
    <t>Dies and Molds</t>
  </si>
  <si>
    <t>Dies</t>
  </si>
  <si>
    <t>Drawing Dies</t>
  </si>
  <si>
    <t>Extrusion Dies</t>
  </si>
  <si>
    <t>Press Dies</t>
  </si>
  <si>
    <t>Rotary Dies</t>
  </si>
  <si>
    <t>Rule Dies</t>
  </si>
  <si>
    <t>Molds</t>
  </si>
  <si>
    <t>Assembly and Testing Equipment</t>
  </si>
  <si>
    <t>Applicators</t>
  </si>
  <si>
    <t>Adhesive Applicators</t>
  </si>
  <si>
    <t>Lubricant Applicators</t>
  </si>
  <si>
    <t>Sealer Applicators</t>
  </si>
  <si>
    <t>Fixtures and Jigs</t>
  </si>
  <si>
    <t>Joining Equipment</t>
  </si>
  <si>
    <t>Adhesive Joining Equipment</t>
  </si>
  <si>
    <t>Arc-Welding Equipment</t>
  </si>
  <si>
    <t>Brazing Equipment</t>
  </si>
  <si>
    <t>Resistance-Welding Equipment</t>
  </si>
  <si>
    <t>Riveting Equipment</t>
  </si>
  <si>
    <t>Sintering Equipment</t>
  </si>
  <si>
    <t>Soldering Equipment</t>
  </si>
  <si>
    <t>Cutting Equipment</t>
  </si>
  <si>
    <t>Cutting Torches</t>
  </si>
  <si>
    <t>High-Pressure Water Cutting Equipment</t>
  </si>
  <si>
    <t>Laser Cutting Equipment</t>
  </si>
  <si>
    <t>Plasma Cutting Equipment</t>
  </si>
  <si>
    <t>Process Tools</t>
  </si>
  <si>
    <t>Air Process Tools</t>
  </si>
  <si>
    <t>Electric Process Tools</t>
  </si>
  <si>
    <t>Hydraulic Process Tools</t>
  </si>
  <si>
    <t>Manual Process Tools</t>
  </si>
  <si>
    <t>Manufacturing Measurement and Testing Equipment</t>
  </si>
  <si>
    <t>Gages, Rules, and Blocks</t>
  </si>
  <si>
    <t>Penetrant Measurement and Testing Equipment</t>
  </si>
  <si>
    <t>Laser Measurement and Testing Equipment</t>
  </si>
  <si>
    <t>Magnaflux Measurement and Testing Equipment</t>
  </si>
  <si>
    <t>Optical Comparators</t>
  </si>
  <si>
    <t>Profilometers</t>
  </si>
  <si>
    <t>Radiograph Measurement and Testing Equipment</t>
  </si>
  <si>
    <t>Surface Tables</t>
  </si>
  <si>
    <t>Ultrasonic Measurement and Testing Equipment</t>
  </si>
  <si>
    <t>Test Weigh Scales</t>
  </si>
  <si>
    <t>Container Processing and Packaging</t>
  </si>
  <si>
    <t>Container Filling and Sealing</t>
  </si>
  <si>
    <t>Bulk Container Fillers/Packers</t>
  </si>
  <si>
    <t>Container Cappers</t>
  </si>
  <si>
    <t>Container Fillers</t>
  </si>
  <si>
    <t>Bag Fillers</t>
  </si>
  <si>
    <t>Box Fillers</t>
  </si>
  <si>
    <t>Bottle Fillers</t>
  </si>
  <si>
    <t>Container Sealers</t>
  </si>
  <si>
    <t>Container Packing Equipment</t>
  </si>
  <si>
    <t>Box Packing Equipment</t>
  </si>
  <si>
    <t>Box Makers</t>
  </si>
  <si>
    <t>Box Packers</t>
  </si>
  <si>
    <t>Bulk Material Loaders</t>
  </si>
  <si>
    <t>Container Bulk Material Loaders</t>
  </si>
  <si>
    <t>Truck Bulk Material Loaders</t>
  </si>
  <si>
    <t>Railcar Bulk Material Loaders</t>
  </si>
  <si>
    <t>Ship Bulk Material Loaders</t>
  </si>
  <si>
    <t>Barge Bulk Material Loaders</t>
  </si>
  <si>
    <t>Carton Packers</t>
  </si>
  <si>
    <t>Carton Sealers</t>
  </si>
  <si>
    <t>Carton Shrink Wrappers</t>
  </si>
  <si>
    <t>Carton Stackers</t>
  </si>
  <si>
    <t>Shipping Packaging</t>
  </si>
  <si>
    <t>Banding/Strapping Equipment</t>
  </si>
  <si>
    <t>Barcode Equipment</t>
  </si>
  <si>
    <t>Barcode Readers</t>
  </si>
  <si>
    <t>Barcode Printers</t>
  </si>
  <si>
    <t>Labeling Equipment</t>
  </si>
  <si>
    <t>Pallet Stacking/Wrapping Equipment</t>
  </si>
  <si>
    <t>Material Storage</t>
  </si>
  <si>
    <t>Automatic Material Storage</t>
  </si>
  <si>
    <t>Automatic Storage/Automatic Retrieval Systems</t>
  </si>
  <si>
    <t>Bulk Material Storage</t>
  </si>
  <si>
    <t>Bins and Hoppers</t>
  </si>
  <si>
    <t>Fixed Bins and Hoppers</t>
  </si>
  <si>
    <t>Portable Bins and Hoppers</t>
  </si>
  <si>
    <t>Bulk Material Containers</t>
  </si>
  <si>
    <t>Returnable Bins and Hoppers</t>
  </si>
  <si>
    <t>Throwaway Bins and Hoppers</t>
  </si>
  <si>
    <t>Silos</t>
  </si>
  <si>
    <t>Concrete Silos</t>
  </si>
  <si>
    <t>Concrete Masonry Unit Silos</t>
  </si>
  <si>
    <t>Steel Silos</t>
  </si>
  <si>
    <t>Material Storage Tanks</t>
  </si>
  <si>
    <t>Horizontal Material Storage Tanks</t>
  </si>
  <si>
    <t>Vertical Material Storage Tanks</t>
  </si>
  <si>
    <t>Portable Material Storage Tanks</t>
  </si>
  <si>
    <t>Storage Equipment and Systems</t>
  </si>
  <si>
    <t>Storage Cabinets</t>
  </si>
  <si>
    <t>Container Storage Systems</t>
  </si>
  <si>
    <t>Flat Files</t>
  </si>
  <si>
    <t>Mobile Storage Racks</t>
  </si>
  <si>
    <t>Mezzanine Storage Systems</t>
  </si>
  <si>
    <t>Mobile Plant Equipment</t>
  </si>
  <si>
    <t>Mobile Earth Moving Equipment</t>
  </si>
  <si>
    <t>Backhoes</t>
  </si>
  <si>
    <t>Bulldozers</t>
  </si>
  <si>
    <t>Compactors</t>
  </si>
  <si>
    <t>Excavators</t>
  </si>
  <si>
    <t>Graders</t>
  </si>
  <si>
    <t>Payloaders</t>
  </si>
  <si>
    <t>Trenchers</t>
  </si>
  <si>
    <t>Trucks</t>
  </si>
  <si>
    <t>Cement Mixer Trucks</t>
  </si>
  <si>
    <t>Dump Trucks</t>
  </si>
  <si>
    <t>Flatbed Trucks</t>
  </si>
  <si>
    <t>Forklift Trucks</t>
  </si>
  <si>
    <t>Pickup Trucks</t>
  </si>
  <si>
    <t>Tank Trucks</t>
  </si>
  <si>
    <t>General Vehicles</t>
  </si>
  <si>
    <t>Bicycles</t>
  </si>
  <si>
    <t>Carts</t>
  </si>
  <si>
    <t>Maintenance Vehicles</t>
  </si>
  <si>
    <t>Utility Vehicles</t>
  </si>
  <si>
    <t>Vans</t>
  </si>
  <si>
    <t>Wagons</t>
  </si>
  <si>
    <t>Rail Vehicles</t>
  </si>
  <si>
    <t>Locomotives</t>
  </si>
  <si>
    <t>Diesel Locomotives</t>
  </si>
  <si>
    <t>Electric Locomotives</t>
  </si>
  <si>
    <t>Mobile Railcar Movers</t>
  </si>
  <si>
    <t>Mobile Support Equipment</t>
  </si>
  <si>
    <t>Mobile Air Compressors</t>
  </si>
  <si>
    <t>Mobile Generators</t>
  </si>
  <si>
    <t>Mobile Welders</t>
  </si>
  <si>
    <t>Miscellaneous Mobile Equipment</t>
  </si>
  <si>
    <t>Mobile Boring and Drilling Rigs</t>
  </si>
  <si>
    <t>Mobile Lifts and Cherrypickers</t>
  </si>
  <si>
    <t>Mobile Paving Equipment</t>
  </si>
  <si>
    <t>Mobile Sweepers/Vacuums</t>
  </si>
  <si>
    <t>Plant Maintenance Equipment</t>
  </si>
  <si>
    <t>Plant Lube Oil System</t>
  </si>
  <si>
    <t>Plant Fall Protection Equipment</t>
  </si>
  <si>
    <t>Plant Safety Equipment</t>
  </si>
  <si>
    <t>Plant Maintenance Tools</t>
  </si>
  <si>
    <t>Plant Maintenance Washing Equipment</t>
  </si>
  <si>
    <t>Process Heating, Cooling, and Drying Equipment</t>
  </si>
  <si>
    <t>Operation and Maintenance of Process Heating, Cooling, and Drying Equipment</t>
  </si>
  <si>
    <t>Operation and Maintenance of Process Heating Equipment</t>
  </si>
  <si>
    <t>Operation and Maintenance of Process Cooling Equipment</t>
  </si>
  <si>
    <t>Operation and Maintenance of Process Drying Equipment</t>
  </si>
  <si>
    <t>Commissioning of Process Heating, Cooling, and Drying Equipment</t>
  </si>
  <si>
    <t>Commissioning of Heating Equipment</t>
  </si>
  <si>
    <t>Commissioning of Cooling Equipment</t>
  </si>
  <si>
    <t>Commissioning of Drying Equipment</t>
  </si>
  <si>
    <t>Process Heating Equipment</t>
  </si>
  <si>
    <t>Process Boilers</t>
  </si>
  <si>
    <t>Low-Pressure Process Boilers</t>
  </si>
  <si>
    <t>Intermediate-Pressure Process Boilers</t>
  </si>
  <si>
    <t>High-Pressure Process Boilers</t>
  </si>
  <si>
    <t>Specialty Process Boilers</t>
  </si>
  <si>
    <t>Process Heaters</t>
  </si>
  <si>
    <t>Electric Process Heaters</t>
  </si>
  <si>
    <t>Fuel-Fired Process Heaters</t>
  </si>
  <si>
    <t>Thermoelectric Process Heaters</t>
  </si>
  <si>
    <t>Solar Process Heaters</t>
  </si>
  <si>
    <t>Specialty Process Heaters</t>
  </si>
  <si>
    <t>Industrial Heat Exchangers and Recuperators</t>
  </si>
  <si>
    <t>Industrial Gas-to-Gas Heat Exchangers</t>
  </si>
  <si>
    <t>Industrial Liquid-to-Gas/Gas-to-Liquid Heat Exchangers</t>
  </si>
  <si>
    <t>Industrial Liquid-to-Liquid Heat Exchangers</t>
  </si>
  <si>
    <t>Industrial Gas Radiation Heat Exchangers</t>
  </si>
  <si>
    <t>Industrial Solar Radiation Heat Exchangers</t>
  </si>
  <si>
    <t>Industrial Furnaces</t>
  </si>
  <si>
    <t>Annealing Furnaces</t>
  </si>
  <si>
    <t>Atmosphere Generators</t>
  </si>
  <si>
    <t>Industrial Baking Furnaces</t>
  </si>
  <si>
    <t>Industrial Brazing Furnaces</t>
  </si>
  <si>
    <t>Industrial Calcining Furnaces</t>
  </si>
  <si>
    <t>Industrial Heat-Treating Furnaces</t>
  </si>
  <si>
    <t>Industrial Melting Furnaces</t>
  </si>
  <si>
    <t>Ceramics and Glass Melting Furnaces</t>
  </si>
  <si>
    <t>Ferrous Melting Furnaces</t>
  </si>
  <si>
    <t>Non-Ferrous Melting Furnaces</t>
  </si>
  <si>
    <t>Primary Refining Furnaces</t>
  </si>
  <si>
    <t>Reactor Furnaces</t>
  </si>
  <si>
    <t>Industrial Reheat Furnaces</t>
  </si>
  <si>
    <t>Industrial Sintering Furnaces</t>
  </si>
  <si>
    <t>Industrial Vacuum Furnaces</t>
  </si>
  <si>
    <t>Industrial Ovens</t>
  </si>
  <si>
    <t>Industrial Drying Ovens</t>
  </si>
  <si>
    <t>Industrial Curing Ovens</t>
  </si>
  <si>
    <t>Industrial Specialty Ovens</t>
  </si>
  <si>
    <t>Process Cooling Equipment</t>
  </si>
  <si>
    <t>Process Cooling Towers</t>
  </si>
  <si>
    <t>Open-Circuit Process Cooling Towers</t>
  </si>
  <si>
    <t>Closed-Circuit Process Cooling Towers</t>
  </si>
  <si>
    <t>Process Chillers and Coolers</t>
  </si>
  <si>
    <t>Centrifugal Process Chillers and Coolers</t>
  </si>
  <si>
    <t>Reciprocating Process Chillers and Coolers</t>
  </si>
  <si>
    <t>Refrigerant Process Chillers and Coolers</t>
  </si>
  <si>
    <t>Rotary Process Chillers and Coolers</t>
  </si>
  <si>
    <t>Thermoelectric Process Chillers and Coolers</t>
  </si>
  <si>
    <t>Process Condensers and Evaporators</t>
  </si>
  <si>
    <t>Process Condensers</t>
  </si>
  <si>
    <t>Process Cooling Evaporators</t>
  </si>
  <si>
    <t>Process Humidifiers</t>
  </si>
  <si>
    <t>Process Drying Equipment</t>
  </si>
  <si>
    <t>Gas Dryers and Dehumidifiers</t>
  </si>
  <si>
    <t>Drying Evaporators</t>
  </si>
  <si>
    <t>Desiccant Equipment</t>
  </si>
  <si>
    <t>Regenerative Dryers</t>
  </si>
  <si>
    <t>Refrigerant Dryers</t>
  </si>
  <si>
    <t>Material Dryers</t>
  </si>
  <si>
    <t>Centrifugal Material Dryers</t>
  </si>
  <si>
    <t>Conveyor Material Dryers</t>
  </si>
  <si>
    <t>Flash Material Dryers</t>
  </si>
  <si>
    <t>Fluid-Bed Material Dryers</t>
  </si>
  <si>
    <t>Material Roasters</t>
  </si>
  <si>
    <t>Rotary-Kiln Material Dryers</t>
  </si>
  <si>
    <t>Spray Material Dryers</t>
  </si>
  <si>
    <t>Tower Material Dryers</t>
  </si>
  <si>
    <t>Vacuum Material Dryers</t>
  </si>
  <si>
    <t>Specialty Material Dryers</t>
  </si>
  <si>
    <t>Process Gas and Liquid Handling, Purification, and Storage Equipment</t>
  </si>
  <si>
    <t>Operation and Maintenance of Process Gas and Liquid Handling, Purification, and Storage Equipment</t>
  </si>
  <si>
    <t>Operation and Maintenance of Gas Handling Equipment</t>
  </si>
  <si>
    <t>Gas Blowers Maintenance and Rehabilitation</t>
  </si>
  <si>
    <t>Gas Compressors Maintenance and Rehabilitation</t>
  </si>
  <si>
    <t>Operation and Maintenance of Liquid Handling Equipment</t>
  </si>
  <si>
    <t>Liquid Pumps Maintenance and Rehabilitation</t>
  </si>
  <si>
    <t>Liquid Process Equipment Maintenance and Rehabilitation</t>
  </si>
  <si>
    <t>Operation and Maintenance of Gas and Liquid Hi-Purification Equipment</t>
  </si>
  <si>
    <t>Operation and Maintenance of Gas and Liquid Storage</t>
  </si>
  <si>
    <t>Non-pressurized Tanks Cleaning, Maintenance, and Rehabilitation</t>
  </si>
  <si>
    <t>Pressurized Tanks Cleaning, Maintenance, and Rehabilitation</t>
  </si>
  <si>
    <t>Common Work Results for Process Gas and Liquid Handling, Purification and Storage</t>
  </si>
  <si>
    <t>Common Work Results for Gas Handling Equipment</t>
  </si>
  <si>
    <t>Common Work Results for Liquid Handling Equipment</t>
  </si>
  <si>
    <t>Common Work Results for Liquid Hi-Purification Equipment</t>
  </si>
  <si>
    <t>Common Work Results for Gas and Liquid Storage</t>
  </si>
  <si>
    <t>Commissioning of Process Gas and Liquid Handling, Purification, and Storage Equipment</t>
  </si>
  <si>
    <t>Commissioning of Gas Handling Equipment</t>
  </si>
  <si>
    <t>Commissioning of Liquid Handling Equipment</t>
  </si>
  <si>
    <t>Commissioning of Gas and Liquid Purification Equipment</t>
  </si>
  <si>
    <t>Commissioning of Gas and Liquid Storage</t>
  </si>
  <si>
    <t>Gas Handling Equipment</t>
  </si>
  <si>
    <t>Gas Fans, Blowers, Pumps, and Boosters</t>
  </si>
  <si>
    <t>Direct Drive Single Stage Centrifugal Blowers</t>
  </si>
  <si>
    <t>Integrally Geared Single Stage Centrifugal Blowers</t>
  </si>
  <si>
    <t>Separately Geared Single Stage Centrifugal Blowers</t>
  </si>
  <si>
    <t>Direct Drive Integral Shaft Single Stage Centrifugal Blowers</t>
  </si>
  <si>
    <t>Horizontally Split Multistage Centrifugal Blowers</t>
  </si>
  <si>
    <t>Vertically Split Multistage Centrifugal Blowers</t>
  </si>
  <si>
    <t>Centrifugal Fans</t>
  </si>
  <si>
    <t>Axial Blowers</t>
  </si>
  <si>
    <t>Axial Fans</t>
  </si>
  <si>
    <t>Rotary Helical Screw Blowers</t>
  </si>
  <si>
    <t>Rotary Lobe Blowers</t>
  </si>
  <si>
    <t>Regenerative Rotary Blowers</t>
  </si>
  <si>
    <t>Rotary Vane Blowers</t>
  </si>
  <si>
    <t>Gas-handling Venturi Jet Pumps</t>
  </si>
  <si>
    <t>Gas-handling Vacuum Pumps</t>
  </si>
  <si>
    <t>Gas Boosters</t>
  </si>
  <si>
    <t>Gas Compressors</t>
  </si>
  <si>
    <t>Centrifugal Compressors</t>
  </si>
  <si>
    <t>Diagonal or Mixed-Flow Compressors</t>
  </si>
  <si>
    <t>Axial-flow Compressors</t>
  </si>
  <si>
    <t>Single-acting Reciprocating Compressors</t>
  </si>
  <si>
    <t>Double-acting Reciprocating Compressors</t>
  </si>
  <si>
    <t>Diaphragm Reciprocating Compressors</t>
  </si>
  <si>
    <t>Rotary Screw Compressors</t>
  </si>
  <si>
    <t>Rotary Vane Compressors</t>
  </si>
  <si>
    <t>Rotary Liquid-ring Compressors</t>
  </si>
  <si>
    <t>Rotary Scroll Compressors</t>
  </si>
  <si>
    <t>Gas Process Equipment</t>
  </si>
  <si>
    <t>Gas Blenders</t>
  </si>
  <si>
    <t>Gas Mixers</t>
  </si>
  <si>
    <t>Gas Pressure Regulators</t>
  </si>
  <si>
    <t>Gas Separation Equipment</t>
  </si>
  <si>
    <t>Gas Dehydration Equipment</t>
  </si>
  <si>
    <t>Combined Gas Separation and Dehydration Equipment</t>
  </si>
  <si>
    <t>Gas Recovery and Condensing Equipment</t>
  </si>
  <si>
    <t>Waste Gas Burner System</t>
  </si>
  <si>
    <t>Gas Control and Safety Equipment</t>
  </si>
  <si>
    <t>Process Air and Gas Filters</t>
  </si>
  <si>
    <t>Blower Intake and Turbine Air Filters</t>
  </si>
  <si>
    <t>Static Prefilters</t>
  </si>
  <si>
    <t>Static Final Filters</t>
  </si>
  <si>
    <t>Static HEPA Filters</t>
  </si>
  <si>
    <t>Pulse Filters</t>
  </si>
  <si>
    <t>Grease Filters</t>
  </si>
  <si>
    <t>Mist Eliminators</t>
  </si>
  <si>
    <t>High-temperature Air Filters</t>
  </si>
  <si>
    <t>Multiple-application Air Filters</t>
  </si>
  <si>
    <t>Air Filter Media</t>
  </si>
  <si>
    <t>Permanent Washable Filters</t>
  </si>
  <si>
    <t>Poly-ring Air Filters</t>
  </si>
  <si>
    <t>Rigid Cell Filters</t>
  </si>
  <si>
    <t>Automatic Roll-type Air Filters</t>
  </si>
  <si>
    <t>Chemical Media for Air and Gas Filters</t>
  </si>
  <si>
    <t>Liquid Handling Equipment</t>
  </si>
  <si>
    <t>Liquid Pumps</t>
  </si>
  <si>
    <t>Centrifugal Liquid Pumps</t>
  </si>
  <si>
    <t>Diaphragm Liquid Pumps</t>
  </si>
  <si>
    <t>Dispensing Liquid Pumps</t>
  </si>
  <si>
    <t>Drum Liquid Pumps</t>
  </si>
  <si>
    <t>Gear Liquid Pumps</t>
  </si>
  <si>
    <t>Metering Liquid Pumps</t>
  </si>
  <si>
    <t>Piston/Plunger Liquid Pumps</t>
  </si>
  <si>
    <t>Positive Displacement Liquid Pumps</t>
  </si>
  <si>
    <t>Submersible Liquid Pumps</t>
  </si>
  <si>
    <t>Sump Liquid Pumps</t>
  </si>
  <si>
    <t>Vane Liquid Pumps</t>
  </si>
  <si>
    <t>Liquid Process Equipment</t>
  </si>
  <si>
    <t>Liquid Aeration Devices</t>
  </si>
  <si>
    <t>Liquid Agitators</t>
  </si>
  <si>
    <t>Liquid Blenders</t>
  </si>
  <si>
    <t>Liquid Centrifuges</t>
  </si>
  <si>
    <t>Liquid Deaerators</t>
  </si>
  <si>
    <t>Drum Handling Liquid Process Equipment</t>
  </si>
  <si>
    <t>Liquid Emulsifiers</t>
  </si>
  <si>
    <t>Liquid Evaporators</t>
  </si>
  <si>
    <t>Liquid Feeders</t>
  </si>
  <si>
    <t>Liquid Process Mixers</t>
  </si>
  <si>
    <t>Liquid Process Pressure Regulators</t>
  </si>
  <si>
    <t>Liquid Separation Towers</t>
  </si>
  <si>
    <t>Liquid Weigh Systems</t>
  </si>
  <si>
    <t>Liquid Grease Receiving and Dewatering Systems</t>
  </si>
  <si>
    <t>Liquid Fillers</t>
  </si>
  <si>
    <t>Liquid Screeners</t>
  </si>
  <si>
    <t>Liquid Clarifiers</t>
  </si>
  <si>
    <t>Liquid Classifiers</t>
  </si>
  <si>
    <t>Liquid Homogenizers</t>
  </si>
  <si>
    <t>Liquid Presses</t>
  </si>
  <si>
    <t>Liquid Versators</t>
  </si>
  <si>
    <t>Liquid Votators</t>
  </si>
  <si>
    <t>Process Liquid Filters</t>
  </si>
  <si>
    <t>Disc Liquid Filters</t>
  </si>
  <si>
    <t>Rotating Drum Liquid Filters</t>
  </si>
  <si>
    <t>Layer Liquid Filters</t>
  </si>
  <si>
    <t>Candle Liquid Filters</t>
  </si>
  <si>
    <t>Vertical Leaf Liquid Filters</t>
  </si>
  <si>
    <t>Surface Liquid Filters</t>
  </si>
  <si>
    <t>Depth Liquid Filters</t>
  </si>
  <si>
    <t>Cyclonic Liquid Filters</t>
  </si>
  <si>
    <t>Centrifugal Horizontal Pressure Leaf Liquid Filters</t>
  </si>
  <si>
    <t>Press Liquid Filters</t>
  </si>
  <si>
    <t>Liquid Bag Filters</t>
  </si>
  <si>
    <t>Mechanically Cleaned Liquid Filters</t>
  </si>
  <si>
    <t>Tubular Backwashing Liquid Filters</t>
  </si>
  <si>
    <t>Vacuum Belt Liquid Filters</t>
  </si>
  <si>
    <t>Woven Media Liquid Filters</t>
  </si>
  <si>
    <t>Nonwoven Media Liquid Filters</t>
  </si>
  <si>
    <t>Gas and Liquid Purification Equipment</t>
  </si>
  <si>
    <t>Gas and Liquid Purification Filtration Equipment</t>
  </si>
  <si>
    <t>Gas and Liquid Purification Filters</t>
  </si>
  <si>
    <t>Activated Carbon-Gas and Liquid Purification Filters</t>
  </si>
  <si>
    <t>Gas and Liquid Purification Filter Presses</t>
  </si>
  <si>
    <t>High-Purity Cartridge Gas and Liquid Purification Filters</t>
  </si>
  <si>
    <t>Membrane Diaphragm Gas and Liquid Purification Filters</t>
  </si>
  <si>
    <t>Multimedia Gas and Liquid Purification Filters</t>
  </si>
  <si>
    <t>Pretreatment Cartridge Gas and Liquid Purification Filters</t>
  </si>
  <si>
    <t>Ultrafilter Units</t>
  </si>
  <si>
    <t>Gas and Liquid Purification Process Equipment</t>
  </si>
  <si>
    <t>Gas and Liquid Purification Process Beds</t>
  </si>
  <si>
    <t>Anion-Gas and Liquid Purification Process Beds</t>
  </si>
  <si>
    <t>Cation-Gas and Liquid Purification Process Beds</t>
  </si>
  <si>
    <t>Gas and Liquid Purification Process Clarifier Systems</t>
  </si>
  <si>
    <t>Gas and Liquid Purification Decarbonators</t>
  </si>
  <si>
    <t>Electronic De-Ionization Purification Units</t>
  </si>
  <si>
    <t>External Regeneration Systems</t>
  </si>
  <si>
    <t>Mixed-Bed Ion-Exchange Vessels</t>
  </si>
  <si>
    <t>Gas and Liquid Purification Mixed Beds</t>
  </si>
  <si>
    <t>Externally Regenerable Gas and Liquid Purification Mixed Beds</t>
  </si>
  <si>
    <t>In-Situ Regenerable Gas and Liquid Purification Mixed Beds</t>
  </si>
  <si>
    <t>Packed-Bed Ion-Exchange Vessels</t>
  </si>
  <si>
    <t>Reverse-Osmosis Purification Units</t>
  </si>
  <si>
    <t>Gas and Liquid Purification Scrubbers</t>
  </si>
  <si>
    <t>Ultraviolet Sterilizers</t>
  </si>
  <si>
    <t>Vacuum Degasifiers</t>
  </si>
  <si>
    <t>Chemical Feed Systems</t>
  </si>
  <si>
    <t>Ozonation Equipment</t>
  </si>
  <si>
    <t>Chlorination Equipment</t>
  </si>
  <si>
    <t>Gas and Liquid Storage</t>
  </si>
  <si>
    <t>Non-pressurized Tanks and Vessels</t>
  </si>
  <si>
    <t>Bolted Steel Tanks</t>
  </si>
  <si>
    <t>Welded Steel Tanks</t>
  </si>
  <si>
    <t>Glass-lined Welded Steel Tanks</t>
  </si>
  <si>
    <t>Rubber-lined Welded Steel Tanks</t>
  </si>
  <si>
    <t>Epoxy-lined Welded Steel Tanks</t>
  </si>
  <si>
    <t>Ceramic-lined Welded Steel Tanks</t>
  </si>
  <si>
    <t>Stainless Steel Tanks</t>
  </si>
  <si>
    <t>Aluminum Tanks</t>
  </si>
  <si>
    <t>Metallic Specialty Tanks</t>
  </si>
  <si>
    <t>Polyvinyl Chloride Tanks</t>
  </si>
  <si>
    <t>Polyethylene Tanks</t>
  </si>
  <si>
    <t>Fiberglass Reinforced Plastic Tanks</t>
  </si>
  <si>
    <t>Wood Stave Tanks</t>
  </si>
  <si>
    <t>Precast Concrete Tanks</t>
  </si>
  <si>
    <t>Ceramic Tanks</t>
  </si>
  <si>
    <t>Non-metallic Specialty Tanks</t>
  </si>
  <si>
    <t>Pressurized Tanks and Vessels</t>
  </si>
  <si>
    <t>Cast Iron Pressure Tank</t>
  </si>
  <si>
    <t>Ductile Iron Pressure Tanks</t>
  </si>
  <si>
    <t>Welded Steel Pressure Tanks</t>
  </si>
  <si>
    <t>Glass-lined Steel Pressure Tanks</t>
  </si>
  <si>
    <t>Welded Steel Gas Storage Sphere</t>
  </si>
  <si>
    <t>Stainless Steel Pressure Tanks</t>
  </si>
  <si>
    <t>Aluminum Pressure Tanks</t>
  </si>
  <si>
    <t>Metallic Specialty Pressure Tanks</t>
  </si>
  <si>
    <t>Fiberglass Reinforced Plastic Pressure Tanks</t>
  </si>
  <si>
    <t>Non-metallic Specialty Pressure Tanks</t>
  </si>
  <si>
    <t>Pollution and Waste Control Equipment</t>
  </si>
  <si>
    <t>Operation and Maintenance of Pollution and Waste Control Equipment</t>
  </si>
  <si>
    <t>Operation and Maintenance of Air Pollution Control</t>
  </si>
  <si>
    <t>Operation and Maintenance of Noise Pollution Control</t>
  </si>
  <si>
    <t>Operation and Maintenance of Odor Control Equipment</t>
  </si>
  <si>
    <t>Operation and Maintenance of Water Pollution Control Equipment</t>
  </si>
  <si>
    <t>Operation and Maintenance of Solid Waste Control and Reuse</t>
  </si>
  <si>
    <t>Operation and Maintenance of Waste Thermal Processing Equipment</t>
  </si>
  <si>
    <t>Common Work Results for Pollution and Waste Control Equipment</t>
  </si>
  <si>
    <t>Commissioning of Pollution and Waste Control Equipment</t>
  </si>
  <si>
    <t>Commissioning of Air Pollution Control</t>
  </si>
  <si>
    <t>Commissioning of Noise Pollution Control</t>
  </si>
  <si>
    <t>Commissioning of Odor Control Equipment</t>
  </si>
  <si>
    <t>Commissioning Water Pollution Control Equipment</t>
  </si>
  <si>
    <t>Commissioning Solid Waste Control and Reuse</t>
  </si>
  <si>
    <t>Commissioning of Waste Thermal Processing Equipment</t>
  </si>
  <si>
    <t>Air Pollution Control</t>
  </si>
  <si>
    <t>Particulate Control Equipment</t>
  </si>
  <si>
    <t>Fugitive Dust Control</t>
  </si>
  <si>
    <t>Fugitive Dust Barrier Systems</t>
  </si>
  <si>
    <t>Atmospheric Air Quality Monitoring Equipment</t>
  </si>
  <si>
    <t>Gravitational Separators</t>
  </si>
  <si>
    <t>Venturi Scrubbing Equipment</t>
  </si>
  <si>
    <t>Spray Tower/Chamber Scrubbing Equipment</t>
  </si>
  <si>
    <t>Cyclone Scrubbing Equipment</t>
  </si>
  <si>
    <t>Pulse Jet Fabric Filtration Equipment</t>
  </si>
  <si>
    <t>Reverse Flow Fabric Filtration Equipment</t>
  </si>
  <si>
    <t>Shake/Deflate Fabric Filtration Equipment</t>
  </si>
  <si>
    <t>Cartridge Filtration Equipment</t>
  </si>
  <si>
    <t>Disposable Dry Filtration Equipment</t>
  </si>
  <si>
    <t>Cyclone Dust Collection Equipment</t>
  </si>
  <si>
    <t>Multicylone Dust Collection Equipment</t>
  </si>
  <si>
    <t>Mist Elimination Equipment</t>
  </si>
  <si>
    <t>Wet Electrostatic Precipitator Equipment</t>
  </si>
  <si>
    <t>Dry Plate Electrostatic Precipitator Equipment</t>
  </si>
  <si>
    <t>Gaseous Air Pollution Control Equipment</t>
  </si>
  <si>
    <t>Spray Tower/Chamber Absorption Equipment</t>
  </si>
  <si>
    <t>Packed Tower/Chamber Absorption Equipment</t>
  </si>
  <si>
    <t>Tray Tower Absorption Equipment</t>
  </si>
  <si>
    <t>Jet Bubbling Reactor Equipment</t>
  </si>
  <si>
    <t>Venturi Absorption Equipment</t>
  </si>
  <si>
    <t>Vacuum Extraction Systems</t>
  </si>
  <si>
    <t>Powdered Injection Adsorption Equipment</t>
  </si>
  <si>
    <t>Fluidized Bed Adsorption Equipment</t>
  </si>
  <si>
    <t>Fixed Bed Adsorption Equipment</t>
  </si>
  <si>
    <t>Rotary Bed Adsorption Equipment</t>
  </si>
  <si>
    <t>Radial Bed Adsorption Equipment</t>
  </si>
  <si>
    <t>Thermal Oxidation Equipment</t>
  </si>
  <si>
    <t>Catalytic Oxidation Equipment</t>
  </si>
  <si>
    <t>Flare Oxidation Equipment</t>
  </si>
  <si>
    <t>Claus Sulfur Recovery Equipment</t>
  </si>
  <si>
    <t>Thermal Reduction Equipment</t>
  </si>
  <si>
    <t>Catalytic Reduction Equipment</t>
  </si>
  <si>
    <t>Non-catalytic Reduction Equipment</t>
  </si>
  <si>
    <t>Selective Non-catalytic Reduction Equipment</t>
  </si>
  <si>
    <t>Condensation Systems</t>
  </si>
  <si>
    <t xml:space="preserve">Contact Condensing Equipment </t>
  </si>
  <si>
    <t>Solvent Recovery Equipment</t>
  </si>
  <si>
    <t>Biofilter Media</t>
  </si>
  <si>
    <t>Fixed Bed Biofilter Equipment</t>
  </si>
  <si>
    <t>Fixed Bed Biotrickling Filter Equipment</t>
  </si>
  <si>
    <t>Fixed Bed Bioscrubbing Equipment</t>
  </si>
  <si>
    <t>Noise Pollution Control</t>
  </si>
  <si>
    <t>Noise Pollution Control Equipment</t>
  </si>
  <si>
    <t>Fixed Noise Abatement Barriers</t>
  </si>
  <si>
    <t>Flexible Noise Abatement Barriers</t>
  </si>
  <si>
    <t>Portable Noise Abatement Barriers</t>
  </si>
  <si>
    <t>Noise Pollution Silencers</t>
  </si>
  <si>
    <t>Frequency Cancellers</t>
  </si>
  <si>
    <t>Odor Control</t>
  </si>
  <si>
    <t>Odor Treatment Equipment</t>
  </si>
  <si>
    <t>Wet Chemical Packed Tower Odor Control Equipment</t>
  </si>
  <si>
    <t>Chemical Mist System Odor Control Equipment</t>
  </si>
  <si>
    <t>Activated Carbon Adsorption Odor Control Equipment</t>
  </si>
  <si>
    <t>Packaged Odor Control Systems</t>
  </si>
  <si>
    <t>Odor Control Biofilters</t>
  </si>
  <si>
    <t>Odor Control Biofilter Aeration Floor</t>
  </si>
  <si>
    <t>Odor Control Biofilter Media</t>
  </si>
  <si>
    <t>Odor Control Biotrickling Filter Equipment</t>
  </si>
  <si>
    <t>Odor Control Bioscrubbing Equipment</t>
  </si>
  <si>
    <t>Odor Control Vapor Combustion Equipment</t>
  </si>
  <si>
    <t>Adjusting and Balancing Odor Control Systems</t>
  </si>
  <si>
    <t>Odor Dispersing and Masking/Counteracting Equipment</t>
  </si>
  <si>
    <t>Odor Dispersing Exhaust Stacks</t>
  </si>
  <si>
    <t>Fan-equipped Odor Dispersing Exhaust Stacks</t>
  </si>
  <si>
    <t>Odor Masking/Counteracting Equipment</t>
  </si>
  <si>
    <t>Water Pollution Control Equipment</t>
  </si>
  <si>
    <t>Water Pollution Containment and Cleanup Equipment</t>
  </si>
  <si>
    <t>Spill Cleanup</t>
  </si>
  <si>
    <t>Containment Booms</t>
  </si>
  <si>
    <t>Marine Spill Accessories</t>
  </si>
  <si>
    <t>Spill Decks</t>
  </si>
  <si>
    <t>Drum Containment Units</t>
  </si>
  <si>
    <t>Containment Pallets</t>
  </si>
  <si>
    <t>Prefabricated Spill Containment Curbing</t>
  </si>
  <si>
    <t>Prefabricated Spill Containment Berms</t>
  </si>
  <si>
    <t>Prefabricated Berms for Tank Containment</t>
  </si>
  <si>
    <t>Collapsible Storage Tanks</t>
  </si>
  <si>
    <t>Solid Waste Control and Reuse</t>
  </si>
  <si>
    <t>Solid Waste Collection, Transfer, and Hauling Equipment</t>
  </si>
  <si>
    <t>Solid Waste Portable Containers</t>
  </si>
  <si>
    <t>Solid Waste Stationary Containers</t>
  </si>
  <si>
    <t>Solid Waste Transfer Trailers</t>
  </si>
  <si>
    <t>Solid Waste Processing Equipment</t>
  </si>
  <si>
    <t>Live-floor Storage Bins</t>
  </si>
  <si>
    <t>Refuse Cranes and Accessories</t>
  </si>
  <si>
    <t>Solid Waste Screens</t>
  </si>
  <si>
    <t>Car Crushers</t>
  </si>
  <si>
    <t>Shears and Guillotines</t>
  </si>
  <si>
    <t>Shredders and Grinders</t>
  </si>
  <si>
    <t>Perforators</t>
  </si>
  <si>
    <t>Bag Breakers</t>
  </si>
  <si>
    <t>Granulators</t>
  </si>
  <si>
    <t>Crumb Rubber Systems</t>
  </si>
  <si>
    <t>Briquetters</t>
  </si>
  <si>
    <t>Vibratory Table Separation Equipment</t>
  </si>
  <si>
    <t>Ferrous Metals Separation Equipment</t>
  </si>
  <si>
    <t>Eddy Current Separators</t>
  </si>
  <si>
    <t>Single-stream Materials Separation Equipment</t>
  </si>
  <si>
    <t>Ballistic Separators</t>
  </si>
  <si>
    <t>Air Classifying Equipment</t>
  </si>
  <si>
    <t>Air Knives</t>
  </si>
  <si>
    <t>Optical Sorting Equipment</t>
  </si>
  <si>
    <t>Packaged Sorting Stations</t>
  </si>
  <si>
    <t>Packaged Reclaimer Stations</t>
  </si>
  <si>
    <t>Solid Waste Compactors</t>
  </si>
  <si>
    <t>Solid Waste Baling Equipment</t>
  </si>
  <si>
    <t>Bagging Equipment</t>
  </si>
  <si>
    <t>Wrappers</t>
  </si>
  <si>
    <t>Solid Waste Liquid Extraction Equipment</t>
  </si>
  <si>
    <t>Electromechanical Composters</t>
  </si>
  <si>
    <t>Compost Screening Equipment</t>
  </si>
  <si>
    <t>Compost Shredding Equipment</t>
  </si>
  <si>
    <t>Compost Pile Turning Equipment</t>
  </si>
  <si>
    <t>Compost Mixing and Blending Equipment</t>
  </si>
  <si>
    <t>In-vessel Composing Equipment</t>
  </si>
  <si>
    <t>Compost Pad System</t>
  </si>
  <si>
    <t>Compost Liquid Extraction Equipment</t>
  </si>
  <si>
    <t>Waste Thermal Processing Equipment</t>
  </si>
  <si>
    <t>Waste-to-Energy Plants</t>
  </si>
  <si>
    <t>Waste Receiving, Management, and Feed Equipment</t>
  </si>
  <si>
    <t>Mass Burn Combustion Equipment</t>
  </si>
  <si>
    <t>Refuse-derived Fuel Feed Equipment</t>
  </si>
  <si>
    <t>Refuse-derived Fuel Combustion Equipment</t>
  </si>
  <si>
    <t>Modular Combustion System Equipment</t>
  </si>
  <si>
    <t>Ash Handling Equipment</t>
  </si>
  <si>
    <t>Post-combustion Ferrous Metals Recovery Equipment</t>
  </si>
  <si>
    <t>Post-combustion Non-ferrous Metals Recovery Equipment</t>
  </si>
  <si>
    <t>Fluidized Bed Combustion Equipment</t>
  </si>
  <si>
    <t>Rotary Kiln Incinerators</t>
  </si>
  <si>
    <t>Gasification Equipment</t>
  </si>
  <si>
    <t>Counter-current Fixed Bed Gasification Equipment</t>
  </si>
  <si>
    <t>Co-current Fixed Bed Gasification Equipment</t>
  </si>
  <si>
    <t>Fluidized Bed Gasification Equipment</t>
  </si>
  <si>
    <t>Entrained Flow Gasification Equipment</t>
  </si>
  <si>
    <t>Plasma Arc Gasification Equipment</t>
  </si>
  <si>
    <t>Pyrolysis Equipment</t>
  </si>
  <si>
    <t>Hazardous Waste and Medical Waste Incinerators</t>
  </si>
  <si>
    <t>Heat Recovery Equipment for Waste Thermal Processing</t>
  </si>
  <si>
    <t>Synthesis Gas Cleanup and Handling Equipment</t>
  </si>
  <si>
    <t>Industry-Specific Manufacturing Equipment</t>
  </si>
  <si>
    <t>Commissioning of Industry-Specific Manufacturing Equipment</t>
  </si>
  <si>
    <t>Oil and Gas Extraction Equipment</t>
  </si>
  <si>
    <t>Operation and Maintenance of Oil and Gas Extraction Equipment</t>
  </si>
  <si>
    <t>User Defined Oil and Gas Extraction Equipment</t>
  </si>
  <si>
    <t>Mining Machinery and Equipment</t>
  </si>
  <si>
    <t>Operation and Maintenance of Mining Machinery and Equipment</t>
  </si>
  <si>
    <t>User Defined Mining Machinery and Equipment</t>
  </si>
  <si>
    <t>Food Manufacturing Equipment</t>
  </si>
  <si>
    <t>Operation and Maintenance of Food Manufacturing Equipment</t>
  </si>
  <si>
    <t>User Defined Food Manufacturing Equipment</t>
  </si>
  <si>
    <t>Beverage and Tobacco Manufacturing Equipment</t>
  </si>
  <si>
    <t>Operation and Maintenance of Beverage and Tobacco Manufacturing Equipment</t>
  </si>
  <si>
    <t>User Defined Beverage and Tobacco Manufacturing Equipment</t>
  </si>
  <si>
    <t>Textiles and Apparel Manufacturing Equipment</t>
  </si>
  <si>
    <t>Operation and Maintenance of Textiles and Apparel Manufacturing Equipment</t>
  </si>
  <si>
    <t>User Defined Textiles and Apparel Manufacturing Equipment</t>
  </si>
  <si>
    <t>Leather and Allied Product Manufacturing Equipment</t>
  </si>
  <si>
    <t>Operation and Maintenance of Leather and Allied Product Manufacturing Equipment</t>
  </si>
  <si>
    <t>User Defined Leather and Allied Product Manufacturing Equipment</t>
  </si>
  <si>
    <t>Wood Product Manufacturing Equipment</t>
  </si>
  <si>
    <t>Operation and Maintenance of Wood Product Manufacturing Equipment</t>
  </si>
  <si>
    <t>User Defined Wood Product Manufacturing Equipment</t>
  </si>
  <si>
    <t>Paper Manufacturing Equipment</t>
  </si>
  <si>
    <t>Operation and Maintenance of Paper Manufacturing Equipment</t>
  </si>
  <si>
    <t>User Defined Paper Manufacturing Equipment</t>
  </si>
  <si>
    <t>Printing and Related Manufacturing Equipment</t>
  </si>
  <si>
    <t>Operation and Maintenance of Printing and Related Manufacturing Equipment</t>
  </si>
  <si>
    <t>User Defined Printing and Related Manufacturing Equipment</t>
  </si>
  <si>
    <t>Petroleum and Coal Products Manufacturing Equipment</t>
  </si>
  <si>
    <t>Operation and Maintenance of Petroleum and Coal Products Manufacturing Equipment</t>
  </si>
  <si>
    <t>User Defined Petroleum and Coal Products Manufacturing Equipment</t>
  </si>
  <si>
    <t>Chemical Manufacturing Equipment</t>
  </si>
  <si>
    <t>Operation and Maintenance of Chemical Manufacturing Equipment</t>
  </si>
  <si>
    <t>User Defined Chemical Manufacturing Equipment</t>
  </si>
  <si>
    <t>Plastics and Rubber Manufacturing Equipment</t>
  </si>
  <si>
    <t>Operation and Maintenance of Plastics and Rubber Manufacturing Equipment</t>
  </si>
  <si>
    <t>User Defined Plastics and Rubber Manufacturing Equipment</t>
  </si>
  <si>
    <t>Nonmetallic Mineral Product Manufacturing Equipment</t>
  </si>
  <si>
    <t>Operation and Maintenance of Nonmetallic Mineral Product Manufacturing Equipment</t>
  </si>
  <si>
    <t>User Defined Nonmetallic Mineral Product Manufacturing Equipment</t>
  </si>
  <si>
    <t>Primary Metal Manufacturing Equipment</t>
  </si>
  <si>
    <t>Operation and Maintenance of Primary Metal Manufacturing Equipment</t>
  </si>
  <si>
    <t>User Defined Primary Metal Manufacturing Equipment</t>
  </si>
  <si>
    <t>Fabricated Metal Product Manufacturing Equipment</t>
  </si>
  <si>
    <t>Operation and Maintenance of Fabricated Metal Product Manufacturing Equipment</t>
  </si>
  <si>
    <t>User Defined Fabricated Metal Product Manufacturing Equipment</t>
  </si>
  <si>
    <t>Machinery Manufacturing Equipment</t>
  </si>
  <si>
    <t>Operation and Maintenance of Machinery Manufacturing Equipment</t>
  </si>
  <si>
    <t>User Defined Machinery Manufacturing Equipment</t>
  </si>
  <si>
    <t>Computer and Electronic Product Manufacturing Equipment</t>
  </si>
  <si>
    <t>Operation and Maintenance of Computer and Electronic Product Manufacturing Equipment</t>
  </si>
  <si>
    <t>User Defined Computer and Electronic Product Manufacturing Equipment</t>
  </si>
  <si>
    <t>Electrical Equipment, Appliance, and Component Manufacturing Equipment</t>
  </si>
  <si>
    <t>Operation and Maintenance of Electrical Equipment, Appliance, and Component Manufacturing Equipment</t>
  </si>
  <si>
    <t>User Defined Electrical Equipment, Appliance, and Component Manufacturing Equipment</t>
  </si>
  <si>
    <t>Transportation Manufacturing Equipment</t>
  </si>
  <si>
    <t>Operation and Maintenance of Transportation Manufacturing Equipment</t>
  </si>
  <si>
    <t>User Defined Transportation Manufacturing Equipment</t>
  </si>
  <si>
    <t>Furniture and Related Product Manufacturing Equipment</t>
  </si>
  <si>
    <t>Operation and Maintenance of Furniture and Related Product Manufacturing Equipment</t>
  </si>
  <si>
    <t>User Defined Furniture and Related Product Manufacturing Equipment</t>
  </si>
  <si>
    <t>Other Manufacturing Equipment</t>
  </si>
  <si>
    <t>Operation and Maintenance of Other Manufacturing Equipment</t>
  </si>
  <si>
    <t>User Defined Other Manufacturing Equipment</t>
  </si>
  <si>
    <t>Water and Wastewater Equipment</t>
  </si>
  <si>
    <t>Water and Wastewater Residuals Handling and Treatment</t>
  </si>
  <si>
    <t>Residuals Thickening Equipment</t>
  </si>
  <si>
    <t>Residuals Stabilization</t>
  </si>
  <si>
    <t>Residuals Dewatering Equipment</t>
  </si>
  <si>
    <t>Thermal Treatment of Residuals</t>
  </si>
  <si>
    <t>Operation and Maintenance of Water and Wastewater Equipment</t>
  </si>
  <si>
    <t>Operation and Maintenance of Packaged Treatment Equipment</t>
  </si>
  <si>
    <t>Operation and Maintenance of Preliminary Treatment Equipment</t>
  </si>
  <si>
    <t>Operation and Maintenance of Chemical Feed Equipment</t>
  </si>
  <si>
    <t>Operation and Maintenance of Clarification and Mixing Equipment</t>
  </si>
  <si>
    <t>Operation and Maintenance of Secondary Treatment Equipment</t>
  </si>
  <si>
    <t>Operation and Maintenance of Advanced Treatment Equipment</t>
  </si>
  <si>
    <t>Operation and Maintenance of Residuals Handling and Treatment</t>
  </si>
  <si>
    <t>Common Work Results for Water and Wastewater Equipment</t>
  </si>
  <si>
    <t>Packaged Water and Wastewater Treatment Equipment</t>
  </si>
  <si>
    <t>Packaged Water Treatment Equipment</t>
  </si>
  <si>
    <t>Packaged Wastewater Treatment Equipment</t>
  </si>
  <si>
    <t>Commissioning of Water and Wastewater Equipment</t>
  </si>
  <si>
    <t>Commissioning of Packaged Treatment Equipment</t>
  </si>
  <si>
    <t>Commissioning of Preliminary Treatment Equipment</t>
  </si>
  <si>
    <t>Commissioning of Chemical Feed Equipment</t>
  </si>
  <si>
    <t>Commissioning of Clarification and Mixing Equipment</t>
  </si>
  <si>
    <t>Commissioning of Secondary Treatment Equipment</t>
  </si>
  <si>
    <t>Commissioning of Advanced Treatment Equipment</t>
  </si>
  <si>
    <t>Commissioning of Residuals Handling and Treatment</t>
  </si>
  <si>
    <t>Water and Wastewater Preliminary Treatment Equipment</t>
  </si>
  <si>
    <t>Screening Equipment</t>
  </si>
  <si>
    <t>Climber-type Bar Screens</t>
  </si>
  <si>
    <t>Chain-and-Rake Bar Screens</t>
  </si>
  <si>
    <t>Flexible Rake Bar Screens</t>
  </si>
  <si>
    <t>Catenary Bar Screens</t>
  </si>
  <si>
    <t>Continuous Belt Screens</t>
  </si>
  <si>
    <t>Cylindrical Bar Screens</t>
  </si>
  <si>
    <t>Step Screens</t>
  </si>
  <si>
    <t>Rotary Drum Screens</t>
  </si>
  <si>
    <t>Spiral Screens</t>
  </si>
  <si>
    <t>Band Screens</t>
  </si>
  <si>
    <t>Disc Screens</t>
  </si>
  <si>
    <t>Traveling Water Screens</t>
  </si>
  <si>
    <t>Perforated Plate Screens</t>
  </si>
  <si>
    <t>Wedge Wire Screens</t>
  </si>
  <si>
    <t>Element Screens</t>
  </si>
  <si>
    <t>Trash Raking Equipment</t>
  </si>
  <si>
    <t>Screenings Washing and Compacting Equipment</t>
  </si>
  <si>
    <t>Vacuum Screenings Conveying Equipment</t>
  </si>
  <si>
    <t>Screenings Storage Containers</t>
  </si>
  <si>
    <t>Septage Receiving Equipment</t>
  </si>
  <si>
    <t>Grit Removal and Handling Equipment</t>
  </si>
  <si>
    <t>Chain-and-Bucket Grit Removal Equipment</t>
  </si>
  <si>
    <t>Chain-and-Flight Grit Removal Equipment</t>
  </si>
  <si>
    <t xml:space="preserve">Vortex Grit Removal Equipment </t>
  </si>
  <si>
    <t>Cyclone Degritters</t>
  </si>
  <si>
    <t>Aerated Grit Removal Equipment</t>
  </si>
  <si>
    <t xml:space="preserve">Inline Baffled Grit Removal Equipment </t>
  </si>
  <si>
    <t>Traveling Bridge Grit Removal Equipment</t>
  </si>
  <si>
    <t>Grit Classifying and Washing Equipment</t>
  </si>
  <si>
    <t>Grit Storage Containers</t>
  </si>
  <si>
    <t>Grinding and Shredding Equipment</t>
  </si>
  <si>
    <t>Macerators</t>
  </si>
  <si>
    <t>Comminutors</t>
  </si>
  <si>
    <t>Inline Grinders</t>
  </si>
  <si>
    <t>Open-channel Grinders</t>
  </si>
  <si>
    <t>Modular Grinding-Screening-Compacting Equipment</t>
  </si>
  <si>
    <t>Oil and Grease Separation and Removal Equipment</t>
  </si>
  <si>
    <t>Coalescing Oil-Water Separators</t>
  </si>
  <si>
    <t>API Oil-Water Separators</t>
  </si>
  <si>
    <t>Grease Traps</t>
  </si>
  <si>
    <t>Dissolved Air Flotation Grease and Oil Separation Equipment</t>
  </si>
  <si>
    <t>Helical Scum Skimming and Removal Equipment</t>
  </si>
  <si>
    <t>Tipping Trough Scum Skimming and Removal Equipment</t>
  </si>
  <si>
    <t>Chain and Flight Scum Collection and Removal Equipment</t>
  </si>
  <si>
    <t>Floating Scum Skimming and Removal Equipment</t>
  </si>
  <si>
    <t>Water and Wastewater Chemical Feed Equipment</t>
  </si>
  <si>
    <t>Gas Chemical Feed Equipment</t>
  </si>
  <si>
    <t>Chlorine Gas Feed Equipment</t>
  </si>
  <si>
    <t>Sulfur Dioxide Gas Feed Equipment</t>
  </si>
  <si>
    <t>Ammonia Gas Feed Equipment</t>
  </si>
  <si>
    <t>Gas Storage, Weighing, and Leak Detection Equipment</t>
  </si>
  <si>
    <t>Emergency Gas Treatment Systems</t>
  </si>
  <si>
    <t>Chlorine Dioxide Reactors</t>
  </si>
  <si>
    <t>Carbon Dioxide Gas Feed Equipment</t>
  </si>
  <si>
    <t>Ozone Generating and Feed Equipment</t>
  </si>
  <si>
    <t>Liquid Oxygen Storage and Feed Equipment</t>
  </si>
  <si>
    <t>Cleaning Requirements for Oxygen Service</t>
  </si>
  <si>
    <t>Gas Chemical Feed Accessories and Safety Equipment</t>
  </si>
  <si>
    <t>Liquid Chemical Feed Equipment</t>
  </si>
  <si>
    <t>Drum Pumps</t>
  </si>
  <si>
    <t>Sodium Hypochlorite Generating Equipment</t>
  </si>
  <si>
    <t>Liquid Chemical Weighing Equipment</t>
  </si>
  <si>
    <t>Polymer Blending and Feed Equipment</t>
  </si>
  <si>
    <t>Liquid Chemical Feed System Coordination and Integration</t>
  </si>
  <si>
    <t>Diaphragm-type Metering Pumps</t>
  </si>
  <si>
    <t>Peristaltic Metering Pumps</t>
  </si>
  <si>
    <t>Progressing Cavity Metering Pumps</t>
  </si>
  <si>
    <t>Lobe Metering Pumps</t>
  </si>
  <si>
    <t>Liquid Chemical Transfer Pumps</t>
  </si>
  <si>
    <t>Liquid Chemical Diffusers</t>
  </si>
  <si>
    <t>Liquid Chemical Feed Accessories and Safety Equipment</t>
  </si>
  <si>
    <t>Dry Chemical Feed Equipment</t>
  </si>
  <si>
    <t>Dry Chemical Feed System Coordination and Integration</t>
  </si>
  <si>
    <t>Storage Silos</t>
  </si>
  <si>
    <t>Dry Chemical Weighing Equipment</t>
  </si>
  <si>
    <t>Volumetric Feed Equipment</t>
  </si>
  <si>
    <t>Gravimetric Feed Equipment</t>
  </si>
  <si>
    <t>Lime Slaking Equipment</t>
  </si>
  <si>
    <t>Chemical Tablet Feeding Equipment</t>
  </si>
  <si>
    <t>Dry Chemical Feed Accessories and Safety Equipment</t>
  </si>
  <si>
    <t>Water and Wastewater Clarification and Mixing Equipment</t>
  </si>
  <si>
    <t>Mixing Equipment</t>
  </si>
  <si>
    <t>Rapid Mixers</t>
  </si>
  <si>
    <t>Inline Blender-type Rapid Mixers</t>
  </si>
  <si>
    <t>Induction-type Rapid Mixing Equipment</t>
  </si>
  <si>
    <t>Inline Static Mixers</t>
  </si>
  <si>
    <t>Jet Mixing Equipment</t>
  </si>
  <si>
    <t>Submersible Mixers</t>
  </si>
  <si>
    <t>Floating Mechanical Mixers</t>
  </si>
  <si>
    <t>Paddle Mixers</t>
  </si>
  <si>
    <t>Pin Mixers</t>
  </si>
  <si>
    <t>Vertical Reel Flocculation Equipment</t>
  </si>
  <si>
    <t>Horizontal Reel Flocculation Equipment</t>
  </si>
  <si>
    <t>Vertical Turbine Flocculation Equipment</t>
  </si>
  <si>
    <t>Walking-beam Flocculation Equipment</t>
  </si>
  <si>
    <t xml:space="preserve">Horizontal Oscillating Flocculation Equipment </t>
  </si>
  <si>
    <t>Top-entering Tank Mixers</t>
  </si>
  <si>
    <t>Side-entry Tank Mixers</t>
  </si>
  <si>
    <t>Portable Tank Mixers</t>
  </si>
  <si>
    <t>Clarifier Equipment</t>
  </si>
  <si>
    <t>Chain-and-Flight Clarifier Equipment</t>
  </si>
  <si>
    <t>Traveling Bridge Clarifier Equipment</t>
  </si>
  <si>
    <t>Differential Head Clarifier Equipment</t>
  </si>
  <si>
    <t>Oscillating Scraper-type Clarifier Equipment</t>
  </si>
  <si>
    <t>Circular Clarifier Equipment</t>
  </si>
  <si>
    <t>Solids Contact Clarifier Equipment</t>
  </si>
  <si>
    <t>Flocculating Clarifier, Pulsating Sludge Blanket Type</t>
  </si>
  <si>
    <t>Dissolved Air Flotation Equipment for Water Treatment</t>
  </si>
  <si>
    <t>Ballasted High-rate Clarifier Equipment</t>
  </si>
  <si>
    <t>High-rate Clarification/Thickening Equipment</t>
  </si>
  <si>
    <t>Tube Settlers</t>
  </si>
  <si>
    <t>Inclined Plate Settlers</t>
  </si>
  <si>
    <t>Sediment Removal Equipment</t>
  </si>
  <si>
    <t>Tipping Sediment Flushing Tanks</t>
  </si>
  <si>
    <t>Flushing Gates</t>
  </si>
  <si>
    <t>Water Cannon</t>
  </si>
  <si>
    <t>Nozzle Systems</t>
  </si>
  <si>
    <t>Water and Wastewater Secondary Treatment Equipment</t>
  </si>
  <si>
    <t>Air and Gas Diffusion Equipment</t>
  </si>
  <si>
    <t>Fixed Mechanical Aerators</t>
  </si>
  <si>
    <t>Floating Mechanical Aerators</t>
  </si>
  <si>
    <t>Submersible Aspirating Aerator Equipment</t>
  </si>
  <si>
    <t>Jet Aeration Equipment</t>
  </si>
  <si>
    <t>Coarse Bubble Diffusers</t>
  </si>
  <si>
    <t>Swing-type Channel Aeration Equipment</t>
  </si>
  <si>
    <t>Shear Box Diffusers</t>
  </si>
  <si>
    <t>Flexible Membrane Tube Diffusers</t>
  </si>
  <si>
    <t>Flexible Membrane Disc Diffusers</t>
  </si>
  <si>
    <t>Ceramic Disc Fine Bubble Diffusers</t>
  </si>
  <si>
    <t>Floating Membrane Diffusers</t>
  </si>
  <si>
    <t>Membrane Diffusers</t>
  </si>
  <si>
    <t>Cascading Aerators</t>
  </si>
  <si>
    <t>Pure-oxygen Generating Equipment</t>
  </si>
  <si>
    <t>Biological Treatment Systems</t>
  </si>
  <si>
    <t>Rotating Biological Contactors</t>
  </si>
  <si>
    <t>Trickling Filter Rotary Distributor Equipment</t>
  </si>
  <si>
    <t>Trickling Filter Media</t>
  </si>
  <si>
    <t>Bio-towers</t>
  </si>
  <si>
    <t>Moving-bed Biological Reactors</t>
  </si>
  <si>
    <t>Integrated Fixed-film Activated Sludge Equipment</t>
  </si>
  <si>
    <t>Intermittent Sand Filters for Wastewater Treatment</t>
  </si>
  <si>
    <t>Deep-bed Denitrification Filters</t>
  </si>
  <si>
    <t>Biologically Activated Filters</t>
  </si>
  <si>
    <t>Membrane Biological Reactors</t>
  </si>
  <si>
    <t>Sequencing Batch Reactors</t>
  </si>
  <si>
    <t>Oxidation Ditch Equipment</t>
  </si>
  <si>
    <t>Vertical Loop Reactors</t>
  </si>
  <si>
    <t>Water and Wastewater Advanced Treatment Equipment</t>
  </si>
  <si>
    <t>Filtration Equipment</t>
  </si>
  <si>
    <t>Filter Media</t>
  </si>
  <si>
    <t>Filter Surface Wash Agitators</t>
  </si>
  <si>
    <t>Filter Air Scour Equipment</t>
  </si>
  <si>
    <t>Wash Water Troughs</t>
  </si>
  <si>
    <t>Pressure Filters</t>
  </si>
  <si>
    <t>Gravity Filters</t>
  </si>
  <si>
    <t>High-rate Sand Filters</t>
  </si>
  <si>
    <t>Traveling Bridge Filters</t>
  </si>
  <si>
    <t>Microfiltration and Ultrafiltration Membrane Equipment</t>
  </si>
  <si>
    <t>Disc Cloth Filters</t>
  </si>
  <si>
    <t>Rotary Drum Cloth Filters</t>
  </si>
  <si>
    <t>Automatic Backwash Cloth Filter Equipment</t>
  </si>
  <si>
    <t>Cartridge Filters</t>
  </si>
  <si>
    <t>Bag Filters</t>
  </si>
  <si>
    <t>Automatic Straining Equipment</t>
  </si>
  <si>
    <t>Demineralization Equipment</t>
  </si>
  <si>
    <t>Ion-exchange Vessel Media</t>
  </si>
  <si>
    <t>Mixed Bed Ion-exchange Vessel Systems</t>
  </si>
  <si>
    <t>Packed Bed Ion-exchange Vessel Systems</t>
  </si>
  <si>
    <t>Electrodialysis Reversal Equipment</t>
  </si>
  <si>
    <t>Reverse Osmosis and Nanofiltration Membrane Equipment</t>
  </si>
  <si>
    <t>Multiple-effect Distillation Equipment</t>
  </si>
  <si>
    <t>Desalination Mechanical Vapor Compression Equipment</t>
  </si>
  <si>
    <t>Desalination Thermal Vapor Compression Equipment</t>
  </si>
  <si>
    <t>Desalination Multi-stage Flash Equipment</t>
  </si>
  <si>
    <t>Desalination Falling Film Evaporators</t>
  </si>
  <si>
    <t>Desalination Rising Film Evaporators</t>
  </si>
  <si>
    <t>Desalination Forced-circulation Crystallizing Equipment</t>
  </si>
  <si>
    <t>Desalination Spray Dry Evaporation Equipment</t>
  </si>
  <si>
    <t>Demineralization Energy Recovery Equipment</t>
  </si>
  <si>
    <t>Ultraviolet Equipment</t>
  </si>
  <si>
    <t>Closed-vessel Low-pressure/Low-intensity Ultraviolet Treatment Equipment</t>
  </si>
  <si>
    <t>Closed-vessel Low-pressure/High-intensity Ultraviolet Treatment Equipment</t>
  </si>
  <si>
    <t>Closed-vessel Medium-pressure Ultraviolet Treatment Equipment</t>
  </si>
  <si>
    <t>Open-channel Low-pressure/Low-intensity Ultraviolet Treatment Equipment</t>
  </si>
  <si>
    <t>Open-channel Low-pressure/High-intensity Ultraviolet Treatment Equipment</t>
  </si>
  <si>
    <t>Open-channel Medium-pressure Ultraviolet Treatment Equipment</t>
  </si>
  <si>
    <t>Circular Gravity Thickeners</t>
  </si>
  <si>
    <t>Gravity Belt Thickeners</t>
  </si>
  <si>
    <t>Dissolved Air Flotation Thickening Equipment</t>
  </si>
  <si>
    <t>Rotary Drum Thickening Equipment</t>
  </si>
  <si>
    <t>Centrifuge Thickening Equipment</t>
  </si>
  <si>
    <t>Disc Thickeners</t>
  </si>
  <si>
    <t>Thickening Screw Press</t>
  </si>
  <si>
    <t>Scum Concentrator Equipment</t>
  </si>
  <si>
    <t>Radial Beam Fixed Digester Covers</t>
  </si>
  <si>
    <t>Dual Deck Truss-type Fixed Digester Covers</t>
  </si>
  <si>
    <t>Radial Beam Floating Digester Covers</t>
  </si>
  <si>
    <t>Dual Deck Truss-type Floating Digester Covers</t>
  </si>
  <si>
    <t>Radial Beam Floating Gas-holding Digester Covers</t>
  </si>
  <si>
    <t>Dual Deck Truss-type Floating Gas-holding Digester Covers</t>
  </si>
  <si>
    <t>Digester Appurtenances</t>
  </si>
  <si>
    <t>Aerobic Digester Aeration Equipment</t>
  </si>
  <si>
    <t>Autothermal Thermophilic Aerobic Digestion Equipment</t>
  </si>
  <si>
    <t>Egg-shaped Digesters</t>
  </si>
  <si>
    <t>External Draft Tube Digester Mixing System</t>
  </si>
  <si>
    <t>Internal Draft Tube Digester Mixing System</t>
  </si>
  <si>
    <t xml:space="preserve">Confined Gas Mixing System </t>
  </si>
  <si>
    <t>Unconfined Gas Mixing System</t>
  </si>
  <si>
    <t>Digester Heating Equipment</t>
  </si>
  <si>
    <t>Residuals Pasteurization Equipment</t>
  </si>
  <si>
    <t>Vacuum Filters</t>
  </si>
  <si>
    <t>Belt Filter Presses</t>
  </si>
  <si>
    <t>Plate-and-Frame Filter Presses</t>
  </si>
  <si>
    <t>Rotary Presses</t>
  </si>
  <si>
    <t>Screw Presses</t>
  </si>
  <si>
    <t>Dewatering Centrifuges</t>
  </si>
  <si>
    <t>Belt Dryers</t>
  </si>
  <si>
    <t>Direct-heat Residuals Drying Equipment</t>
  </si>
  <si>
    <t>Indirect-heat Residuals Drying Equipment</t>
  </si>
  <si>
    <t>Multiple-hearth Sludge Incinerators</t>
  </si>
  <si>
    <t>Fluidized-bed Sludge Incinerators</t>
  </si>
  <si>
    <t xml:space="preserve">Ash Handling Equipment </t>
  </si>
  <si>
    <t>Recuperative Air Preheating Equipment</t>
  </si>
  <si>
    <t>Regenerative Thermal Oxidizers</t>
  </si>
  <si>
    <t>Waste Heat Recovery Boilers</t>
  </si>
  <si>
    <t>Waste Heat Recovery Heat Exchangers</t>
  </si>
  <si>
    <t>Electrical Power Generation</t>
  </si>
  <si>
    <t>Operation and Maintenance for Electrical Power Generation</t>
  </si>
  <si>
    <t>Operation and Maintenance of Electrical Power Generation Equipment</t>
  </si>
  <si>
    <t>Operation and Maintenance of Electrical Power Generation Testing</t>
  </si>
  <si>
    <t>Common Work Results for Electrical Power Generation</t>
  </si>
  <si>
    <t>Commissioning of Electrical Power Generation</t>
  </si>
  <si>
    <t>Instrumentation and Control for Electrical Power Generation</t>
  </si>
  <si>
    <t>Electrical Power Generation Equipment</t>
  </si>
  <si>
    <t>Fossil Fuel Plant Electrical Power Generation Equipment</t>
  </si>
  <si>
    <t>Fossil Fuel Electrical Power Plant Boilers</t>
  </si>
  <si>
    <t>Fossil Fuel Electrical Power Plant Condensers</t>
  </si>
  <si>
    <t>Fossil Fuel Electrical Power Plant Steam Turbines</t>
  </si>
  <si>
    <t>Fossil Fuel Electrical Power Plant Gas Turbines</t>
  </si>
  <si>
    <t>Fossil Fuel Electrical Power Plant Generators</t>
  </si>
  <si>
    <t>Nuclear Fuel Plant Electrical Power Generation Equipment</t>
  </si>
  <si>
    <t>Nuclear Fuel Reactors</t>
  </si>
  <si>
    <t>Nuclear Fuel Fission Reactors</t>
  </si>
  <si>
    <t>Nuclear Fuel Fusion Reactors</t>
  </si>
  <si>
    <t>Nuclear Fuel Electrical Power Plant Steam Generators</t>
  </si>
  <si>
    <t>Nuclear Fuel Electrical Power Plant Condensers</t>
  </si>
  <si>
    <t>Nuclear Fuel Electrical Power Plant Turbines</t>
  </si>
  <si>
    <t>Nuclear Fuel Electrical Power Generators</t>
  </si>
  <si>
    <t>Hydroelectric Plant Electrical Power Generation Equipment</t>
  </si>
  <si>
    <t>Hydroelectric Power Plant Water Turbines</t>
  </si>
  <si>
    <t>Hydroelectric Power Plant Electrical Power Generators</t>
  </si>
  <si>
    <t>Solar Energy Electrical Power Generation Equipment</t>
  </si>
  <si>
    <t>Solar Energy Collectors</t>
  </si>
  <si>
    <t>Amorphous Solar Energy Collectors</t>
  </si>
  <si>
    <t>Plate Cell Solar Energy Collectors</t>
  </si>
  <si>
    <t>Vacuum Tube Solar Energy Collectors</t>
  </si>
  <si>
    <t>Wind Energy Electrical Power Generation Equipment</t>
  </si>
  <si>
    <t>Windmills</t>
  </si>
  <si>
    <t>Wind Energy Electrical Power Generators</t>
  </si>
  <si>
    <t>Geothermal Energy Electrical Power Generation Equipment</t>
  </si>
  <si>
    <t>Geothermal Energy Heat Pumps</t>
  </si>
  <si>
    <t>Geothermal Energy Condensers</t>
  </si>
  <si>
    <t>Geothermal Energy Steam Turbines</t>
  </si>
  <si>
    <t>Geothermal Energy Electrical Power Generators</t>
  </si>
  <si>
    <t>Electrochemical Energy Electrical Power Generation Equipment</t>
  </si>
  <si>
    <t>Electrical Power Generation Batteries</t>
  </si>
  <si>
    <t>Fuel Cell Electrical Power Generation Equipment</t>
  </si>
  <si>
    <t>Electrical Power Generation Fuel Cells</t>
  </si>
  <si>
    <t>Hydrogen Control Equipment</t>
  </si>
  <si>
    <t>Electrical Power Control Equipment</t>
  </si>
  <si>
    <t>Electrical Power Generation Battery Charging Equipment</t>
  </si>
  <si>
    <t>Electrical Power Generation Inverters</t>
  </si>
  <si>
    <t>Electrical Power Generation Solar Tracking Equipment</t>
  </si>
  <si>
    <t>Electrical Power Generation Transformers</t>
  </si>
  <si>
    <t>Electrical Power Generation Voltage Regulators</t>
  </si>
  <si>
    <t>Electrical Power Generation Testing</t>
  </si>
  <si>
    <t>Electrical Power Generation Test Equipment</t>
  </si>
  <si>
    <t>Electrical Power Generation Corona Test Equipment</t>
  </si>
  <si>
    <t>Electrical Power Generation Current Test Equipment</t>
  </si>
  <si>
    <t>Electrical Power Generation Power Test Equipment</t>
  </si>
  <si>
    <t>Electrical Power Generation Resistance Test Equipment</t>
  </si>
  <si>
    <t>Electrical Power Generation Voltage Test Equipment</t>
  </si>
  <si>
    <t>Minimum Row Height</t>
  </si>
  <si>
    <r>
      <t xml:space="preserve">Columns B-H on all rows of Database must be filled out
The table automatically highlights the </t>
    </r>
    <r>
      <rPr>
        <b/>
        <sz val="11"/>
        <color theme="5"/>
        <rFont val="Calibri"/>
        <family val="2"/>
        <scheme val="minor"/>
      </rPr>
      <t>first entry of each Division as Orange</t>
    </r>
    <r>
      <rPr>
        <sz val="11"/>
        <color theme="1"/>
        <rFont val="Calibri"/>
        <family val="2"/>
        <scheme val="minor"/>
      </rPr>
      <t xml:space="preserve">, and the </t>
    </r>
    <r>
      <rPr>
        <b/>
        <sz val="11"/>
        <color theme="9" tint="-0.249977111117893"/>
        <rFont val="Calibri"/>
        <family val="2"/>
        <scheme val="minor"/>
      </rPr>
      <t>first entry of each Section as Green</t>
    </r>
    <r>
      <rPr>
        <sz val="11"/>
        <color theme="1"/>
        <rFont val="Calibri"/>
        <family val="2"/>
        <scheme val="minor"/>
      </rPr>
      <t xml:space="preserve"> (the orange row is technically also the first entry of a section, but Division takes precedence) to make the table more readable</t>
    </r>
  </si>
  <si>
    <t>Symbol Key</t>
  </si>
  <si>
    <t>Actual Letter</t>
  </si>
  <si>
    <t>Index</t>
  </si>
  <si>
    <t>Symbol</t>
  </si>
  <si>
    <t>v3.1</t>
  </si>
  <si>
    <t>SECTION 033100 - CAST-IN-PLACE STRUCTURAL  CONCRETE</t>
  </si>
  <si>
    <t>CAST-IN PLACE CONCRETE</t>
  </si>
  <si>
    <t>SECTION 033300 - CAST-IN-PLACE ARCHITECTURAL CONCRETE</t>
  </si>
  <si>
    <t>CNC-1</t>
  </si>
  <si>
    <t>SEALED CONCRETE</t>
  </si>
  <si>
    <t>CNC-2</t>
  </si>
  <si>
    <t>PAINTED CONCRETE</t>
  </si>
  <si>
    <t>SECTION 034000 - PRECAST CONCRETE</t>
  </si>
  <si>
    <t>PRECAST PANELS</t>
  </si>
  <si>
    <t>PCC-51</t>
  </si>
  <si>
    <t xml:space="preserve">PRECAST PAVERS </t>
  </si>
  <si>
    <t>SECTION 034900 - GLASS-FIBER-REINFORCED CONCRETE</t>
  </si>
  <si>
    <t>GLASS-FIBER-REINFORCED CONCRETE</t>
  </si>
  <si>
    <t>SECTION 042100 - CLAY UNIT MASONRY</t>
  </si>
  <si>
    <t>BRICK</t>
  </si>
  <si>
    <t>TERRACOTTA</t>
  </si>
  <si>
    <t>SECTION 042200 - CONCRETE UNIT MASONRY</t>
  </si>
  <si>
    <t>CONCRETE MASONRY UNIT</t>
  </si>
  <si>
    <t>SECTION 044200 - EXTERIOR STONE CLADDING</t>
  </si>
  <si>
    <t>STONE PANEL</t>
  </si>
  <si>
    <t>SECTION 044200 - CAST STONE MASONRY</t>
  </si>
  <si>
    <t>CAST STONE</t>
  </si>
  <si>
    <t>SECTION 055000 - METAL FABRICATIONS</t>
  </si>
  <si>
    <t>METAL MESH</t>
  </si>
  <si>
    <t>SECTION 055200 - PIPE AND TUBE RAILINGS</t>
  </si>
  <si>
    <t>STEEL PIPE RAILING</t>
  </si>
  <si>
    <t>STEEL STANCHION</t>
  </si>
  <si>
    <t>SECTION 055300 - METAL GRATINGS</t>
  </si>
  <si>
    <t xml:space="preserve">STEEL GRATING </t>
  </si>
  <si>
    <t>SECTION 057000 - DECORATIVE METALS</t>
  </si>
  <si>
    <t>MTL-1</t>
  </si>
  <si>
    <t>STEEL (COLD FORMED, PAINTED, PATINATED, BLACKENED)</t>
  </si>
  <si>
    <t>MTL-2</t>
  </si>
  <si>
    <t>STAINLESS STEEL</t>
  </si>
  <si>
    <t>MTL-3</t>
  </si>
  <si>
    <t>ALUMINUM (ANODIZED, PAINTED)</t>
  </si>
  <si>
    <t>MTL-4</t>
  </si>
  <si>
    <t>ALTERNATE METAL (BRONZE, BRASS, COPPER, ETC.)</t>
  </si>
  <si>
    <t xml:space="preserve">METAL BASE </t>
  </si>
  <si>
    <t>SECTION 057300 - DECORATIVE METAL RAILINGS</t>
  </si>
  <si>
    <t xml:space="preserve">DECORATIVE GLASS GUARDRAIL </t>
  </si>
  <si>
    <t>SECTION 064000 - ARCHITECTURAL WOODWORK</t>
  </si>
  <si>
    <t>WD-1</t>
  </si>
  <si>
    <t>ARCHITECTURAL WOOD</t>
  </si>
  <si>
    <t>SECTION 064023 - INTERIOR ARCHITECTURAL WOODWORK</t>
  </si>
  <si>
    <t>WB-1</t>
  </si>
  <si>
    <t xml:space="preserve">WOOD BASE </t>
  </si>
  <si>
    <t>SECTION 064113 - PLASTIC LAMINATE CASEWORK</t>
  </si>
  <si>
    <t>PLM-1</t>
  </si>
  <si>
    <t xml:space="preserve">PLASTIC LAMINATE </t>
  </si>
  <si>
    <t>SECTION 064200 - ARCHITECTURAL WOOD PANELING</t>
  </si>
  <si>
    <t>WV-1</t>
  </si>
  <si>
    <t xml:space="preserve">WOOD VENEER FLUSH WOOD PANELING </t>
  </si>
  <si>
    <t>SECTION 064313 - WOOD STAIRS</t>
  </si>
  <si>
    <t>WDS-1</t>
  </si>
  <si>
    <t>SOLID WOOD TREAD AND RISER</t>
  </si>
  <si>
    <t>SECTION 066113 - PLASTIC RESIN</t>
  </si>
  <si>
    <t>PLR-1</t>
  </si>
  <si>
    <t xml:space="preserve">RESIN WALL PANELING </t>
  </si>
  <si>
    <t>SECTION 71413 - MEMBRANE WATERPROOFING</t>
  </si>
  <si>
    <t>WP-50</t>
  </si>
  <si>
    <t xml:space="preserve">MEMBRANE WATERPROOFING </t>
  </si>
  <si>
    <t>SECTION 074213 - METAL WALL PANEL</t>
  </si>
  <si>
    <t xml:space="preserve">FLAT SEAM PANELS </t>
  </si>
  <si>
    <t>SECTION 075210 - GREEN ROOFING</t>
  </si>
  <si>
    <t xml:space="preserve">INTENSIVE GREEN ROOF ASSEMBLY </t>
  </si>
  <si>
    <t>SECTION 075323 - EPDM ROOFING</t>
  </si>
  <si>
    <t xml:space="preserve">EPDM </t>
  </si>
  <si>
    <t>SECTION 079500 - EXPANSION JOINT</t>
  </si>
  <si>
    <t>EJ-1</t>
  </si>
  <si>
    <t xml:space="preserve">FLOOR-TO-FLOOR EXPANSION CONTROL </t>
  </si>
  <si>
    <t xml:space="preserve">ALUM. EXPANSION JOINT </t>
  </si>
  <si>
    <t>SECTION 084400 - CURTAIN WALL AND GLAZED ASSEMBLIES</t>
  </si>
  <si>
    <t>ALUMINUM AND GLASS UNITIZED CURTAIN WALL SYSTEM</t>
  </si>
  <si>
    <t>SECTION 088000 - GLAZING</t>
  </si>
  <si>
    <t>GL-1</t>
  </si>
  <si>
    <t>GLASS (NON LAMINATED, NON TEMPERED)</t>
  </si>
  <si>
    <t>GL-2</t>
  </si>
  <si>
    <t>LAMINATED GLASS (CLEAR, TRANSLUCENT INTERLAYER)</t>
  </si>
  <si>
    <t>GL-3</t>
  </si>
  <si>
    <t>TEMPERED GLASS</t>
  </si>
  <si>
    <t>GL-4</t>
  </si>
  <si>
    <t>OPAQUE BACK PAINTED</t>
  </si>
  <si>
    <t>GL-5</t>
  </si>
  <si>
    <t>OPAQUE MAGNETIC AND/OR WRITEABLE</t>
  </si>
  <si>
    <t>GL-6</t>
  </si>
  <si>
    <t>MIRROR GLASS</t>
  </si>
  <si>
    <t>VISION GLASS</t>
  </si>
  <si>
    <t>GL-51</t>
  </si>
  <si>
    <t>SPANDREL GLASS</t>
  </si>
  <si>
    <t>SECTION 089000 - LOUVERS AND VENTS</t>
  </si>
  <si>
    <t xml:space="preserve">EXTRUDED ALUMINUM HORIZONTAL STORM LOUVER </t>
  </si>
  <si>
    <t>SECTION 092216 - NON-STRUCTURAL METAL FRAMING</t>
  </si>
  <si>
    <t>STD-1</t>
  </si>
  <si>
    <t xml:space="preserve">METAL STUD </t>
  </si>
  <si>
    <t>SECTION 092400 - CEMENT PLASTERING (STUCCO)</t>
  </si>
  <si>
    <t xml:space="preserve">PORTLAND CEMENT PLASTER, EXTERIOR SOFFIT FINISH </t>
  </si>
  <si>
    <t>SECTION 092900 - GYPSUM BOARD</t>
  </si>
  <si>
    <t>GWB-1</t>
  </si>
  <si>
    <t>GYPSUM WALL BOARD</t>
  </si>
  <si>
    <t>GWB-50</t>
  </si>
  <si>
    <t xml:space="preserve">GYPSUM WALL BOARD </t>
  </si>
  <si>
    <t>SECTION 093000 - TILING</t>
  </si>
  <si>
    <t>TL-1</t>
  </si>
  <si>
    <t xml:space="preserve">WALL TILE </t>
  </si>
  <si>
    <t>TL-2</t>
  </si>
  <si>
    <t xml:space="preserve">FLOOR TILE </t>
  </si>
  <si>
    <t>SECTION 095113 - ACOUSTICAL PANEL CEILINGS</t>
  </si>
  <si>
    <t>ACP-1</t>
  </si>
  <si>
    <t>SECTION 095123 - ACOUSTICAL TILE CEILINGS</t>
  </si>
  <si>
    <t>ACT-1</t>
  </si>
  <si>
    <t xml:space="preserve">ACOUSTICAL TILE CEILING (CONCEALED GRID) </t>
  </si>
  <si>
    <t>WCP-1</t>
  </si>
  <si>
    <t xml:space="preserve">SUSPENDED WOOD CEILING (GRILLE) </t>
  </si>
  <si>
    <t>WCP-2</t>
  </si>
  <si>
    <t xml:space="preserve">SUSPENDED WOOD CEILING (TILE OR PLANK) </t>
  </si>
  <si>
    <t>SECTION 095133 - METAL CEILINGS</t>
  </si>
  <si>
    <t>MCP-1</t>
  </si>
  <si>
    <t>ACOUSTICAL PERFORATED METAL PAN CEILING SYSTEM</t>
  </si>
  <si>
    <t>MCP-2</t>
  </si>
  <si>
    <t>SECTION 096340 - STONE FLOORING</t>
  </si>
  <si>
    <t>STF-1</t>
  </si>
  <si>
    <t xml:space="preserve">STONE FLOOR TILE  </t>
  </si>
  <si>
    <t>STF-2</t>
  </si>
  <si>
    <t xml:space="preserve">STONE STAIR TREAD </t>
  </si>
  <si>
    <t>SECTION 096400 - WOOD FLOORING</t>
  </si>
  <si>
    <t>WDF-1</t>
  </si>
  <si>
    <t>WOOD FLOORING (SOLID, ENGINEERED, PREFINISHED)</t>
  </si>
  <si>
    <t>WDF-2</t>
  </si>
  <si>
    <t xml:space="preserve">CORK FLOORING </t>
  </si>
  <si>
    <t>SECTION 096500 - RESILIENT FLOORING</t>
  </si>
  <si>
    <t>RF-1</t>
  </si>
  <si>
    <t>RESILIENT TILE FLOORING</t>
  </si>
  <si>
    <t>SECTION 096513 - RESILIENT BASE AND ACCESSORIES</t>
  </si>
  <si>
    <t>RB-1</t>
  </si>
  <si>
    <t>RUBBER BASE</t>
  </si>
  <si>
    <t>SECTION 096600 - TERRAZZO</t>
  </si>
  <si>
    <t>TZ-1</t>
  </si>
  <si>
    <t xml:space="preserve">CEMENT TERRAZZO FLOORING </t>
  </si>
  <si>
    <t>TZ-2</t>
  </si>
  <si>
    <t xml:space="preserve">EPOXY TERRAZZO FLOORING </t>
  </si>
  <si>
    <t>SECTION 096700 - FLUID APPLIED FLOORING</t>
  </si>
  <si>
    <t>RSF-1</t>
  </si>
  <si>
    <t>FLUID APPLIED FLOORING</t>
  </si>
  <si>
    <t>SECTION 096813 - CARPET TILE</t>
  </si>
  <si>
    <t>CPT-1</t>
  </si>
  <si>
    <t xml:space="preserve">CARPET TILE </t>
  </si>
  <si>
    <t>SECTION 096816 - SHEET CARPET</t>
  </si>
  <si>
    <t>CPT-2</t>
  </si>
  <si>
    <t xml:space="preserve">CARPET BROADLOOM </t>
  </si>
  <si>
    <t>SECTION 097200 - WALL COVERINGS</t>
  </si>
  <si>
    <t>WC-1</t>
  </si>
  <si>
    <t>WALLCOVERING</t>
  </si>
  <si>
    <t>SECTION 097500 - STONE WALL FACING</t>
  </si>
  <si>
    <t>ST-2</t>
  </si>
  <si>
    <t xml:space="preserve">STONE WALL PANELS </t>
  </si>
  <si>
    <t>SECTION 097723 - FABRIC WRAPPED PANELS</t>
  </si>
  <si>
    <t>FWP-1</t>
  </si>
  <si>
    <t xml:space="preserve">FABRIC-WRAPPED WALL PANEL  </t>
  </si>
  <si>
    <t>SECTION 098000 - ACOUSTIC TREATMENT</t>
  </si>
  <si>
    <t>AT-1</t>
  </si>
  <si>
    <t xml:space="preserve">ACOUSTIC PLASTER CEILING </t>
  </si>
  <si>
    <t>SECTION 098443 - WOOD ACOUSTICAL PANELS</t>
  </si>
  <si>
    <t>WG-2</t>
  </si>
  <si>
    <t xml:space="preserve">WOOD GRILLE PANEL CEILING  </t>
  </si>
  <si>
    <t>SECTION 099100 - INTERIOR PAINTING</t>
  </si>
  <si>
    <t>PT-1</t>
  </si>
  <si>
    <t>PAINT</t>
  </si>
  <si>
    <t>SECTION 099300 - STAINING AND TRANSPARENT FINISHING</t>
  </si>
  <si>
    <t>SF-1</t>
  </si>
  <si>
    <t xml:space="preserve">STAINING AND TRANSPARENT FINISH  </t>
  </si>
  <si>
    <t>SECTION 099600 - HIGH-PERFORMANCE COATINGS</t>
  </si>
  <si>
    <t>CTG-1</t>
  </si>
  <si>
    <t xml:space="preserve">HIGH-PERFORMANCE COATING  </t>
  </si>
  <si>
    <t>SECTION 101123 - TACKBOARDS</t>
  </si>
  <si>
    <t>MB-1</t>
  </si>
  <si>
    <t>MARKERBOARD</t>
  </si>
  <si>
    <t>MBP-1</t>
  </si>
  <si>
    <t>MONOLITHIC MARKER BOARD PANELS (CERAMIC STEEL FULL HEIGHT)</t>
  </si>
  <si>
    <t>TB-1</t>
  </si>
  <si>
    <t>TACKBOARD</t>
  </si>
  <si>
    <t>SECTION 101423 - PANEL SIGNAGE</t>
  </si>
  <si>
    <t>PS-1</t>
  </si>
  <si>
    <t xml:space="preserve">PANEL SIGN </t>
  </si>
  <si>
    <t>SECTION 102100 - TOILET PARTITIONS</t>
  </si>
  <si>
    <t>TP-1</t>
  </si>
  <si>
    <t xml:space="preserve">SOLID-POLYMER TOILET COMPARTMENT  </t>
  </si>
  <si>
    <t>SECTION 102800 - TOILET, BATH, AND LAUNDRY ACCESSORIES</t>
  </si>
  <si>
    <t>TA-1</t>
  </si>
  <si>
    <t xml:space="preserve">TOILET TISSUE (ROLL) DISPENSER  </t>
  </si>
  <si>
    <t>SECTION 104413 - FIRE PROTECTION CABINETS</t>
  </si>
  <si>
    <t>FE-1</t>
  </si>
  <si>
    <t xml:space="preserve">FIRE EXTINGUISHER  WITH CABINET  </t>
  </si>
  <si>
    <t>SECTION 122200 - DRAPERIES</t>
  </si>
  <si>
    <t>DRO-1</t>
  </si>
  <si>
    <t>MANUALLY OPERATED DRAPERY</t>
  </si>
  <si>
    <t>SECTION 122413 - ROLLER WINDOW SHADES</t>
  </si>
  <si>
    <t>RS-1</t>
  </si>
  <si>
    <t xml:space="preserve">MANUALLY OPERATED ROLLER SHADE  </t>
  </si>
  <si>
    <t>SECTION 123640 - STONE COUNTERTOPS</t>
  </si>
  <si>
    <t>STC-1</t>
  </si>
  <si>
    <t>STONE COUNTERTOPS</t>
  </si>
  <si>
    <t>SECTION 123661 -SIMULATED STONE COUNTERTOPS</t>
  </si>
  <si>
    <t>SSC-1</t>
  </si>
  <si>
    <t>SIMULATED STONE COUNTERTOPS (SOLID SURFACING OR QUARTZ AGGLOMERATE)</t>
  </si>
  <si>
    <t>SECTION 124813 - ENTRANCE FLOOR MATS AND FRAMES</t>
  </si>
  <si>
    <t>EM-50</t>
  </si>
  <si>
    <t>ALUMINUM AND CARPET MAT</t>
  </si>
  <si>
    <t>ACOUSTICAL TILE CEILING (CONCEALED GRID)</t>
  </si>
  <si>
    <t>ACOUSTIC PLASTER CEILING</t>
  </si>
  <si>
    <t>33300</t>
  </si>
  <si>
    <t>CARPET TILE</t>
  </si>
  <si>
    <t>CARPET BROADLOOM</t>
  </si>
  <si>
    <t>HIGH-PERFORMANCE COATING</t>
  </si>
  <si>
    <t>122200</t>
  </si>
  <si>
    <t>FLOOR-TO-FLOOR EXPANSION CONTROL</t>
  </si>
  <si>
    <t>79500</t>
  </si>
  <si>
    <t>ALUM. EXPANSION JOINT</t>
  </si>
  <si>
    <t>FIRE EXTINGUISHER  WITH CABINET</t>
  </si>
  <si>
    <t>104413</t>
  </si>
  <si>
    <t>FABRIC-WRAPPED WALL PANEL</t>
  </si>
  <si>
    <t>STEEL GRATING</t>
  </si>
  <si>
    <t>92900</t>
  </si>
  <si>
    <t>EXTRUDED ALUMINUM HORIZONTAL STORM LOUVER</t>
  </si>
  <si>
    <t>101123</t>
  </si>
  <si>
    <t>55000</t>
  </si>
  <si>
    <t>FLAT SEAM PANELS</t>
  </si>
  <si>
    <t>74213</t>
  </si>
  <si>
    <t>METAL BASE</t>
  </si>
  <si>
    <t>PRECAST PAVERS</t>
  </si>
  <si>
    <t>PLASTIC LAMINATE</t>
  </si>
  <si>
    <t>RESIN WALL PANELING</t>
  </si>
  <si>
    <t>PANEL SIGN</t>
  </si>
  <si>
    <t>101423</t>
  </si>
  <si>
    <t>INTENSIVE GREEN ROOF ASSEMBLY</t>
  </si>
  <si>
    <t>EPDM</t>
  </si>
  <si>
    <t>DECORATIVE GLASS GUARDRAIL</t>
  </si>
  <si>
    <t>MANUALLY OPERATED ROLLER SHADE</t>
  </si>
  <si>
    <t>122413</t>
  </si>
  <si>
    <t>STAINING AND TRANSPARENT FINISH</t>
  </si>
  <si>
    <t>STONE WALL PANELS</t>
  </si>
  <si>
    <t>PORTLAND CEMENT PLASTER, EXTERIOR SOFFIT FINISH</t>
  </si>
  <si>
    <t>METAL STUD</t>
  </si>
  <si>
    <t>92216</t>
  </si>
  <si>
    <t>STONE FLOOR TILE</t>
  </si>
  <si>
    <t>STONE STAIR TREAD</t>
  </si>
  <si>
    <t>TOILET TISSUE (ROLL) DISPENSER</t>
  </si>
  <si>
    <t>102800</t>
  </si>
  <si>
    <t>WALL TILE</t>
  </si>
  <si>
    <t>FLOOR TILE</t>
  </si>
  <si>
    <t>SOLID-POLYMER TOILET COMPARTMENT</t>
  </si>
  <si>
    <t>102100</t>
  </si>
  <si>
    <t>CEMENT TERRAZZO FLOORING</t>
  </si>
  <si>
    <t>EPOXY TERRAZZO FLOORING</t>
  </si>
  <si>
    <t>WOOD BASE</t>
  </si>
  <si>
    <t>SUSPENDED WOOD CEILING (GRILLE)</t>
  </si>
  <si>
    <t>SUSPENDED WOOD CEILING (TILE OR PLANK)</t>
  </si>
  <si>
    <t>CORK FLOORING</t>
  </si>
  <si>
    <t>WOOD GRILLE PANEL CEILING</t>
  </si>
  <si>
    <t>MEMBRANE WATERPROOFING</t>
  </si>
  <si>
    <t>71413</t>
  </si>
  <si>
    <t>WOOD VENEER FLUSH WOOD PANELING</t>
  </si>
  <si>
    <t>10</t>
  </si>
  <si>
    <t>12</t>
  </si>
  <si>
    <t>3</t>
  </si>
  <si>
    <t>5</t>
  </si>
  <si>
    <t>7</t>
  </si>
  <si>
    <t>9</t>
  </si>
  <si>
    <t>GWB-1A</t>
  </si>
  <si>
    <t>ACT-1A</t>
  </si>
  <si>
    <t>ACT-1B</t>
  </si>
  <si>
    <t>WCP-1A</t>
  </si>
  <si>
    <t>WCP-1B</t>
  </si>
  <si>
    <t>WCP-2A</t>
  </si>
  <si>
    <t>WCP-2B</t>
  </si>
  <si>
    <t>GYPSUM BOARD CEILING (SUSPENSION)</t>
  </si>
  <si>
    <t>GYPSUM BOARD CEILING (BLACK IRON NYC)</t>
  </si>
  <si>
    <t>SECTION 092226 - GYPSUM BOARD CEILING</t>
  </si>
  <si>
    <t>GWB-1B</t>
  </si>
  <si>
    <t>FCP-1</t>
  </si>
  <si>
    <t>FELT CEILING PANELS</t>
  </si>
  <si>
    <t>FRP-1</t>
  </si>
  <si>
    <t>FIBERGLASS REINFORCED PLASTIC PANEL</t>
  </si>
  <si>
    <t>MCP-4B</t>
  </si>
  <si>
    <t>METAL CEILING PANELS MESH</t>
  </si>
  <si>
    <t>FRC-1</t>
  </si>
  <si>
    <t>FRC-2</t>
  </si>
  <si>
    <t>FIRE RATED CEILING 1 HR</t>
  </si>
  <si>
    <t>FIRE RATED CEILING 2 HR</t>
  </si>
  <si>
    <t>SAT-1</t>
  </si>
  <si>
    <t>MCP-1A</t>
  </si>
  <si>
    <t>MCP-1B</t>
  </si>
  <si>
    <t>MCP-2A</t>
  </si>
  <si>
    <t>MCP-2B</t>
  </si>
  <si>
    <t>MCP-3</t>
  </si>
  <si>
    <t>MCP-3A</t>
  </si>
  <si>
    <t>MCP-3B</t>
  </si>
  <si>
    <t>ACOUSTICAL PANELS</t>
  </si>
  <si>
    <t>SECTION 095446 - FABRIC WARPPED CEILING PANELS</t>
  </si>
  <si>
    <t>STO-1</t>
  </si>
  <si>
    <t>STUCCO CEILING (EXTERIOR)</t>
  </si>
  <si>
    <t>MCP-4A</t>
  </si>
  <si>
    <t>SPRAYED CELLULOSE ACOUSTICAL INSULATION</t>
  </si>
  <si>
    <t>SECTION 098316 - METAL CEILINGS</t>
  </si>
  <si>
    <t>SECTION 092900 - FIRE RATED CEILINGS</t>
  </si>
  <si>
    <t>SECTION 097700 - FIBERGLASS REINFORCED PLASTIC CEILINGS</t>
  </si>
  <si>
    <t>SECTION 092400 - STUCCO CEILINGS EXTERIOR</t>
  </si>
  <si>
    <t>SECTION 095426 - WOOD CEILINGS</t>
  </si>
  <si>
    <t>ACOUSTICAL METAL PAN CEILING</t>
  </si>
  <si>
    <t>LINEAR METAL CEILING</t>
  </si>
  <si>
    <t>SECTION 095436 - SUSPENDED DECORATIVE GRIDS</t>
  </si>
  <si>
    <t>SECTION  095423 -LINEAR METAL CEILINGS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</si>
</sst>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00000"/>
    <numFmt numFmtId="165" formatCode="00000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12"/>
      <color theme="1"/>
      <name val="Arial Narrow"/>
      <family val="2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b/>
      <sz val="10"/>
      <name val="Segoe UI"/>
      <family val="2"/>
    </font>
    <font>
      <b/>
      <sz val="8"/>
      <color theme="0"/>
      <name val="Arial Narrow"/>
      <family val="2"/>
    </font>
    <font>
      <sz val="1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0"/>
      <name val="Webdings"/>
      <family val="1"/>
      <charset val="2"/>
    </font>
    <font>
      <sz val="10"/>
      <color theme="0" tint="-0.499984740745262"/>
      <name val="Webdings"/>
      <family val="1"/>
      <charset val="2"/>
    </font>
    <font>
      <sz val="10"/>
      <color theme="4" tint="0.39994506668294322"/>
      <name val="Webdings"/>
      <family val="1"/>
      <charset val="2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indexed="64"/>
      </right>
      <top/>
      <bottom style="thick">
        <color auto="1"/>
      </bottom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4" fillId="0" borderId="0"/>
    <xf numFmtId="0" fontId="14" fillId="0" borderId="0" applyNumberForma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5" fillId="4" borderId="5" xfId="0" applyFont="1" applyFill="1" applyBorder="1"/>
    <xf numFmtId="0" fontId="5" fillId="4" borderId="1" xfId="0" applyFont="1" applyFill="1" applyBorder="1"/>
    <xf numFmtId="0" fontId="5" fillId="4" borderId="6" xfId="0" applyFont="1" applyFill="1" applyBorder="1"/>
    <xf numFmtId="0" fontId="0" fillId="4" borderId="5" xfId="0" applyFill="1" applyBorder="1" applyAlignment="1">
      <alignment horizontal="center"/>
    </xf>
    <xf numFmtId="0" fontId="0" fillId="4" borderId="1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0" xfId="0" applyAlignment="1">
      <alignment horizontal="left"/>
    </xf>
    <xf numFmtId="0" fontId="0" fillId="5" borderId="0" xfId="0" applyFill="1"/>
    <xf numFmtId="0" fontId="1" fillId="5" borderId="0" xfId="0" applyFont="1" applyFill="1"/>
    <xf numFmtId="0" fontId="6" fillId="0" borderId="0" xfId="0" applyFont="1"/>
    <xf numFmtId="0" fontId="7" fillId="0" borderId="0" xfId="0" applyFont="1" applyAlignment="1">
      <alignment vertical="top" wrapText="1"/>
    </xf>
    <xf numFmtId="0" fontId="8" fillId="0" borderId="0" xfId="0" applyFont="1"/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vertical="top" wrapText="1"/>
    </xf>
    <xf numFmtId="164" fontId="6" fillId="0" borderId="1" xfId="0" applyNumberFormat="1" applyFont="1" applyBorder="1" applyAlignment="1">
      <alignment horizontal="center" vertical="top" wrapText="1"/>
    </xf>
    <xf numFmtId="0" fontId="0" fillId="6" borderId="9" xfId="0" applyFill="1" applyBorder="1"/>
    <xf numFmtId="0" fontId="1" fillId="6" borderId="8" xfId="0" applyFont="1" applyFill="1" applyBorder="1"/>
    <xf numFmtId="0" fontId="0" fillId="6" borderId="5" xfId="0" applyFill="1" applyBorder="1"/>
    <xf numFmtId="0" fontId="0" fillId="6" borderId="6" xfId="0" applyFill="1" applyBorder="1" applyAlignment="1">
      <alignment horizontal="left"/>
    </xf>
    <xf numFmtId="0" fontId="0" fillId="6" borderId="11" xfId="0" applyFill="1" applyBorder="1"/>
    <xf numFmtId="0" fontId="0" fillId="6" borderId="12" xfId="0" applyFill="1" applyBorder="1" applyAlignment="1">
      <alignment horizontal="left"/>
    </xf>
    <xf numFmtId="0" fontId="0" fillId="3" borderId="13" xfId="0" applyFill="1" applyBorder="1"/>
    <xf numFmtId="0" fontId="0" fillId="3" borderId="14" xfId="0" applyFill="1" applyBorder="1"/>
    <xf numFmtId="0" fontId="0" fillId="3" borderId="10" xfId="0" applyFill="1" applyBorder="1"/>
    <xf numFmtId="0" fontId="0" fillId="4" borderId="15" xfId="0" applyFill="1" applyBorder="1"/>
    <xf numFmtId="0" fontId="1" fillId="0" borderId="0" xfId="0" applyFont="1" applyAlignment="1">
      <alignment horizontal="center" vertical="top" wrapText="1"/>
    </xf>
    <xf numFmtId="0" fontId="12" fillId="7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center" vertical="center"/>
    </xf>
    <xf numFmtId="49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164" fontId="13" fillId="0" borderId="0" xfId="0" applyNumberFormat="1" applyFont="1" applyAlignment="1">
      <alignment horizontal="left" vertical="center"/>
    </xf>
    <xf numFmtId="165" fontId="13" fillId="0" borderId="0" xfId="0" applyNumberFormat="1" applyFont="1" applyAlignment="1">
      <alignment horizontal="left" vertical="center"/>
    </xf>
    <xf numFmtId="0" fontId="0" fillId="6" borderId="16" xfId="0" applyFill="1" applyBorder="1"/>
    <xf numFmtId="0" fontId="0" fillId="6" borderId="17" xfId="0" applyFill="1" applyBorder="1" applyAlignment="1">
      <alignment horizontal="left"/>
    </xf>
    <xf numFmtId="0" fontId="15" fillId="0" borderId="0" xfId="2" applyFont="1"/>
    <xf numFmtId="0" fontId="0" fillId="9" borderId="19" xfId="0" applyFill="1" applyBorder="1"/>
    <xf numFmtId="0" fontId="0" fillId="9" borderId="21" xfId="0" applyFill="1" applyBorder="1"/>
    <xf numFmtId="0" fontId="1" fillId="9" borderId="19" xfId="0" applyFont="1" applyFill="1" applyBorder="1"/>
    <xf numFmtId="0" fontId="1" fillId="9" borderId="1" xfId="0" applyFont="1" applyFill="1" applyBorder="1" applyAlignment="1">
      <alignment horizontal="center"/>
    </xf>
    <xf numFmtId="0" fontId="1" fillId="9" borderId="20" xfId="0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18" fillId="9" borderId="20" xfId="0" applyFont="1" applyFill="1" applyBorder="1" applyAlignment="1">
      <alignment horizontal="center"/>
    </xf>
    <xf numFmtId="0" fontId="18" fillId="9" borderId="23" xfId="0" applyFont="1" applyFill="1" applyBorder="1" applyAlignment="1">
      <alignment horizontal="center"/>
    </xf>
    <xf numFmtId="0" fontId="0" fillId="0" borderId="27" xfId="0" applyBorder="1" applyAlignment="1">
      <alignment horizontal="left" vertical="center" wrapText="1"/>
    </xf>
    <xf numFmtId="0" fontId="19" fillId="0" borderId="27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0" fillId="0" borderId="28" xfId="0" applyBorder="1" applyAlignment="1">
      <alignment horizontal="left" vertical="center" wrapText="1"/>
    </xf>
    <xf numFmtId="0" fontId="20" fillId="0" borderId="28" xfId="0" applyFont="1" applyBorder="1" applyAlignment="1">
      <alignment horizontal="center" vertical="center" wrapText="1"/>
    </xf>
    <xf numFmtId="0" fontId="19" fillId="0" borderId="28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vertical="center" wrapText="1"/>
    </xf>
    <xf numFmtId="164" fontId="6" fillId="0" borderId="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10" borderId="0" xfId="0" applyFill="1" applyAlignment="1">
      <alignment vertical="top"/>
    </xf>
    <xf numFmtId="0" fontId="7" fillId="0" borderId="1" xfId="0" applyFont="1" applyBorder="1" applyAlignment="1">
      <alignment horizontal="center" vertical="top" wrapText="1"/>
    </xf>
    <xf numFmtId="0" fontId="3" fillId="0" borderId="29" xfId="0" applyFont="1" applyBorder="1" applyAlignment="1">
      <alignment horizontal="center" vertical="top" wrapText="1"/>
    </xf>
    <xf numFmtId="0" fontId="20" fillId="0" borderId="30" xfId="0" applyFont="1" applyBorder="1" applyAlignment="1">
      <alignment horizontal="center" vertical="center" wrapText="1"/>
    </xf>
    <xf numFmtId="0" fontId="0" fillId="0" borderId="29" xfId="0" applyBorder="1" applyAlignment="1">
      <alignment horizontal="center" vertical="top" wrapText="1"/>
    </xf>
    <xf numFmtId="0" fontId="19" fillId="0" borderId="30" xfId="0" applyFont="1" applyBorder="1" applyAlignment="1">
      <alignment horizontal="center" vertical="center" wrapText="1"/>
    </xf>
    <xf numFmtId="0" fontId="0" fillId="0" borderId="29" xfId="0" applyBorder="1" applyAlignment="1">
      <alignment vertical="top" wrapText="1"/>
    </xf>
    <xf numFmtId="0" fontId="1" fillId="0" borderId="29" xfId="0" applyFont="1" applyBorder="1" applyAlignment="1">
      <alignment vertical="top" wrapText="1"/>
    </xf>
    <xf numFmtId="0" fontId="0" fillId="0" borderId="30" xfId="0" applyBorder="1" applyAlignment="1">
      <alignment horizontal="left" vertical="center" wrapText="1"/>
    </xf>
    <xf numFmtId="0" fontId="0" fillId="0" borderId="29" xfId="0" applyBorder="1" applyAlignment="1">
      <alignment horizontal="left" vertical="top" wrapText="1"/>
    </xf>
    <xf numFmtId="0" fontId="1" fillId="0" borderId="29" xfId="0" applyFont="1" applyBorder="1" applyAlignment="1">
      <alignment horizontal="left" vertical="top" wrapText="1"/>
    </xf>
    <xf numFmtId="0" fontId="1" fillId="0" borderId="30" xfId="0" applyFont="1" applyBorder="1" applyAlignment="1">
      <alignment horizontal="left" vertical="center" wrapText="1"/>
    </xf>
    <xf numFmtId="0" fontId="1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0" fillId="0" borderId="0" xfId="0" applyAlignment="1">
      <alignment wrapText="1"/>
    </xf>
    <xf numFmtId="0" fontId="1" fillId="9" borderId="24" xfId="0" applyFont="1" applyFill="1" applyBorder="1" applyAlignment="1">
      <alignment horizontal="center"/>
    </xf>
    <xf numFmtId="0" fontId="1" fillId="9" borderId="25" xfId="0" applyFont="1" applyFill="1" applyBorder="1" applyAlignment="1">
      <alignment horizontal="center"/>
    </xf>
    <xf numFmtId="0" fontId="1" fillId="9" borderId="26" xfId="0" applyFont="1" applyFill="1" applyBorder="1" applyAlignment="1">
      <alignment horizontal="center"/>
    </xf>
    <xf numFmtId="0" fontId="0" fillId="2" borderId="0" xfId="0" applyFill="1" applyAlignment="1">
      <alignment horizontal="center" vertical="top" wrapText="1"/>
    </xf>
    <xf numFmtId="0" fontId="2" fillId="3" borderId="18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 wrapText="1"/>
    </xf>
  </cellXfs>
  <cellStyles count="3">
    <cellStyle name="Hyperlink" xfId="2" builtinId="8"/>
    <cellStyle name="Normal" xfId="0" builtinId="0"/>
    <cellStyle name="Normal 2" xfId="1" xr:uid="{5AD926C4-472C-4BE2-8233-A6EB791DD4EB}"/>
  </cellStyles>
  <dxfs count="57"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>
        <left style="medium">
          <color auto="1"/>
        </left>
        <right style="hair">
          <color indexed="64"/>
        </right>
        <top style="hair">
          <color indexed="64"/>
        </top>
        <bottom style="hair">
          <color indexed="64"/>
        </bottom>
        <vertical/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0" tint="-0.49998474074526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 style="hair">
          <color indexed="64"/>
        </right>
        <top style="hair">
          <color indexed="64"/>
        </top>
        <bottom style="hair">
          <color indexed="64"/>
        </bottom>
        <vertical/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4" tint="0.39994506668294322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auto="1"/>
        </left>
        <right/>
        <top style="hair">
          <color indexed="64"/>
        </top>
        <bottom style="hair">
          <color indexed="64"/>
        </bottom>
        <vertical/>
      </border>
    </dxf>
    <dxf>
      <alignment horizontal="left" vertical="center" textRotation="0" wrapText="1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font>
        <b/>
      </font>
      <alignment horizontal="left" vertical="center" textRotation="0" wrapText="1" indent="0" justifyLastLine="0" shrinkToFit="0" readingOrder="0"/>
      <border diagonalUp="0" diagonalDown="0">
        <left style="medium">
          <color auto="1"/>
        </left>
        <right style="hair">
          <color indexed="64"/>
        </right>
        <top style="hair">
          <color indexed="64"/>
        </top>
        <bottom style="hair">
          <color indexed="64"/>
        </bottom>
        <vertical/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vertical="top" textRotation="0" wrapText="1" indent="0" justifyLastLine="0" shrinkToFit="0" readingOrder="0"/>
    </dxf>
    <dxf>
      <fill>
        <patternFill patternType="lightUp">
          <fgColor theme="1"/>
        </patternFill>
      </fill>
    </dxf>
    <dxf>
      <font>
        <color theme="0" tint="-0.499984740745262"/>
      </font>
    </dxf>
    <dxf>
      <fill>
        <patternFill>
          <bgColor theme="9" tint="0.59996337778862885"/>
        </patternFill>
      </fill>
    </dxf>
    <dxf>
      <fill>
        <patternFill>
          <bgColor theme="7" tint="0.399914548173467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 outline="0">
        <top style="thin">
          <color auto="1"/>
        </top>
      </border>
    </dxf>
    <dxf>
      <border outline="0">
        <left style="thick">
          <color auto="1"/>
        </left>
        <right style="thick">
          <color auto="1"/>
        </right>
        <top style="thin">
          <color indexed="64"/>
        </top>
        <bottom style="thick">
          <color auto="1"/>
        </bottom>
      </border>
    </dxf>
    <dxf>
      <fill>
        <patternFill>
          <fgColor indexed="64"/>
          <bgColor theme="9" tint="0.79998168889431442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9" tint="0.79992065187536243"/>
          <bgColor rgb="FFF4F9F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theme="6"/>
          <bgColor theme="1" tint="0.34998626667073579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dotted">
          <color theme="1" tint="0.34998626667073579"/>
        </left>
        <right style="dotted">
          <color theme="1" tint="0.34998626667073579"/>
        </right>
        <top style="dotted">
          <color theme="1" tint="0.34998626667073579"/>
        </top>
        <bottom style="dotted">
          <color theme="1" tint="0.34998626667073579"/>
        </bottom>
        <vertical style="dotted">
          <color theme="1" tint="0.34998626667073579"/>
        </vertical>
        <horizontal style="dotted">
          <color theme="1" tint="0.34998626667073579"/>
        </horizontal>
      </border>
    </dxf>
  </dxfs>
  <tableStyles count="1" defaultTableStyle="TableStyleMedium2" defaultPivotStyle="PivotStyleLight16">
    <tableStyle name="KeynoteDatabase" pivot="0" count="6" xr9:uid="{F455680F-7BF2-45FE-9E05-0493211B34B4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</tableStyle>
  </tableStyles>
  <colors>
    <mruColors>
      <color rgb="FFF4F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9</xdr:row>
          <xdr:rowOff>47625</xdr:rowOff>
        </xdr:from>
        <xdr:to>
          <xdr:col>7</xdr:col>
          <xdr:colOff>285750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Resort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11</xdr:row>
          <xdr:rowOff>123825</xdr:rowOff>
        </xdr:from>
        <xdr:to>
          <xdr:col>7</xdr:col>
          <xdr:colOff>257175</xdr:colOff>
          <xdr:row>13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Indices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13</xdr:row>
          <xdr:rowOff>171450</xdr:rowOff>
        </xdr:from>
        <xdr:to>
          <xdr:col>7</xdr:col>
          <xdr:colOff>247650</xdr:colOff>
          <xdr:row>15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Keynotes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sai, Gayatri" refreshedDate="45379.491425347223" backgroundQuery="1" createdVersion="6" refreshedVersion="8" minRefreshableVersion="3" recordCount="0" supportSubquery="1" supportAdvancedDrill="1" xr:uid="{3B1C6896-5156-494C-A296-914F46E09255}">
  <cacheSource type="external" connectionId="1"/>
  <cacheFields count="3">
    <cacheField name="[Database].[KEYNOTE #].[KEYNOTE #]" caption="KEYNOTE #" numFmtId="0" hierarchy="5" level="1">
      <sharedItems count="203">
        <s v="101"/>
        <s v="102"/>
        <s v="103"/>
        <s v="1101"/>
        <s v="1102"/>
        <s v="1103"/>
        <s v="1201"/>
        <s v="1202"/>
        <s v="1203"/>
        <s v="1301"/>
        <s v="1302"/>
        <s v="1303"/>
        <s v="1401"/>
        <s v="1402"/>
        <s v="1403"/>
        <s v="1501"/>
        <s v="1502"/>
        <s v="1503"/>
        <s v="1601"/>
        <s v="1602"/>
        <s v="1603"/>
        <s v="1701"/>
        <s v="1702"/>
        <s v="1703"/>
        <s v="201"/>
        <s v="202"/>
        <s v="203"/>
        <s v="301"/>
        <s v="302"/>
        <s v="303"/>
        <s v="401"/>
        <s v="402"/>
        <s v="403"/>
        <s v="501"/>
        <s v="502"/>
        <s v="503"/>
        <s v="5101"/>
        <s v="5102"/>
        <s v="5103"/>
        <s v="5201"/>
        <s v="5202"/>
        <s v="5203"/>
        <s v="5301"/>
        <s v="5302"/>
        <s v="5303"/>
        <s v="5401"/>
        <s v="5402"/>
        <s v="5403"/>
        <s v="5501"/>
        <s v="5502"/>
        <s v="5503"/>
        <s v="5601"/>
        <s v="5602"/>
        <s v="5603"/>
        <s v="5701"/>
        <s v="5702"/>
        <s v="5703"/>
        <s v="5704"/>
        <s v="5705"/>
        <s v="5706"/>
        <s v="601"/>
        <s v="602"/>
        <s v="603"/>
        <s v="701"/>
        <s v="702"/>
        <s v="703"/>
        <s v="7101"/>
        <s v="7102"/>
        <s v="7103"/>
        <s v="801"/>
        <s v="802"/>
        <s v="901"/>
        <s v="902"/>
        <s v="903"/>
        <s v="904"/>
        <s v="905"/>
        <s v="906"/>
        <s v="907"/>
        <s v="908"/>
        <s v="909"/>
        <s v="910"/>
        <s v="911"/>
        <s v="912"/>
        <s v="913"/>
        <s v="914"/>
        <s v="915"/>
        <s v="916"/>
        <s v="917"/>
        <s v="918"/>
        <s v="919"/>
        <s v="ACP-1"/>
        <s v="ACT-1"/>
        <s v="ACT-1A"/>
        <s v="ACT-1B"/>
        <s v="AT-1"/>
        <s v="B2010.20"/>
        <s v="B2020.30"/>
        <s v="BR-50"/>
        <s v="C1010.10"/>
        <s v="CMU-50"/>
        <s v="CNC-1"/>
        <s v="CNC-2"/>
        <s v="CNC-50"/>
        <s v="CNC-51"/>
        <s v="CPT-1"/>
        <s v="CPT-2"/>
        <s v="CST-50"/>
        <s v="CTG-1"/>
        <s v="CW-50"/>
        <s v="DRO-1"/>
        <s v="EJ-1"/>
        <s v="EJ-50"/>
        <s v="EM-50"/>
        <s v="FCP-1"/>
        <s v="FE-1"/>
        <s v="FRC-1"/>
        <s v="FRC-2"/>
        <s v="FRP-1"/>
        <s v="FWP-1"/>
        <s v="GFC-50"/>
        <s v="GL-1"/>
        <s v="GL-2"/>
        <s v="GL-3"/>
        <s v="GL-4"/>
        <s v="GL-5"/>
        <s v="GL-50"/>
        <s v="GL-51"/>
        <s v="GL-6"/>
        <s v="GRT-50"/>
        <s v="GWB-1"/>
        <s v="GWB-1A"/>
        <s v="GWB-1B"/>
        <s v="GWB-50"/>
        <s v="LVR-50"/>
        <s v="MB-1"/>
        <s v="MBP-1"/>
        <s v="MCP-1"/>
        <s v="MCP-1A"/>
        <s v="MCP-1B"/>
        <s v="MCP-2"/>
        <s v="MCP-2A"/>
        <s v="MCP-2B"/>
        <s v="MCP-3"/>
        <s v="MCP-3A"/>
        <s v="MCP-3B"/>
        <s v="MCP-4A"/>
        <s v="MCP-4B"/>
        <s v="MF-50"/>
        <s v="MP-50"/>
        <s v="MTL-1"/>
        <s v="MTL-2"/>
        <s v="MTL-3"/>
        <s v="MTL-4"/>
        <s v="MTL-50"/>
        <s v="PCC-50"/>
        <s v="PCC-51"/>
        <s v="PLM-1"/>
        <s v="PLR-1"/>
        <s v="PS-1"/>
        <s v="PT-1"/>
        <s v="RB-1"/>
        <s v="RF-1"/>
        <s v="RFG-50"/>
        <s v="RFG-51"/>
        <s v="RLG-50"/>
        <s v="RLG-51"/>
        <s v="RLG-52"/>
        <s v="RS-1"/>
        <s v="RSF-1"/>
        <s v="SAT-1"/>
        <s v="SF-1"/>
        <s v="SSC-1"/>
        <s v="ST-2"/>
        <s v="ST-50"/>
        <s v="STC-1"/>
        <s v="STC-50"/>
        <s v="STD-1"/>
        <s v="STF-1"/>
        <s v="STF-2"/>
        <s v="STO-1"/>
        <s v="TA-1"/>
        <s v="TB-1"/>
        <s v="TC-50"/>
        <s v="TL-1"/>
        <s v="TL-2"/>
        <s v="TP-1"/>
        <s v="TZ-1"/>
        <s v="TZ-2"/>
        <s v="WB-1"/>
        <s v="WC-1"/>
        <s v="WCP-1"/>
        <s v="WCP-1A"/>
        <s v="WCP-1B"/>
        <s v="WCP-2"/>
        <s v="WCP-2A"/>
        <s v="WCP-2B"/>
        <s v="WD-1"/>
        <s v="WDF-1"/>
        <s v="WDF-2"/>
        <s v="WDS-1"/>
        <s v="WG-2"/>
        <s v="WP-50"/>
        <s v="WV-1"/>
      </sharedItems>
      <extLst>
        <ext xmlns:x15="http://schemas.microsoft.com/office/spreadsheetml/2010/11/main" uri="{4F2E5C28-24EA-4eb8-9CBF-B6C8F9C3D259}">
          <x15:cachedUniqueNames>
            <x15:cachedUniqueName index="0" name="[Database].[KEYNOTE #].&amp;[101]"/>
            <x15:cachedUniqueName index="1" name="[Database].[KEYNOTE #].&amp;[102]"/>
            <x15:cachedUniqueName index="2" name="[Database].[KEYNOTE #].&amp;[103]"/>
            <x15:cachedUniqueName index="3" name="[Database].[KEYNOTE #].&amp;[1101]"/>
            <x15:cachedUniqueName index="4" name="[Database].[KEYNOTE #].&amp;[1102]"/>
            <x15:cachedUniqueName index="5" name="[Database].[KEYNOTE #].&amp;[1103]"/>
            <x15:cachedUniqueName index="6" name="[Database].[KEYNOTE #].&amp;[1201]"/>
            <x15:cachedUniqueName index="7" name="[Database].[KEYNOTE #].&amp;[1202]"/>
            <x15:cachedUniqueName index="8" name="[Database].[KEYNOTE #].&amp;[1203]"/>
            <x15:cachedUniqueName index="9" name="[Database].[KEYNOTE #].&amp;[1301]"/>
            <x15:cachedUniqueName index="10" name="[Database].[KEYNOTE #].&amp;[1302]"/>
            <x15:cachedUniqueName index="11" name="[Database].[KEYNOTE #].&amp;[1303]"/>
            <x15:cachedUniqueName index="12" name="[Database].[KEYNOTE #].&amp;[1401]"/>
            <x15:cachedUniqueName index="13" name="[Database].[KEYNOTE #].&amp;[1402]"/>
            <x15:cachedUniqueName index="14" name="[Database].[KEYNOTE #].&amp;[1403]"/>
            <x15:cachedUniqueName index="15" name="[Database].[KEYNOTE #].&amp;[1501]"/>
            <x15:cachedUniqueName index="16" name="[Database].[KEYNOTE #].&amp;[1502]"/>
            <x15:cachedUniqueName index="17" name="[Database].[KEYNOTE #].&amp;[1503]"/>
            <x15:cachedUniqueName index="18" name="[Database].[KEYNOTE #].&amp;[1601]"/>
            <x15:cachedUniqueName index="19" name="[Database].[KEYNOTE #].&amp;[1602]"/>
            <x15:cachedUniqueName index="20" name="[Database].[KEYNOTE #].&amp;[1603]"/>
            <x15:cachedUniqueName index="21" name="[Database].[KEYNOTE #].&amp;[1701]"/>
            <x15:cachedUniqueName index="22" name="[Database].[KEYNOTE #].&amp;[1702]"/>
            <x15:cachedUniqueName index="23" name="[Database].[KEYNOTE #].&amp;[1703]"/>
            <x15:cachedUniqueName index="24" name="[Database].[KEYNOTE #].&amp;[201]"/>
            <x15:cachedUniqueName index="25" name="[Database].[KEYNOTE #].&amp;[202]"/>
            <x15:cachedUniqueName index="26" name="[Database].[KEYNOTE #].&amp;[203]"/>
            <x15:cachedUniqueName index="27" name="[Database].[KEYNOTE #].&amp;[301]"/>
            <x15:cachedUniqueName index="28" name="[Database].[KEYNOTE #].&amp;[302]"/>
            <x15:cachedUniqueName index="29" name="[Database].[KEYNOTE #].&amp;[303]"/>
            <x15:cachedUniqueName index="30" name="[Database].[KEYNOTE #].&amp;[401]"/>
            <x15:cachedUniqueName index="31" name="[Database].[KEYNOTE #].&amp;[402]"/>
            <x15:cachedUniqueName index="32" name="[Database].[KEYNOTE #].&amp;[403]"/>
            <x15:cachedUniqueName index="33" name="[Database].[KEYNOTE #].&amp;[501]"/>
            <x15:cachedUniqueName index="34" name="[Database].[KEYNOTE #].&amp;[502]"/>
            <x15:cachedUniqueName index="35" name="[Database].[KEYNOTE #].&amp;[503]"/>
            <x15:cachedUniqueName index="36" name="[Database].[KEYNOTE #].&amp;[5101]"/>
            <x15:cachedUniqueName index="37" name="[Database].[KEYNOTE #].&amp;[5102]"/>
            <x15:cachedUniqueName index="38" name="[Database].[KEYNOTE #].&amp;[5103]"/>
            <x15:cachedUniqueName index="39" name="[Database].[KEYNOTE #].&amp;[5201]"/>
            <x15:cachedUniqueName index="40" name="[Database].[KEYNOTE #].&amp;[5202]"/>
            <x15:cachedUniqueName index="41" name="[Database].[KEYNOTE #].&amp;[5203]"/>
            <x15:cachedUniqueName index="42" name="[Database].[KEYNOTE #].&amp;[5301]"/>
            <x15:cachedUniqueName index="43" name="[Database].[KEYNOTE #].&amp;[5302]"/>
            <x15:cachedUniqueName index="44" name="[Database].[KEYNOTE #].&amp;[5303]"/>
            <x15:cachedUniqueName index="45" name="[Database].[KEYNOTE #].&amp;[5401]"/>
            <x15:cachedUniqueName index="46" name="[Database].[KEYNOTE #].&amp;[5402]"/>
            <x15:cachedUniqueName index="47" name="[Database].[KEYNOTE #].&amp;[5403]"/>
            <x15:cachedUniqueName index="48" name="[Database].[KEYNOTE #].&amp;[5501]"/>
            <x15:cachedUniqueName index="49" name="[Database].[KEYNOTE #].&amp;[5502]"/>
            <x15:cachedUniqueName index="50" name="[Database].[KEYNOTE #].&amp;[5503]"/>
            <x15:cachedUniqueName index="51" name="[Database].[KEYNOTE #].&amp;[5601]"/>
            <x15:cachedUniqueName index="52" name="[Database].[KEYNOTE #].&amp;[5602]"/>
            <x15:cachedUniqueName index="53" name="[Database].[KEYNOTE #].&amp;[5603]"/>
            <x15:cachedUniqueName index="54" name="[Database].[KEYNOTE #].&amp;[5701]"/>
            <x15:cachedUniqueName index="55" name="[Database].[KEYNOTE #].&amp;[5702]"/>
            <x15:cachedUniqueName index="56" name="[Database].[KEYNOTE #].&amp;[5703]"/>
            <x15:cachedUniqueName index="57" name="[Database].[KEYNOTE #].&amp;[5704]"/>
            <x15:cachedUniqueName index="58" name="[Database].[KEYNOTE #].&amp;[5705]"/>
            <x15:cachedUniqueName index="59" name="[Database].[KEYNOTE #].&amp;[5706]"/>
            <x15:cachedUniqueName index="60" name="[Database].[KEYNOTE #].&amp;[601]"/>
            <x15:cachedUniqueName index="61" name="[Database].[KEYNOTE #].&amp;[602]"/>
            <x15:cachedUniqueName index="62" name="[Database].[KEYNOTE #].&amp;[603]"/>
            <x15:cachedUniqueName index="63" name="[Database].[KEYNOTE #].&amp;[701]"/>
            <x15:cachedUniqueName index="64" name="[Database].[KEYNOTE #].&amp;[702]"/>
            <x15:cachedUniqueName index="65" name="[Database].[KEYNOTE #].&amp;[703]"/>
            <x15:cachedUniqueName index="66" name="[Database].[KEYNOTE #].&amp;[7101]"/>
            <x15:cachedUniqueName index="67" name="[Database].[KEYNOTE #].&amp;[7102]"/>
            <x15:cachedUniqueName index="68" name="[Database].[KEYNOTE #].&amp;[7103]"/>
            <x15:cachedUniqueName index="69" name="[Database].[KEYNOTE #].&amp;[801]"/>
            <x15:cachedUniqueName index="70" name="[Database].[KEYNOTE #].&amp;[802]"/>
            <x15:cachedUniqueName index="71" name="[Database].[KEYNOTE #].&amp;[901]"/>
            <x15:cachedUniqueName index="72" name="[Database].[KEYNOTE #].&amp;[902]"/>
            <x15:cachedUniqueName index="73" name="[Database].[KEYNOTE #].&amp;[903]"/>
            <x15:cachedUniqueName index="74" name="[Database].[KEYNOTE #].&amp;[904]"/>
            <x15:cachedUniqueName index="75" name="[Database].[KEYNOTE #].&amp;[905]"/>
            <x15:cachedUniqueName index="76" name="[Database].[KEYNOTE #].&amp;[906]"/>
            <x15:cachedUniqueName index="77" name="[Database].[KEYNOTE #].&amp;[907]"/>
            <x15:cachedUniqueName index="78" name="[Database].[KEYNOTE #].&amp;[908]"/>
            <x15:cachedUniqueName index="79" name="[Database].[KEYNOTE #].&amp;[909]"/>
            <x15:cachedUniqueName index="80" name="[Database].[KEYNOTE #].&amp;[910]"/>
            <x15:cachedUniqueName index="81" name="[Database].[KEYNOTE #].&amp;[911]"/>
            <x15:cachedUniqueName index="82" name="[Database].[KEYNOTE #].&amp;[912]"/>
            <x15:cachedUniqueName index="83" name="[Database].[KEYNOTE #].&amp;[913]"/>
            <x15:cachedUniqueName index="84" name="[Database].[KEYNOTE #].&amp;[914]"/>
            <x15:cachedUniqueName index="85" name="[Database].[KEYNOTE #].&amp;[915]"/>
            <x15:cachedUniqueName index="86" name="[Database].[KEYNOTE #].&amp;[916]"/>
            <x15:cachedUniqueName index="87" name="[Database].[KEYNOTE #].&amp;[917]"/>
            <x15:cachedUniqueName index="88" name="[Database].[KEYNOTE #].&amp;[918]"/>
            <x15:cachedUniqueName index="89" name="[Database].[KEYNOTE #].&amp;[919]"/>
            <x15:cachedUniqueName index="90" name="[Database].[KEYNOTE #].&amp;[ACP-1]"/>
            <x15:cachedUniqueName index="91" name="[Database].[KEYNOTE #].&amp;[ACT-1]"/>
            <x15:cachedUniqueName index="92" name="[Database].[KEYNOTE #].&amp;[ACT-1A]"/>
            <x15:cachedUniqueName index="93" name="[Database].[KEYNOTE #].&amp;[ACT-1B]"/>
            <x15:cachedUniqueName index="94" name="[Database].[KEYNOTE #].&amp;[AT-1]"/>
            <x15:cachedUniqueName index="95" name="[Database].[KEYNOTE #].&amp;[B2010.20]"/>
            <x15:cachedUniqueName index="96" name="[Database].[KEYNOTE #].&amp;[B2020.30]"/>
            <x15:cachedUniqueName index="97" name="[Database].[KEYNOTE #].&amp;[BR-50]"/>
            <x15:cachedUniqueName index="98" name="[Database].[KEYNOTE #].&amp;[C1010.10]"/>
            <x15:cachedUniqueName index="99" name="[Database].[KEYNOTE #].&amp;[CMU-50]"/>
            <x15:cachedUniqueName index="100" name="[Database].[KEYNOTE #].&amp;[CNC-1]"/>
            <x15:cachedUniqueName index="101" name="[Database].[KEYNOTE #].&amp;[CNC-2]"/>
            <x15:cachedUniqueName index="102" name="[Database].[KEYNOTE #].&amp;[CNC-50]"/>
            <x15:cachedUniqueName index="103" name="[Database].[KEYNOTE #].&amp;[CNC-51]"/>
            <x15:cachedUniqueName index="104" name="[Database].[KEYNOTE #].&amp;[CPT-1]"/>
            <x15:cachedUniqueName index="105" name="[Database].[KEYNOTE #].&amp;[CPT-2]"/>
            <x15:cachedUniqueName index="106" name="[Database].[KEYNOTE #].&amp;[CST-50]"/>
            <x15:cachedUniqueName index="107" name="[Database].[KEYNOTE #].&amp;[CTG-1]"/>
            <x15:cachedUniqueName index="108" name="[Database].[KEYNOTE #].&amp;[CW-50]"/>
            <x15:cachedUniqueName index="109" name="[Database].[KEYNOTE #].&amp;[DRO-1]"/>
            <x15:cachedUniqueName index="110" name="[Database].[KEYNOTE #].&amp;[EJ-1]"/>
            <x15:cachedUniqueName index="111" name="[Database].[KEYNOTE #].&amp;[EJ-50]"/>
            <x15:cachedUniqueName index="112" name="[Database].[KEYNOTE #].&amp;[EM-50]"/>
            <x15:cachedUniqueName index="113" name="[Database].[KEYNOTE #].&amp;[FCP-1]"/>
            <x15:cachedUniqueName index="114" name="[Database].[KEYNOTE #].&amp;[FE-1]"/>
            <x15:cachedUniqueName index="115" name="[Database].[KEYNOTE #].&amp;[FRC-1]"/>
            <x15:cachedUniqueName index="116" name="[Database].[KEYNOTE #].&amp;[FRC-2]"/>
            <x15:cachedUniqueName index="117" name="[Database].[KEYNOTE #].&amp;[FRP-1]"/>
            <x15:cachedUniqueName index="118" name="[Database].[KEYNOTE #].&amp;[FWP-1]"/>
            <x15:cachedUniqueName index="119" name="[Database].[KEYNOTE #].&amp;[GFC-50]"/>
            <x15:cachedUniqueName index="120" name="[Database].[KEYNOTE #].&amp;[GL-1]"/>
            <x15:cachedUniqueName index="121" name="[Database].[KEYNOTE #].&amp;[GL-2]"/>
            <x15:cachedUniqueName index="122" name="[Database].[KEYNOTE #].&amp;[GL-3]"/>
            <x15:cachedUniqueName index="123" name="[Database].[KEYNOTE #].&amp;[GL-4]"/>
            <x15:cachedUniqueName index="124" name="[Database].[KEYNOTE #].&amp;[GL-5]"/>
            <x15:cachedUniqueName index="125" name="[Database].[KEYNOTE #].&amp;[GL-50]"/>
            <x15:cachedUniqueName index="126" name="[Database].[KEYNOTE #].&amp;[GL-51]"/>
            <x15:cachedUniqueName index="127" name="[Database].[KEYNOTE #].&amp;[GL-6]"/>
            <x15:cachedUniqueName index="128" name="[Database].[KEYNOTE #].&amp;[GRT-50]"/>
            <x15:cachedUniqueName index="129" name="[Database].[KEYNOTE #].&amp;[GWB-1]"/>
            <x15:cachedUniqueName index="130" name="[Database].[KEYNOTE #].&amp;[GWB-1A]"/>
            <x15:cachedUniqueName index="131" name="[Database].[KEYNOTE #].&amp;[GWB-1B]"/>
            <x15:cachedUniqueName index="132" name="[Database].[KEYNOTE #].&amp;[GWB-50]"/>
            <x15:cachedUniqueName index="133" name="[Database].[KEYNOTE #].&amp;[LVR-50]"/>
            <x15:cachedUniqueName index="134" name="[Database].[KEYNOTE #].&amp;[MB-1]"/>
            <x15:cachedUniqueName index="135" name="[Database].[KEYNOTE #].&amp;[MBP-1]"/>
            <x15:cachedUniqueName index="136" name="[Database].[KEYNOTE #].&amp;[MCP-1]"/>
            <x15:cachedUniqueName index="137" name="[Database].[KEYNOTE #].&amp;[MCP-1A]"/>
            <x15:cachedUniqueName index="138" name="[Database].[KEYNOTE #].&amp;[MCP-1B]"/>
            <x15:cachedUniqueName index="139" name="[Database].[KEYNOTE #].&amp;[MCP-2]"/>
            <x15:cachedUniqueName index="140" name="[Database].[KEYNOTE #].&amp;[MCP-2A]"/>
            <x15:cachedUniqueName index="141" name="[Database].[KEYNOTE #].&amp;[MCP-2B]"/>
            <x15:cachedUniqueName index="142" name="[Database].[KEYNOTE #].&amp;[MCP-3]"/>
            <x15:cachedUniqueName index="143" name="[Database].[KEYNOTE #].&amp;[MCP-3A]"/>
            <x15:cachedUniqueName index="144" name="[Database].[KEYNOTE #].&amp;[MCP-3B]"/>
            <x15:cachedUniqueName index="145" name="[Database].[KEYNOTE #].&amp;[MCP-4A]"/>
            <x15:cachedUniqueName index="146" name="[Database].[KEYNOTE #].&amp;[MCP-4B]"/>
            <x15:cachedUniqueName index="147" name="[Database].[KEYNOTE #].&amp;[MF-50]"/>
            <x15:cachedUniqueName index="148" name="[Database].[KEYNOTE #].&amp;[MP-50]"/>
            <x15:cachedUniqueName index="149" name="[Database].[KEYNOTE #].&amp;[MTL-1]"/>
            <x15:cachedUniqueName index="150" name="[Database].[KEYNOTE #].&amp;[MTL-2]"/>
            <x15:cachedUniqueName index="151" name="[Database].[KEYNOTE #].&amp;[MTL-3]"/>
            <x15:cachedUniqueName index="152" name="[Database].[KEYNOTE #].&amp;[MTL-4]"/>
            <x15:cachedUniqueName index="153" name="[Database].[KEYNOTE #].&amp;[MTL-50]"/>
            <x15:cachedUniqueName index="154" name="[Database].[KEYNOTE #].&amp;[PCC-50]"/>
            <x15:cachedUniqueName index="155" name="[Database].[KEYNOTE #].&amp;[PCC-51]"/>
            <x15:cachedUniqueName index="156" name="[Database].[KEYNOTE #].&amp;[PLM-1]"/>
            <x15:cachedUniqueName index="157" name="[Database].[KEYNOTE #].&amp;[PLR-1]"/>
            <x15:cachedUniqueName index="158" name="[Database].[KEYNOTE #].&amp;[PS-1]"/>
            <x15:cachedUniqueName index="159" name="[Database].[KEYNOTE #].&amp;[PT-1]"/>
            <x15:cachedUniqueName index="160" name="[Database].[KEYNOTE #].&amp;[RB-1]"/>
            <x15:cachedUniqueName index="161" name="[Database].[KEYNOTE #].&amp;[RF-1]"/>
            <x15:cachedUniqueName index="162" name="[Database].[KEYNOTE #].&amp;[RFG-50]"/>
            <x15:cachedUniqueName index="163" name="[Database].[KEYNOTE #].&amp;[RFG-51]"/>
            <x15:cachedUniqueName index="164" name="[Database].[KEYNOTE #].&amp;[RLG-50]"/>
            <x15:cachedUniqueName index="165" name="[Database].[KEYNOTE #].&amp;[RLG-51]"/>
            <x15:cachedUniqueName index="166" name="[Database].[KEYNOTE #].&amp;[RLG-52]"/>
            <x15:cachedUniqueName index="167" name="[Database].[KEYNOTE #].&amp;[RS-1]"/>
            <x15:cachedUniqueName index="168" name="[Database].[KEYNOTE #].&amp;[RSF-1]"/>
            <x15:cachedUniqueName index="169" name="[Database].[KEYNOTE #].&amp;[SAT-1]"/>
            <x15:cachedUniqueName index="170" name="[Database].[KEYNOTE #].&amp;[SF-1]"/>
            <x15:cachedUniqueName index="171" name="[Database].[KEYNOTE #].&amp;[SSC-1]"/>
            <x15:cachedUniqueName index="172" name="[Database].[KEYNOTE #].&amp;[ST-2]"/>
            <x15:cachedUniqueName index="173" name="[Database].[KEYNOTE #].&amp;[ST-50]"/>
            <x15:cachedUniqueName index="174" name="[Database].[KEYNOTE #].&amp;[STC-1]"/>
            <x15:cachedUniqueName index="175" name="[Database].[KEYNOTE #].&amp;[STC-50]"/>
            <x15:cachedUniqueName index="176" name="[Database].[KEYNOTE #].&amp;[STD-1]"/>
            <x15:cachedUniqueName index="177" name="[Database].[KEYNOTE #].&amp;[STF-1]"/>
            <x15:cachedUniqueName index="178" name="[Database].[KEYNOTE #].&amp;[STF-2]"/>
            <x15:cachedUniqueName index="179" name="[Database].[KEYNOTE #].&amp;[STO-1]"/>
            <x15:cachedUniqueName index="180" name="[Database].[KEYNOTE #].&amp;[TA-1]"/>
            <x15:cachedUniqueName index="181" name="[Database].[KEYNOTE #].&amp;[TB-1]"/>
            <x15:cachedUniqueName index="182" name="[Database].[KEYNOTE #].&amp;[TC-50]"/>
            <x15:cachedUniqueName index="183" name="[Database].[KEYNOTE #].&amp;[TL-1]"/>
            <x15:cachedUniqueName index="184" name="[Database].[KEYNOTE #].&amp;[TL-2]"/>
            <x15:cachedUniqueName index="185" name="[Database].[KEYNOTE #].&amp;[TP-1]"/>
            <x15:cachedUniqueName index="186" name="[Database].[KEYNOTE #].&amp;[TZ-1]"/>
            <x15:cachedUniqueName index="187" name="[Database].[KEYNOTE #].&amp;[TZ-2]"/>
            <x15:cachedUniqueName index="188" name="[Database].[KEYNOTE #].&amp;[WB-1]"/>
            <x15:cachedUniqueName index="189" name="[Database].[KEYNOTE #].&amp;[WC-1]"/>
            <x15:cachedUniqueName index="190" name="[Database].[KEYNOTE #].&amp;[WCP-1]"/>
            <x15:cachedUniqueName index="191" name="[Database].[KEYNOTE #].&amp;[WCP-1A]"/>
            <x15:cachedUniqueName index="192" name="[Database].[KEYNOTE #].&amp;[WCP-1B]"/>
            <x15:cachedUniqueName index="193" name="[Database].[KEYNOTE #].&amp;[WCP-2]"/>
            <x15:cachedUniqueName index="194" name="[Database].[KEYNOTE #].&amp;[WCP-2A]"/>
            <x15:cachedUniqueName index="195" name="[Database].[KEYNOTE #].&amp;[WCP-2B]"/>
            <x15:cachedUniqueName index="196" name="[Database].[KEYNOTE #].&amp;[WD-1]"/>
            <x15:cachedUniqueName index="197" name="[Database].[KEYNOTE #].&amp;[WDF-1]"/>
            <x15:cachedUniqueName index="198" name="[Database].[KEYNOTE #].&amp;[WDF-2]"/>
            <x15:cachedUniqueName index="199" name="[Database].[KEYNOTE #].&amp;[WDS-1]"/>
            <x15:cachedUniqueName index="200" name="[Database].[KEYNOTE #].&amp;[WG-2]"/>
            <x15:cachedUniqueName index="201" name="[Database].[KEYNOTE #].&amp;[WP-50]"/>
            <x15:cachedUniqueName index="202" name="[Database].[KEYNOTE #].&amp;[WV-1]"/>
          </x15:cachedUniqueNames>
        </ext>
      </extLst>
    </cacheField>
    <cacheField name="[Measures].[REP_KEYNOTEDESC]" caption="REP_KEYNOTEDESC" numFmtId="0" hierarchy="40" level="32767"/>
    <cacheField name="[Measures].[REP_KEYTIER2]" caption="REP_KEYTIER2" numFmtId="0" hierarchy="39" level="32767"/>
  </cacheFields>
  <cacheHierarchies count="43">
    <cacheHierarchy uniqueName="[Database].[FORMAT]" caption="FORMAT" attribute="1" defaultMemberUniqueName="[Database].[FORMAT].[All]" allUniqueName="[Database].[FORMAT].[All]" dimensionUniqueName="[Database]" displayFolder="" count="0" memberValueDatatype="130" unbalanced="0"/>
    <cacheHierarchy uniqueName="[Database].[DIVISION #]" caption="DIVISION #" attribute="1" defaultMemberUniqueName="[Database].[DIVISION #].[All]" allUniqueName="[Database].[DIVISION #].[All]" dimensionUniqueName="[Database]" displayFolder="" count="0" memberValueDatatype="130" unbalanced="0"/>
    <cacheHierarchy uniqueName="[Database].[DIVISION NAME]" caption="DIVISION NAME" attribute="1" defaultMemberUniqueName="[Database].[DIVISION NAME].[All]" allUniqueName="[Database].[DIVISION NAME].[All]" dimensionUniqueName="[Database]" displayFolder="" count="0" memberValueDatatype="130" unbalanced="0"/>
    <cacheHierarchy uniqueName="[Database].[SECTION #]" caption="SECTION #" attribute="1" defaultMemberUniqueName="[Database].[SECTION #].[All]" allUniqueName="[Database].[SECTION #].[All]" dimensionUniqueName="[Database]" displayFolder="" count="0" memberValueDatatype="130" unbalanced="0"/>
    <cacheHierarchy uniqueName="[Database].[SECTION NAME]" caption="SECTION NAME" attribute="1" defaultMemberUniqueName="[Database].[SECTION NAME].[All]" allUniqueName="[Database].[SECTION NAME].[All]" dimensionUniqueName="[Database]" displayFolder="" count="0" memberValueDatatype="130" unbalanced="0"/>
    <cacheHierarchy uniqueName="[Database].[KEYNOTE #]" caption="KEYNOTE #" attribute="1" defaultMemberUniqueName="[Database].[KEYNOTE #].[All]" allUniqueName="[Database].[KEYNOTE #].[All]" dimensionUniqueName="[Database]" displayFolder="" count="2" memberValueDatatype="130" unbalanced="0">
      <fieldsUsage count="2">
        <fieldUsage x="-1"/>
        <fieldUsage x="0"/>
      </fieldsUsage>
    </cacheHierarchy>
    <cacheHierarchy uniqueName="[Database].[KEYNOTE DESCRIPTION]" caption="KEYNOTE DESCRIPTION" attribute="1" defaultMemberUniqueName="[Database].[KEYNOTE DESCRIPTION].[All]" allUniqueName="[Database].[KEYNOTE DESCRIPTION].[All]" dimensionUniqueName="[Database]" displayFolder="" count="0" memberValueDatatype="130" unbalanced="0"/>
    <cacheHierarchy uniqueName="[Database].[BASE]" caption="BASE" attribute="1" defaultMemberUniqueName="[Database].[BASE].[All]" allUniqueName="[Database].[BASE].[All]" dimensionUniqueName="[Database]" displayFolder="" count="0" memberValueDatatype="130" unbalanced="0"/>
    <cacheHierarchy uniqueName="[Database].[INT. WALL]" caption="INT. WALL" attribute="1" defaultMemberUniqueName="[Database].[INT. WALL].[All]" allUniqueName="[Database].[INT. WALL].[All]" dimensionUniqueName="[Database]" displayFolder="" count="0" memberValueDatatype="130" unbalanced="0"/>
    <cacheHierarchy uniqueName="[Database].[CEILING]" caption="CEILING" attribute="1" defaultMemberUniqueName="[Database].[CEILING].[All]" allUniqueName="[Database].[CEILING].[All]" dimensionUniqueName="[Database]" displayFolder="" count="0" memberValueDatatype="130" unbalanced="0"/>
    <cacheHierarchy uniqueName="[Database].[FLOOR]" caption="FLOOR" attribute="1" defaultMemberUniqueName="[Database].[FLOOR].[All]" allUniqueName="[Database].[FLOOR].[All]" dimensionUniqueName="[Database]" displayFolder="" count="0" memberValueDatatype="130" unbalanced="0"/>
    <cacheHierarchy uniqueName="[Database].[MILLWORK]" caption="MILLWORK" attribute="1" defaultMemberUniqueName="[Database].[MILLWORK].[All]" allUniqueName="[Database].[MILLWORK].[All]" dimensionUniqueName="[Database]" displayFolder="" count="0" memberValueDatatype="130" unbalanced="0"/>
    <cacheHierarchy uniqueName="[Database].[INT. OTHER]" caption="INT. OTHER" attribute="1" defaultMemberUniqueName="[Database].[INT. OTHER].[All]" allUniqueName="[Database].[INT. OTHER].[All]" dimensionUniqueName="[Database]" displayFolder="" count="0" memberValueDatatype="130" unbalanced="0"/>
    <cacheHierarchy uniqueName="[Database].[ROOF]" caption="ROOF" attribute="1" defaultMemberUniqueName="[Database].[ROOF].[All]" allUniqueName="[Database].[ROOF].[All]" dimensionUniqueName="[Database]" displayFolder="" count="0" memberValueDatatype="130" unbalanced="0"/>
    <cacheHierarchy uniqueName="[Database].[EXT. WALL]" caption="EXT. WALL" attribute="1" defaultMemberUniqueName="[Database].[EXT. WALL].[All]" allUniqueName="[Database].[EXT. WALL].[All]" dimensionUniqueName="[Database]" displayFolder="" count="0" memberValueDatatype="130" unbalanced="0"/>
    <cacheHierarchy uniqueName="[Database].[FENESTRATION]" caption="FENESTRATION" attribute="1" defaultMemberUniqueName="[Database].[FENESTRATION].[All]" allUniqueName="[Database].[FENESTRATION].[All]" dimensionUniqueName="[Database]" displayFolder="" count="0" memberValueDatatype="130" unbalanced="0"/>
    <cacheHierarchy uniqueName="[Database].[SOFFIT]" caption="SOFFIT" attribute="1" defaultMemberUniqueName="[Database].[SOFFIT].[All]" allUniqueName="[Database].[SOFFIT].[All]" dimensionUniqueName="[Database]" displayFolder="" count="0" memberValueDatatype="130" unbalanced="0"/>
    <cacheHierarchy uniqueName="[Database].[PAVING]" caption="PAVING" attribute="1" defaultMemberUniqueName="[Database].[PAVING].[All]" allUniqueName="[Database].[PAVING].[All]" dimensionUniqueName="[Database]" displayFolder="" count="0" memberValueDatatype="130" unbalanced="0"/>
    <cacheHierarchy uniqueName="[Database].[EXT. OTHER]" caption="EXT. OTHER" attribute="1" defaultMemberUniqueName="[Database].[EXT. OTHER].[All]" allUniqueName="[Database].[EXT. OTHER].[All]" dimensionUniqueName="[Database]" displayFolder="" count="0" memberValueDatatype="130" unbalanced="0"/>
    <cacheHierarchy uniqueName="[Database].[SOURCE]" caption="SOURCE" attribute="1" defaultMemberUniqueName="[Database].[SOURCE].[All]" allUniqueName="[Database].[SOURCE].[All]" dimensionUniqueName="[Database]" displayFolder="" count="0" memberValueDatatype="130" unbalanced="0"/>
    <cacheHierarchy uniqueName="[Database].[PRODUCT]" caption="PRODUCT" attribute="1" defaultMemberUniqueName="[Database].[PRODUCT].[All]" allUniqueName="[Database].[PRODUCT].[All]" dimensionUniqueName="[Database]" displayFolder="" count="0" memberValueDatatype="130" unbalanced="0"/>
    <cacheHierarchy uniqueName="[Database].[CAT. NO.]" caption="CAT. NO." attribute="1" defaultMemberUniqueName="[Database].[CAT. NO.].[All]" allUniqueName="[Database].[CAT. NO.].[All]" dimensionUniqueName="[Database]" displayFolder="" count="0" memberValueDatatype="130" unbalanced="0"/>
    <cacheHierarchy uniqueName="[Database].[COLOR]" caption="COLOR" attribute="1" defaultMemberUniqueName="[Database].[COLOR].[All]" allUniqueName="[Database].[COLOR].[All]" dimensionUniqueName="[Database]" displayFolder="" count="0" memberValueDatatype="130" unbalanced="0"/>
    <cacheHierarchy uniqueName="[Database].[FINISH]" caption="FINISH" attribute="1" defaultMemberUniqueName="[Database].[FINISH].[All]" allUniqueName="[Database].[FINISH].[All]" dimensionUniqueName="[Database]" displayFolder="" count="0" memberValueDatatype="130" unbalanced="0"/>
    <cacheHierarchy uniqueName="[Database].[SIZE]" caption="SIZE" attribute="1" defaultMemberUniqueName="[Database].[SIZE].[All]" allUniqueName="[Database].[SIZE].[All]" dimensionUniqueName="[Database]" displayFolder="" count="0" memberValueDatatype="130" unbalanced="0"/>
    <cacheHierarchy uniqueName="[Database].[CONTACT]" caption="CONTACT" attribute="1" defaultMemberUniqueName="[Database].[CONTACT].[All]" allUniqueName="[Database].[CONTACT].[All]" dimensionUniqueName="[Database]" displayFolder="" count="0" memberValueDatatype="130" unbalanced="0"/>
    <cacheHierarchy uniqueName="[Database].[REMARKS]" caption="REMARKS" attribute="1" defaultMemberUniqueName="[Database].[REMARKS].[All]" allUniqueName="[Database].[REMARKS].[All]" dimensionUniqueName="[Database]" displayFolder="" count="0" memberValueDatatype="130" unbalanced="0"/>
    <cacheHierarchy uniqueName="[Database].[HELPER1]" caption="HELPER1" attribute="1" defaultMemberUniqueName="[Database].[HELPER1].[All]" allUniqueName="[Database].[HELPER1].[All]" dimensionUniqueName="[Database]" displayFolder="" count="0" memberValueDatatype="20" unbalanced="0"/>
    <cacheHierarchy uniqueName="[Database].[KEYSORT1]" caption="KEYSORT1" attribute="1" defaultMemberUniqueName="[Database].[KEYSORT1].[All]" allUniqueName="[Database].[KEYSORT1].[All]" dimensionUniqueName="[Database]" displayFolder="" count="0" memberValueDatatype="130" unbalanced="0"/>
    <cacheHierarchy uniqueName="[Database].[KEYSORT2]" caption="KEYSORT2" attribute="1" defaultMemberUniqueName="[Database].[KEYSORT2].[All]" allUniqueName="[Database].[KEYSORT2].[All]" dimensionUniqueName="[Database]" displayFolder="" count="0" memberValueDatatype="130" unbalanced="0"/>
    <cacheHierarchy uniqueName="[Database].[KEYSORT3]" caption="KEYSORT3" attribute="1" defaultMemberUniqueName="[Database].[KEYSORT3].[All]" allUniqueName="[Database].[KEYSORT3].[All]" dimensionUniqueName="[Database]" displayFolder="" count="0" memberValueDatatype="130" unbalanced="0"/>
    <cacheHierarchy uniqueName="[Database].[TABLESORT]" caption="TABLESORT" attribute="1" defaultMemberUniqueName="[Database].[TABLESORT].[All]" allUniqueName="[Database].[TABLESORT].[All]" dimensionUniqueName="[Database]" displayFolder="" count="0" memberValueDatatype="20" unbalanced="0"/>
    <cacheHierarchy uniqueName="[Database].[KEYTIER1]" caption="KEYTIER1" attribute="1" defaultMemberUniqueName="[Database].[KEYTIER1].[All]" allUniqueName="[Database].[KEYTIER1].[All]" dimensionUniqueName="[Database]" displayFolder="" count="0" memberValueDatatype="130" unbalanced="0"/>
    <cacheHierarchy uniqueName="[Database].[KEYTIER1_DESC]" caption="KEYTIER1_DESC" attribute="1" defaultMemberUniqueName="[Database].[KEYTIER1_DESC].[All]" allUniqueName="[Database].[KEYTIER1_DESC].[All]" dimensionUniqueName="[Database]" displayFolder="" count="0" memberValueDatatype="130" unbalanced="0"/>
    <cacheHierarchy uniqueName="[Database].[KEYTIER2]" caption="KEYTIER2" attribute="1" defaultMemberUniqueName="[Database].[KEYTIER2].[All]" allUniqueName="[Database].[KEYTIER2].[All]" dimensionUniqueName="[Database]" displayFolder="" count="0" memberValueDatatype="130" unbalanced="0"/>
    <cacheHierarchy uniqueName="[Database].[KEYTIER2_DESC]" caption="KEYTIER2_DESC" attribute="1" defaultMemberUniqueName="[Database].[KEYTIER2_DESC].[All]" allUniqueName="[Database].[KEYTIER2_DESC].[All]" dimensionUniqueName="[Database]" displayFolder="" count="0" memberValueDatatype="130" unbalanced="0"/>
    <cacheHierarchy uniqueName="[Measures].[REP_KEYTIER1DESC]" caption="REP_KEYTIER1DESC" measure="1" displayFolder="" measureGroup="Database" count="0"/>
    <cacheHierarchy uniqueName="[Measures].[REP_KEYTIER2DESC]" caption="REP_KEYTIER2DESC" measure="1" displayFolder="" measureGroup="Database" count="0"/>
    <cacheHierarchy uniqueName="[Measures].[REP_KEYTIER1]" caption="REP_KEYTIER1" measure="1" displayFolder="" measureGroup="Database" count="0"/>
    <cacheHierarchy uniqueName="[Measures].[REP_KEYTIER2]" caption="REP_KEYTIER2" measure="1" displayFolder="" measureGroup="Database" count="0" oneField="1">
      <fieldsUsage count="1">
        <fieldUsage x="2"/>
      </fieldsUsage>
    </cacheHierarchy>
    <cacheHierarchy uniqueName="[Measures].[REP_KEYNOTEDESC]" caption="REP_KEYNOTEDESC" measure="1" displayFolder="" measureGroup="Database" count="0" oneField="1">
      <fieldsUsage count="1">
        <fieldUsage x="1"/>
      </fieldsUsage>
    </cacheHierarchy>
    <cacheHierarchy uniqueName="[Measures].[__XL_Count Database]" caption="__XL_Count Database" measure="1" displayFolder="" measureGroup="Database" count="0" hidden="1"/>
    <cacheHierarchy uniqueName="[Measures].[__No measures defined]" caption="__No measures defined" measure="1" displayFolder="" count="0" hidden="1"/>
  </cacheHierarchies>
  <kpis count="0"/>
  <dimensions count="2">
    <dimension name="Database" uniqueName="[Database]" caption="Database"/>
    <dimension measure="1" name="Measures" uniqueName="[Measures]" caption="Measures"/>
  </dimensions>
  <measureGroups count="1">
    <measureGroup name="Database" caption="Databas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sai, Gayatri" refreshedDate="45379.491426157409" backgroundQuery="1" createdVersion="6" refreshedVersion="8" minRefreshableVersion="3" recordCount="0" supportSubquery="1" supportAdvancedDrill="1" xr:uid="{CFF0D6A7-1896-4B0D-9A7A-9BE1181552BC}">
  <cacheSource type="external" connectionId="1"/>
  <cacheFields count="2">
    <cacheField name="[Database].[KEYTIER1].[KEYTIER1]" caption="KEYTIER1" numFmtId="0" hierarchy="32" level="1">
      <sharedItems count="12">
        <s v="10"/>
        <s v="12"/>
        <s v="3"/>
        <s v="5"/>
        <s v="7"/>
        <s v="9"/>
        <s v="ARCH NOTES"/>
        <s v="B"/>
        <s v="C"/>
        <s v="EXTERIOR"/>
        <s v="INTERIOR"/>
        <s v="SYSTEM NOTES"/>
      </sharedItems>
      <extLst>
        <ext xmlns:x15="http://schemas.microsoft.com/office/spreadsheetml/2010/11/main" uri="{4F2E5C28-24EA-4eb8-9CBF-B6C8F9C3D259}">
          <x15:cachedUniqueNames>
            <x15:cachedUniqueName index="0" name="[Database].[KEYTIER1].&amp;[10]"/>
            <x15:cachedUniqueName index="1" name="[Database].[KEYTIER1].&amp;[12]"/>
            <x15:cachedUniqueName index="2" name="[Database].[KEYTIER1].&amp;[3]"/>
            <x15:cachedUniqueName index="3" name="[Database].[KEYTIER1].&amp;[5]"/>
            <x15:cachedUniqueName index="4" name="[Database].[KEYTIER1].&amp;[7]"/>
            <x15:cachedUniqueName index="5" name="[Database].[KEYTIER1].&amp;[9]"/>
            <x15:cachedUniqueName index="6" name="[Database].[KEYTIER1].&amp;[ARCH NOTES]"/>
            <x15:cachedUniqueName index="7" name="[Database].[KEYTIER1].&amp;[B]"/>
            <x15:cachedUniqueName index="8" name="[Database].[KEYTIER1].&amp;[C]"/>
            <x15:cachedUniqueName index="9" name="[Database].[KEYTIER1].&amp;[EXTERIOR]"/>
            <x15:cachedUniqueName index="10" name="[Database].[KEYTIER1].&amp;[INTERIOR]"/>
            <x15:cachedUniqueName index="11" name="[Database].[KEYTIER1].&amp;[SYSTEM NOTES]"/>
          </x15:cachedUniqueNames>
        </ext>
      </extLst>
    </cacheField>
    <cacheField name="[Measures].[REP_KEYTIER1DESC]" caption="REP_KEYTIER1DESC" numFmtId="0" hierarchy="36" level="32767"/>
  </cacheFields>
  <cacheHierarchies count="43">
    <cacheHierarchy uniqueName="[Database].[FORMAT]" caption="FORMAT" attribute="1" defaultMemberUniqueName="[Database].[FORMAT].[All]" allUniqueName="[Database].[FORMAT].[All]" dimensionUniqueName="[Database]" displayFolder="" count="0" memberValueDatatype="130" unbalanced="0"/>
    <cacheHierarchy uniqueName="[Database].[DIVISION #]" caption="DIVISION #" attribute="1" defaultMemberUniqueName="[Database].[DIVISION #].[All]" allUniqueName="[Database].[DIVISION #].[All]" dimensionUniqueName="[Database]" displayFolder="" count="0" memberValueDatatype="130" unbalanced="0"/>
    <cacheHierarchy uniqueName="[Database].[DIVISION NAME]" caption="DIVISION NAME" attribute="1" defaultMemberUniqueName="[Database].[DIVISION NAME].[All]" allUniqueName="[Database].[DIVISION NAME].[All]" dimensionUniqueName="[Database]" displayFolder="" count="0" memberValueDatatype="130" unbalanced="0"/>
    <cacheHierarchy uniqueName="[Database].[SECTION #]" caption="SECTION #" attribute="1" defaultMemberUniqueName="[Database].[SECTION #].[All]" allUniqueName="[Database].[SECTION #].[All]" dimensionUniqueName="[Database]" displayFolder="" count="0" memberValueDatatype="130" unbalanced="0"/>
    <cacheHierarchy uniqueName="[Database].[SECTION NAME]" caption="SECTION NAME" attribute="1" defaultMemberUniqueName="[Database].[SECTION NAME].[All]" allUniqueName="[Database].[SECTION NAME].[All]" dimensionUniqueName="[Database]" displayFolder="" count="0" memberValueDatatype="130" unbalanced="0"/>
    <cacheHierarchy uniqueName="[Database].[KEYNOTE #]" caption="KEYNOTE #" attribute="1" defaultMemberUniqueName="[Database].[KEYNOTE #].[All]" allUniqueName="[Database].[KEYNOTE #].[All]" dimensionUniqueName="[Database]" displayFolder="" count="0" memberValueDatatype="130" unbalanced="0"/>
    <cacheHierarchy uniqueName="[Database].[KEYNOTE DESCRIPTION]" caption="KEYNOTE DESCRIPTION" attribute="1" defaultMemberUniqueName="[Database].[KEYNOTE DESCRIPTION].[All]" allUniqueName="[Database].[KEYNOTE DESCRIPTION].[All]" dimensionUniqueName="[Database]" displayFolder="" count="0" memberValueDatatype="130" unbalanced="0"/>
    <cacheHierarchy uniqueName="[Database].[BASE]" caption="BASE" attribute="1" defaultMemberUniqueName="[Database].[BASE].[All]" allUniqueName="[Database].[BASE].[All]" dimensionUniqueName="[Database]" displayFolder="" count="0" memberValueDatatype="130" unbalanced="0"/>
    <cacheHierarchy uniqueName="[Database].[INT. WALL]" caption="INT. WALL" attribute="1" defaultMemberUniqueName="[Database].[INT. WALL].[All]" allUniqueName="[Database].[INT. WALL].[All]" dimensionUniqueName="[Database]" displayFolder="" count="0" memberValueDatatype="130" unbalanced="0"/>
    <cacheHierarchy uniqueName="[Database].[CEILING]" caption="CEILING" attribute="1" defaultMemberUniqueName="[Database].[CEILING].[All]" allUniqueName="[Database].[CEILING].[All]" dimensionUniqueName="[Database]" displayFolder="" count="0" memberValueDatatype="130" unbalanced="0"/>
    <cacheHierarchy uniqueName="[Database].[FLOOR]" caption="FLOOR" attribute="1" defaultMemberUniqueName="[Database].[FLOOR].[All]" allUniqueName="[Database].[FLOOR].[All]" dimensionUniqueName="[Database]" displayFolder="" count="0" memberValueDatatype="130" unbalanced="0"/>
    <cacheHierarchy uniqueName="[Database].[MILLWORK]" caption="MILLWORK" attribute="1" defaultMemberUniqueName="[Database].[MILLWORK].[All]" allUniqueName="[Database].[MILLWORK].[All]" dimensionUniqueName="[Database]" displayFolder="" count="0" memberValueDatatype="130" unbalanced="0"/>
    <cacheHierarchy uniqueName="[Database].[INT. OTHER]" caption="INT. OTHER" attribute="1" defaultMemberUniqueName="[Database].[INT. OTHER].[All]" allUniqueName="[Database].[INT. OTHER].[All]" dimensionUniqueName="[Database]" displayFolder="" count="0" memberValueDatatype="130" unbalanced="0"/>
    <cacheHierarchy uniqueName="[Database].[ROOF]" caption="ROOF" attribute="1" defaultMemberUniqueName="[Database].[ROOF].[All]" allUniqueName="[Database].[ROOF].[All]" dimensionUniqueName="[Database]" displayFolder="" count="0" memberValueDatatype="130" unbalanced="0"/>
    <cacheHierarchy uniqueName="[Database].[EXT. WALL]" caption="EXT. WALL" attribute="1" defaultMemberUniqueName="[Database].[EXT. WALL].[All]" allUniqueName="[Database].[EXT. WALL].[All]" dimensionUniqueName="[Database]" displayFolder="" count="0" memberValueDatatype="130" unbalanced="0"/>
    <cacheHierarchy uniqueName="[Database].[FENESTRATION]" caption="FENESTRATION" attribute="1" defaultMemberUniqueName="[Database].[FENESTRATION].[All]" allUniqueName="[Database].[FENESTRATION].[All]" dimensionUniqueName="[Database]" displayFolder="" count="0" memberValueDatatype="130" unbalanced="0"/>
    <cacheHierarchy uniqueName="[Database].[SOFFIT]" caption="SOFFIT" attribute="1" defaultMemberUniqueName="[Database].[SOFFIT].[All]" allUniqueName="[Database].[SOFFIT].[All]" dimensionUniqueName="[Database]" displayFolder="" count="0" memberValueDatatype="130" unbalanced="0"/>
    <cacheHierarchy uniqueName="[Database].[PAVING]" caption="PAVING" attribute="1" defaultMemberUniqueName="[Database].[PAVING].[All]" allUniqueName="[Database].[PAVING].[All]" dimensionUniqueName="[Database]" displayFolder="" count="0" memberValueDatatype="130" unbalanced="0"/>
    <cacheHierarchy uniqueName="[Database].[EXT. OTHER]" caption="EXT. OTHER" attribute="1" defaultMemberUniqueName="[Database].[EXT. OTHER].[All]" allUniqueName="[Database].[EXT. OTHER].[All]" dimensionUniqueName="[Database]" displayFolder="" count="0" memberValueDatatype="130" unbalanced="0"/>
    <cacheHierarchy uniqueName="[Database].[SOURCE]" caption="SOURCE" attribute="1" defaultMemberUniqueName="[Database].[SOURCE].[All]" allUniqueName="[Database].[SOURCE].[All]" dimensionUniqueName="[Database]" displayFolder="" count="0" memberValueDatatype="130" unbalanced="0"/>
    <cacheHierarchy uniqueName="[Database].[PRODUCT]" caption="PRODUCT" attribute="1" defaultMemberUniqueName="[Database].[PRODUCT].[All]" allUniqueName="[Database].[PRODUCT].[All]" dimensionUniqueName="[Database]" displayFolder="" count="0" memberValueDatatype="130" unbalanced="0"/>
    <cacheHierarchy uniqueName="[Database].[CAT. NO.]" caption="CAT. NO." attribute="1" defaultMemberUniqueName="[Database].[CAT. NO.].[All]" allUniqueName="[Database].[CAT. NO.].[All]" dimensionUniqueName="[Database]" displayFolder="" count="0" memberValueDatatype="130" unbalanced="0"/>
    <cacheHierarchy uniqueName="[Database].[COLOR]" caption="COLOR" attribute="1" defaultMemberUniqueName="[Database].[COLOR].[All]" allUniqueName="[Database].[COLOR].[All]" dimensionUniqueName="[Database]" displayFolder="" count="0" memberValueDatatype="130" unbalanced="0"/>
    <cacheHierarchy uniqueName="[Database].[FINISH]" caption="FINISH" attribute="1" defaultMemberUniqueName="[Database].[FINISH].[All]" allUniqueName="[Database].[FINISH].[All]" dimensionUniqueName="[Database]" displayFolder="" count="0" memberValueDatatype="130" unbalanced="0"/>
    <cacheHierarchy uniqueName="[Database].[SIZE]" caption="SIZE" attribute="1" defaultMemberUniqueName="[Database].[SIZE].[All]" allUniqueName="[Database].[SIZE].[All]" dimensionUniqueName="[Database]" displayFolder="" count="0" memberValueDatatype="130" unbalanced="0"/>
    <cacheHierarchy uniqueName="[Database].[CONTACT]" caption="CONTACT" attribute="1" defaultMemberUniqueName="[Database].[CONTACT].[All]" allUniqueName="[Database].[CONTACT].[All]" dimensionUniqueName="[Database]" displayFolder="" count="0" memberValueDatatype="130" unbalanced="0"/>
    <cacheHierarchy uniqueName="[Database].[REMARKS]" caption="REMARKS" attribute="1" defaultMemberUniqueName="[Database].[REMARKS].[All]" allUniqueName="[Database].[REMARKS].[All]" dimensionUniqueName="[Database]" displayFolder="" count="0" memberValueDatatype="130" unbalanced="0"/>
    <cacheHierarchy uniqueName="[Database].[HELPER1]" caption="HELPER1" attribute="1" defaultMemberUniqueName="[Database].[HELPER1].[All]" allUniqueName="[Database].[HELPER1].[All]" dimensionUniqueName="[Database]" displayFolder="" count="0" memberValueDatatype="20" unbalanced="0"/>
    <cacheHierarchy uniqueName="[Database].[KEYSORT1]" caption="KEYSORT1" attribute="1" defaultMemberUniqueName="[Database].[KEYSORT1].[All]" allUniqueName="[Database].[KEYSORT1].[All]" dimensionUniqueName="[Database]" displayFolder="" count="0" memberValueDatatype="130" unbalanced="0"/>
    <cacheHierarchy uniqueName="[Database].[KEYSORT2]" caption="KEYSORT2" attribute="1" defaultMemberUniqueName="[Database].[KEYSORT2].[All]" allUniqueName="[Database].[KEYSORT2].[All]" dimensionUniqueName="[Database]" displayFolder="" count="0" memberValueDatatype="130" unbalanced="0"/>
    <cacheHierarchy uniqueName="[Database].[KEYSORT3]" caption="KEYSORT3" attribute="1" defaultMemberUniqueName="[Database].[KEYSORT3].[All]" allUniqueName="[Database].[KEYSORT3].[All]" dimensionUniqueName="[Database]" displayFolder="" count="0" memberValueDatatype="130" unbalanced="0"/>
    <cacheHierarchy uniqueName="[Database].[TABLESORT]" caption="TABLESORT" attribute="1" defaultMemberUniqueName="[Database].[TABLESORT].[All]" allUniqueName="[Database].[TABLESORT].[All]" dimensionUniqueName="[Database]" displayFolder="" count="0" memberValueDatatype="20" unbalanced="0"/>
    <cacheHierarchy uniqueName="[Database].[KEYTIER1]" caption="KEYTIER1" attribute="1" defaultMemberUniqueName="[Database].[KEYTIER1].[All]" allUniqueName="[Database].[KEYTIER1].[All]" dimensionUniqueName="[Database]" displayFolder="" count="2" memberValueDatatype="130" unbalanced="0">
      <fieldsUsage count="2">
        <fieldUsage x="-1"/>
        <fieldUsage x="0"/>
      </fieldsUsage>
    </cacheHierarchy>
    <cacheHierarchy uniqueName="[Database].[KEYTIER1_DESC]" caption="KEYTIER1_DESC" attribute="1" defaultMemberUniqueName="[Database].[KEYTIER1_DESC].[All]" allUniqueName="[Database].[KEYTIER1_DESC].[All]" dimensionUniqueName="[Database]" displayFolder="" count="0" memberValueDatatype="130" unbalanced="0"/>
    <cacheHierarchy uniqueName="[Database].[KEYTIER2]" caption="KEYTIER2" attribute="1" defaultMemberUniqueName="[Database].[KEYTIER2].[All]" allUniqueName="[Database].[KEYTIER2].[All]" dimensionUniqueName="[Database]" displayFolder="" count="0" memberValueDatatype="130" unbalanced="0"/>
    <cacheHierarchy uniqueName="[Database].[KEYTIER2_DESC]" caption="KEYTIER2_DESC" attribute="1" defaultMemberUniqueName="[Database].[KEYTIER2_DESC].[All]" allUniqueName="[Database].[KEYTIER2_DESC].[All]" dimensionUniqueName="[Database]" displayFolder="" count="0" memberValueDatatype="130" unbalanced="0"/>
    <cacheHierarchy uniqueName="[Measures].[REP_KEYTIER1DESC]" caption="REP_KEYTIER1DESC" measure="1" displayFolder="" measureGroup="Database" count="0" oneField="1">
      <fieldsUsage count="1">
        <fieldUsage x="1"/>
      </fieldsUsage>
    </cacheHierarchy>
    <cacheHierarchy uniqueName="[Measures].[REP_KEYTIER2DESC]" caption="REP_KEYTIER2DESC" measure="1" displayFolder="" measureGroup="Database" count="0"/>
    <cacheHierarchy uniqueName="[Measures].[REP_KEYTIER1]" caption="REP_KEYTIER1" measure="1" displayFolder="" measureGroup="Database" count="0"/>
    <cacheHierarchy uniqueName="[Measures].[REP_KEYTIER2]" caption="REP_KEYTIER2" measure="1" displayFolder="" measureGroup="Database" count="0"/>
    <cacheHierarchy uniqueName="[Measures].[REP_KEYNOTEDESC]" caption="REP_KEYNOTEDESC" measure="1" displayFolder="" measureGroup="Database" count="0"/>
    <cacheHierarchy uniqueName="[Measures].[__XL_Count Database]" caption="__XL_Count Database" measure="1" displayFolder="" measureGroup="Database" count="0" hidden="1"/>
    <cacheHierarchy uniqueName="[Measures].[__No measures defined]" caption="__No measures defined" measure="1" displayFolder="" count="0" hidden="1"/>
  </cacheHierarchies>
  <kpis count="0"/>
  <dimensions count="2">
    <dimension name="Database" uniqueName="[Database]" caption="Database"/>
    <dimension measure="1" name="Measures" uniqueName="[Measures]" caption="Measures"/>
  </dimensions>
  <measureGroups count="1">
    <measureGroup name="Database" caption="Databas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sai, Gayatri" refreshedDate="45379.491427083332" backgroundQuery="1" createdVersion="6" refreshedVersion="8" minRefreshableVersion="3" recordCount="0" supportSubquery="1" supportAdvancedDrill="1" xr:uid="{81FAB968-8B21-4112-947B-E942477CDE81}">
  <cacheSource type="external" connectionId="1"/>
  <cacheFields count="3">
    <cacheField name="[Database].[KEYTIER2].[KEYTIER2]" caption="KEYTIER2" numFmtId="0" hierarchy="34" level="1">
      <sharedItems count="43">
        <s v="101123"/>
        <s v="101423"/>
        <s v="102100"/>
        <s v="102800"/>
        <s v="104413"/>
        <s v="122200"/>
        <s v="122413"/>
        <s v="33300"/>
        <s v="55000"/>
        <s v="71413"/>
        <s v="74213"/>
        <s v="79500"/>
        <s v="92216"/>
        <s v="92900"/>
        <s v="AV"/>
        <s v="B20"/>
        <s v="C10"/>
        <s v="CASEWORK/MILLWORK"/>
        <s v="COMM"/>
        <s v="CURTAINWALL"/>
        <s v="DETAIL ITEMS"/>
        <s v="DOORS"/>
        <s v="ELECTRICAL"/>
        <s v="ELEVATORS"/>
        <s v="EQUIPMENT"/>
        <s v="EXT"/>
        <s v="FIRE PROTECTION"/>
        <s v="FLOORS"/>
        <s v="FURNITURE"/>
        <s v="GENERAL ANNOTATIONS"/>
        <s v="INT"/>
        <s v="LAB"/>
        <s v="LIGHTING"/>
        <s v="MECHANICAL"/>
        <s v="PLUMBING"/>
        <s v="RAMPS"/>
        <s v="ROOFS"/>
        <s v="SITE"/>
        <s v="STAIRS"/>
        <s v="STRUCTURAL"/>
        <s v="TOILET ACCESSORIES"/>
        <s v="WALLS"/>
        <s v="WINDOWS"/>
      </sharedItems>
      <extLst>
        <ext xmlns:x15="http://schemas.microsoft.com/office/spreadsheetml/2010/11/main" uri="{4F2E5C28-24EA-4eb8-9CBF-B6C8F9C3D259}">
          <x15:cachedUniqueNames>
            <x15:cachedUniqueName index="0" name="[Database].[KEYTIER2].&amp;[101123]"/>
            <x15:cachedUniqueName index="1" name="[Database].[KEYTIER2].&amp;[101423]"/>
            <x15:cachedUniqueName index="2" name="[Database].[KEYTIER2].&amp;[102100]"/>
            <x15:cachedUniqueName index="3" name="[Database].[KEYTIER2].&amp;[102800]"/>
            <x15:cachedUniqueName index="4" name="[Database].[KEYTIER2].&amp;[104413]"/>
            <x15:cachedUniqueName index="5" name="[Database].[KEYTIER2].&amp;[122200]"/>
            <x15:cachedUniqueName index="6" name="[Database].[KEYTIER2].&amp;[122413]"/>
            <x15:cachedUniqueName index="7" name="[Database].[KEYTIER2].&amp;[33300]"/>
            <x15:cachedUniqueName index="8" name="[Database].[KEYTIER2].&amp;[55000]"/>
            <x15:cachedUniqueName index="9" name="[Database].[KEYTIER2].&amp;[71413]"/>
            <x15:cachedUniqueName index="10" name="[Database].[KEYTIER2].&amp;[74213]"/>
            <x15:cachedUniqueName index="11" name="[Database].[KEYTIER2].&amp;[79500]"/>
            <x15:cachedUniqueName index="12" name="[Database].[KEYTIER2].&amp;[92216]"/>
            <x15:cachedUniqueName index="13" name="[Database].[KEYTIER2].&amp;[92900]"/>
            <x15:cachedUniqueName index="14" name="[Database].[KEYTIER2].&amp;[AV]"/>
            <x15:cachedUniqueName index="15" name="[Database].[KEYTIER2].&amp;[B20]"/>
            <x15:cachedUniqueName index="16" name="[Database].[KEYTIER2].&amp;[C10]"/>
            <x15:cachedUniqueName index="17" name="[Database].[KEYTIER2].&amp;[CASEWORK/MILLWORK]"/>
            <x15:cachedUniqueName index="18" name="[Database].[KEYTIER2].&amp;[COMM]"/>
            <x15:cachedUniqueName index="19" name="[Database].[KEYTIER2].&amp;[CURTAINWALL]"/>
            <x15:cachedUniqueName index="20" name="[Database].[KEYTIER2].&amp;[DETAIL ITEMS]"/>
            <x15:cachedUniqueName index="21" name="[Database].[KEYTIER2].&amp;[DOORS]"/>
            <x15:cachedUniqueName index="22" name="[Database].[KEYTIER2].&amp;[ELECTRICAL]"/>
            <x15:cachedUniqueName index="23" name="[Database].[KEYTIER2].&amp;[ELEVATORS]"/>
            <x15:cachedUniqueName index="24" name="[Database].[KEYTIER2].&amp;[EQUIPMENT]"/>
            <x15:cachedUniqueName index="25" name="[Database].[KEYTIER2].&amp;[EXT]"/>
            <x15:cachedUniqueName index="26" name="[Database].[KEYTIER2].&amp;[FIRE PROTECTION]"/>
            <x15:cachedUniqueName index="27" name="[Database].[KEYTIER2].&amp;[FLOORS]"/>
            <x15:cachedUniqueName index="28" name="[Database].[KEYTIER2].&amp;[FURNITURE]"/>
            <x15:cachedUniqueName index="29" name="[Database].[KEYTIER2].&amp;[GENERAL ANNOTATIONS]"/>
            <x15:cachedUniqueName index="30" name="[Database].[KEYTIER2].&amp;[INT]"/>
            <x15:cachedUniqueName index="31" name="[Database].[KEYTIER2].&amp;[LAB]"/>
            <x15:cachedUniqueName index="32" name="[Database].[KEYTIER2].&amp;[LIGHTING]"/>
            <x15:cachedUniqueName index="33" name="[Database].[KEYTIER2].&amp;[MECHANICAL]"/>
            <x15:cachedUniqueName index="34" name="[Database].[KEYTIER2].&amp;[PLUMBING]"/>
            <x15:cachedUniqueName index="35" name="[Database].[KEYTIER2].&amp;[RAMPS]"/>
            <x15:cachedUniqueName index="36" name="[Database].[KEYTIER2].&amp;[ROOFS]"/>
            <x15:cachedUniqueName index="37" name="[Database].[KEYTIER2].&amp;[SITE]"/>
            <x15:cachedUniqueName index="38" name="[Database].[KEYTIER2].&amp;[STAIRS]"/>
            <x15:cachedUniqueName index="39" name="[Database].[KEYTIER2].&amp;[STRUCTURAL]"/>
            <x15:cachedUniqueName index="40" name="[Database].[KEYTIER2].&amp;[TOILET ACCESSORIES]"/>
            <x15:cachedUniqueName index="41" name="[Database].[KEYTIER2].&amp;[WALLS]"/>
            <x15:cachedUniqueName index="42" name="[Database].[KEYTIER2].&amp;[WINDOWS]"/>
          </x15:cachedUniqueNames>
        </ext>
      </extLst>
    </cacheField>
    <cacheField name="[Measures].[REP_KEYTIER2DESC]" caption="REP_KEYTIER2DESC" numFmtId="0" hierarchy="37" level="32767"/>
    <cacheField name="[Measures].[REP_KEYTIER1]" caption="REP_KEYTIER1" numFmtId="0" hierarchy="38" level="32767"/>
  </cacheFields>
  <cacheHierarchies count="43">
    <cacheHierarchy uniqueName="[Database].[FORMAT]" caption="FORMAT" attribute="1" defaultMemberUniqueName="[Database].[FORMAT].[All]" allUniqueName="[Database].[FORMAT].[All]" dimensionUniqueName="[Database]" displayFolder="" count="0" memberValueDatatype="130" unbalanced="0"/>
    <cacheHierarchy uniqueName="[Database].[DIVISION #]" caption="DIVISION #" attribute="1" defaultMemberUniqueName="[Database].[DIVISION #].[All]" allUniqueName="[Database].[DIVISION #].[All]" dimensionUniqueName="[Database]" displayFolder="" count="0" memberValueDatatype="130" unbalanced="0"/>
    <cacheHierarchy uniqueName="[Database].[DIVISION NAME]" caption="DIVISION NAME" attribute="1" defaultMemberUniqueName="[Database].[DIVISION NAME].[All]" allUniqueName="[Database].[DIVISION NAME].[All]" dimensionUniqueName="[Database]" displayFolder="" count="0" memberValueDatatype="130" unbalanced="0"/>
    <cacheHierarchy uniqueName="[Database].[SECTION #]" caption="SECTION #" attribute="1" defaultMemberUniqueName="[Database].[SECTION #].[All]" allUniqueName="[Database].[SECTION #].[All]" dimensionUniqueName="[Database]" displayFolder="" count="0" memberValueDatatype="130" unbalanced="0"/>
    <cacheHierarchy uniqueName="[Database].[SECTION NAME]" caption="SECTION NAME" attribute="1" defaultMemberUniqueName="[Database].[SECTION NAME].[All]" allUniqueName="[Database].[SECTION NAME].[All]" dimensionUniqueName="[Database]" displayFolder="" count="0" memberValueDatatype="130" unbalanced="0"/>
    <cacheHierarchy uniqueName="[Database].[KEYNOTE #]" caption="KEYNOTE #" attribute="1" defaultMemberUniqueName="[Database].[KEYNOTE #].[All]" allUniqueName="[Database].[KEYNOTE #].[All]" dimensionUniqueName="[Database]" displayFolder="" count="0" memberValueDatatype="130" unbalanced="0"/>
    <cacheHierarchy uniqueName="[Database].[KEYNOTE DESCRIPTION]" caption="KEYNOTE DESCRIPTION" attribute="1" defaultMemberUniqueName="[Database].[KEYNOTE DESCRIPTION].[All]" allUniqueName="[Database].[KEYNOTE DESCRIPTION].[All]" dimensionUniqueName="[Database]" displayFolder="" count="0" memberValueDatatype="130" unbalanced="0"/>
    <cacheHierarchy uniqueName="[Database].[BASE]" caption="BASE" attribute="1" defaultMemberUniqueName="[Database].[BASE].[All]" allUniqueName="[Database].[BASE].[All]" dimensionUniqueName="[Database]" displayFolder="" count="0" memberValueDatatype="130" unbalanced="0"/>
    <cacheHierarchy uniqueName="[Database].[INT. WALL]" caption="INT. WALL" attribute="1" defaultMemberUniqueName="[Database].[INT. WALL].[All]" allUniqueName="[Database].[INT. WALL].[All]" dimensionUniqueName="[Database]" displayFolder="" count="0" memberValueDatatype="130" unbalanced="0"/>
    <cacheHierarchy uniqueName="[Database].[CEILING]" caption="CEILING" attribute="1" defaultMemberUniqueName="[Database].[CEILING].[All]" allUniqueName="[Database].[CEILING].[All]" dimensionUniqueName="[Database]" displayFolder="" count="0" memberValueDatatype="130" unbalanced="0"/>
    <cacheHierarchy uniqueName="[Database].[FLOOR]" caption="FLOOR" attribute="1" defaultMemberUniqueName="[Database].[FLOOR].[All]" allUniqueName="[Database].[FLOOR].[All]" dimensionUniqueName="[Database]" displayFolder="" count="0" memberValueDatatype="130" unbalanced="0"/>
    <cacheHierarchy uniqueName="[Database].[MILLWORK]" caption="MILLWORK" attribute="1" defaultMemberUniqueName="[Database].[MILLWORK].[All]" allUniqueName="[Database].[MILLWORK].[All]" dimensionUniqueName="[Database]" displayFolder="" count="0" memberValueDatatype="130" unbalanced="0"/>
    <cacheHierarchy uniqueName="[Database].[INT. OTHER]" caption="INT. OTHER" attribute="1" defaultMemberUniqueName="[Database].[INT. OTHER].[All]" allUniqueName="[Database].[INT. OTHER].[All]" dimensionUniqueName="[Database]" displayFolder="" count="0" memberValueDatatype="130" unbalanced="0"/>
    <cacheHierarchy uniqueName="[Database].[ROOF]" caption="ROOF" attribute="1" defaultMemberUniqueName="[Database].[ROOF].[All]" allUniqueName="[Database].[ROOF].[All]" dimensionUniqueName="[Database]" displayFolder="" count="0" memberValueDatatype="130" unbalanced="0"/>
    <cacheHierarchy uniqueName="[Database].[EXT. WALL]" caption="EXT. WALL" attribute="1" defaultMemberUniqueName="[Database].[EXT. WALL].[All]" allUniqueName="[Database].[EXT. WALL].[All]" dimensionUniqueName="[Database]" displayFolder="" count="0" memberValueDatatype="130" unbalanced="0"/>
    <cacheHierarchy uniqueName="[Database].[FENESTRATION]" caption="FENESTRATION" attribute="1" defaultMemberUniqueName="[Database].[FENESTRATION].[All]" allUniqueName="[Database].[FENESTRATION].[All]" dimensionUniqueName="[Database]" displayFolder="" count="0" memberValueDatatype="130" unbalanced="0"/>
    <cacheHierarchy uniqueName="[Database].[SOFFIT]" caption="SOFFIT" attribute="1" defaultMemberUniqueName="[Database].[SOFFIT].[All]" allUniqueName="[Database].[SOFFIT].[All]" dimensionUniqueName="[Database]" displayFolder="" count="0" memberValueDatatype="130" unbalanced="0"/>
    <cacheHierarchy uniqueName="[Database].[PAVING]" caption="PAVING" attribute="1" defaultMemberUniqueName="[Database].[PAVING].[All]" allUniqueName="[Database].[PAVING].[All]" dimensionUniqueName="[Database]" displayFolder="" count="0" memberValueDatatype="130" unbalanced="0"/>
    <cacheHierarchy uniqueName="[Database].[EXT. OTHER]" caption="EXT. OTHER" attribute="1" defaultMemberUniqueName="[Database].[EXT. OTHER].[All]" allUniqueName="[Database].[EXT. OTHER].[All]" dimensionUniqueName="[Database]" displayFolder="" count="0" memberValueDatatype="130" unbalanced="0"/>
    <cacheHierarchy uniqueName="[Database].[SOURCE]" caption="SOURCE" attribute="1" defaultMemberUniqueName="[Database].[SOURCE].[All]" allUniqueName="[Database].[SOURCE].[All]" dimensionUniqueName="[Database]" displayFolder="" count="0" memberValueDatatype="130" unbalanced="0"/>
    <cacheHierarchy uniqueName="[Database].[PRODUCT]" caption="PRODUCT" attribute="1" defaultMemberUniqueName="[Database].[PRODUCT].[All]" allUniqueName="[Database].[PRODUCT].[All]" dimensionUniqueName="[Database]" displayFolder="" count="0" memberValueDatatype="130" unbalanced="0"/>
    <cacheHierarchy uniqueName="[Database].[CAT. NO.]" caption="CAT. NO." attribute="1" defaultMemberUniqueName="[Database].[CAT. NO.].[All]" allUniqueName="[Database].[CAT. NO.].[All]" dimensionUniqueName="[Database]" displayFolder="" count="0" memberValueDatatype="130" unbalanced="0"/>
    <cacheHierarchy uniqueName="[Database].[COLOR]" caption="COLOR" attribute="1" defaultMemberUniqueName="[Database].[COLOR].[All]" allUniqueName="[Database].[COLOR].[All]" dimensionUniqueName="[Database]" displayFolder="" count="0" memberValueDatatype="130" unbalanced="0"/>
    <cacheHierarchy uniqueName="[Database].[FINISH]" caption="FINISH" attribute="1" defaultMemberUniqueName="[Database].[FINISH].[All]" allUniqueName="[Database].[FINISH].[All]" dimensionUniqueName="[Database]" displayFolder="" count="0" memberValueDatatype="130" unbalanced="0"/>
    <cacheHierarchy uniqueName="[Database].[SIZE]" caption="SIZE" attribute="1" defaultMemberUniqueName="[Database].[SIZE].[All]" allUniqueName="[Database].[SIZE].[All]" dimensionUniqueName="[Database]" displayFolder="" count="0" memberValueDatatype="130" unbalanced="0"/>
    <cacheHierarchy uniqueName="[Database].[CONTACT]" caption="CONTACT" attribute="1" defaultMemberUniqueName="[Database].[CONTACT].[All]" allUniqueName="[Database].[CONTACT].[All]" dimensionUniqueName="[Database]" displayFolder="" count="0" memberValueDatatype="130" unbalanced="0"/>
    <cacheHierarchy uniqueName="[Database].[REMARKS]" caption="REMARKS" attribute="1" defaultMemberUniqueName="[Database].[REMARKS].[All]" allUniqueName="[Database].[REMARKS].[All]" dimensionUniqueName="[Database]" displayFolder="" count="0" memberValueDatatype="130" unbalanced="0"/>
    <cacheHierarchy uniqueName="[Database].[HELPER1]" caption="HELPER1" attribute="1" defaultMemberUniqueName="[Database].[HELPER1].[All]" allUniqueName="[Database].[HELPER1].[All]" dimensionUniqueName="[Database]" displayFolder="" count="0" memberValueDatatype="20" unbalanced="0"/>
    <cacheHierarchy uniqueName="[Database].[KEYSORT1]" caption="KEYSORT1" attribute="1" defaultMemberUniqueName="[Database].[KEYSORT1].[All]" allUniqueName="[Database].[KEYSORT1].[All]" dimensionUniqueName="[Database]" displayFolder="" count="0" memberValueDatatype="130" unbalanced="0"/>
    <cacheHierarchy uniqueName="[Database].[KEYSORT2]" caption="KEYSORT2" attribute="1" defaultMemberUniqueName="[Database].[KEYSORT2].[All]" allUniqueName="[Database].[KEYSORT2].[All]" dimensionUniqueName="[Database]" displayFolder="" count="0" memberValueDatatype="130" unbalanced="0"/>
    <cacheHierarchy uniqueName="[Database].[KEYSORT3]" caption="KEYSORT3" attribute="1" defaultMemberUniqueName="[Database].[KEYSORT3].[All]" allUniqueName="[Database].[KEYSORT3].[All]" dimensionUniqueName="[Database]" displayFolder="" count="0" memberValueDatatype="130" unbalanced="0"/>
    <cacheHierarchy uniqueName="[Database].[TABLESORT]" caption="TABLESORT" attribute="1" defaultMemberUniqueName="[Database].[TABLESORT].[All]" allUniqueName="[Database].[TABLESORT].[All]" dimensionUniqueName="[Database]" displayFolder="" count="0" memberValueDatatype="20" unbalanced="0"/>
    <cacheHierarchy uniqueName="[Database].[KEYTIER1]" caption="KEYTIER1" attribute="1" defaultMemberUniqueName="[Database].[KEYTIER1].[All]" allUniqueName="[Database].[KEYTIER1].[All]" dimensionUniqueName="[Database]" displayFolder="" count="0" memberValueDatatype="130" unbalanced="0"/>
    <cacheHierarchy uniqueName="[Database].[KEYTIER1_DESC]" caption="KEYTIER1_DESC" attribute="1" defaultMemberUniqueName="[Database].[KEYTIER1_DESC].[All]" allUniqueName="[Database].[KEYTIER1_DESC].[All]" dimensionUniqueName="[Database]" displayFolder="" count="0" memberValueDatatype="130" unbalanced="0"/>
    <cacheHierarchy uniqueName="[Database].[KEYTIER2]" caption="KEYTIER2" attribute="1" defaultMemberUniqueName="[Database].[KEYTIER2].[All]" allUniqueName="[Database].[KEYTIER2].[All]" dimensionUniqueName="[Database]" displayFolder="" count="2" memberValueDatatype="130" unbalanced="0">
      <fieldsUsage count="2">
        <fieldUsage x="-1"/>
        <fieldUsage x="0"/>
      </fieldsUsage>
    </cacheHierarchy>
    <cacheHierarchy uniqueName="[Database].[KEYTIER2_DESC]" caption="KEYTIER2_DESC" attribute="1" defaultMemberUniqueName="[Database].[KEYTIER2_DESC].[All]" allUniqueName="[Database].[KEYTIER2_DESC].[All]" dimensionUniqueName="[Database]" displayFolder="" count="0" memberValueDatatype="130" unbalanced="0"/>
    <cacheHierarchy uniqueName="[Measures].[REP_KEYTIER1DESC]" caption="REP_KEYTIER1DESC" measure="1" displayFolder="" measureGroup="Database" count="0"/>
    <cacheHierarchy uniqueName="[Measures].[REP_KEYTIER2DESC]" caption="REP_KEYTIER2DESC" measure="1" displayFolder="" measureGroup="Database" count="0" oneField="1">
      <fieldsUsage count="1">
        <fieldUsage x="1"/>
      </fieldsUsage>
    </cacheHierarchy>
    <cacheHierarchy uniqueName="[Measures].[REP_KEYTIER1]" caption="REP_KEYTIER1" measure="1" displayFolder="" measureGroup="Database" count="0" oneField="1">
      <fieldsUsage count="1">
        <fieldUsage x="2"/>
      </fieldsUsage>
    </cacheHierarchy>
    <cacheHierarchy uniqueName="[Measures].[REP_KEYTIER2]" caption="REP_KEYTIER2" measure="1" displayFolder="" measureGroup="Database" count="0"/>
    <cacheHierarchy uniqueName="[Measures].[REP_KEYNOTEDESC]" caption="REP_KEYNOTEDESC" measure="1" displayFolder="" measureGroup="Database" count="0"/>
    <cacheHierarchy uniqueName="[Measures].[__XL_Count Database]" caption="__XL_Count Database" measure="1" displayFolder="" measureGroup="Database" count="0" hidden="1"/>
    <cacheHierarchy uniqueName="[Measures].[__No measures defined]" caption="__No measures defined" measure="1" displayFolder="" count="0" hidden="1"/>
  </cacheHierarchies>
  <kpis count="0"/>
  <dimensions count="2">
    <dimension name="Database" uniqueName="[Database]" caption="Database"/>
    <dimension measure="1" name="Measures" uniqueName="[Measures]" caption="Measures"/>
  </dimensions>
  <measureGroups count="1">
    <measureGroup name="Database" caption="Database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9678A6-0265-4E42-840D-D5D6EA1C8E55}" name="KeyTier1" cacheId="1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6" indent="0" showHeaders="0" outline="1" outlineData="1" multipleFieldFilters="0">
  <location ref="A1:B13" firstHeaderRow="1" firstDataRow="1" firstDataCol="1"/>
  <pivotFields count="2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fld="1" subtotal="count" baseField="0" baseItem="0"/>
  </dataField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210722_Dev2.xlsm!Database">
        <x15:activeTabTopLevelEntity name="[Databa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6D8064-BE81-4973-8EA4-05F2B5EE598C}" name="KeyTier3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6" indent="0" showHeaders="0" outline="1" outlineData="1" multipleFieldFilters="0">
  <location ref="A500:C703" firstHeaderRow="0" firstDataRow="1" firstDataCol="1"/>
  <pivotFields count="3">
    <pivotField axis="axisRow" allDrilled="1" subtotalTop="0" showAll="0" dataSourceSort="1" defaultSubtotal="0" defaultAttributeDrillState="1">
      <items count="2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2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210722_Dev2.xlsm!Database">
        <x15:activeTabTopLevelEntity name="[Databa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B18F78-8D9F-484B-8822-C14D236500A8}" name="KeyTier2" cacheId="2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6" indent="0" showHeaders="0" outline="1" outlineData="1" multipleFieldFilters="0">
  <location ref="A125:C168" firstHeaderRow="0" firstDataRow="1" firstDataCol="1"/>
  <pivotFields count="3">
    <pivotField axis="axisRow" allDrilled="1" subtotalTop="0" showAll="0" dataSourceSort="1" defaultSubtotal="0" defaultAttributeDrillState="1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</rowItems>
  <colFields count="1">
    <field x="-2"/>
  </colFields>
  <colItems count="2">
    <i>
      <x/>
    </i>
    <i i="1">
      <x v="1"/>
    </i>
  </colItems>
  <dataFields count="2">
    <dataField fld="1" subtotal="count" baseField="0" baseItem="0"/>
    <dataField fld="2" subtotal="count" baseField="0" baseItem="0"/>
  </dataField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210722_Dev2.xlsm!Database">
        <x15:activeTabTopLevelEntity name="[Databa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738AEF-3B53-4EEF-948B-D135E089075A}" name="IntCategories" displayName="IntCategories" ref="B10:D16" totalsRowShown="0" headerRowDxfId="50" dataDxfId="48" headerRowBorderDxfId="49" tableBorderDxfId="47" totalsRowBorderDxfId="46">
  <autoFilter ref="B10:D16" xr:uid="{777271AC-37B5-4400-97DC-F337F1F1227B}">
    <filterColumn colId="0" hiddenButton="1"/>
    <filterColumn colId="1" hiddenButton="1"/>
    <filterColumn colId="2" hiddenButton="1"/>
  </autoFilter>
  <tableColumns count="3">
    <tableColumn id="1" xr3:uid="{81DB444A-77B1-420D-B5E5-5645183B7331}" name="Order" dataDxfId="45"/>
    <tableColumn id="2" xr3:uid="{4651EA4F-9E65-41DD-BA71-57942DE0B76A}" name="Interior" dataDxfId="44"/>
    <tableColumn id="3" xr3:uid="{94280A94-0E54-44C8-88FB-C03CAB0E9700}" name="Exterior" dataDxf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EA622-272B-4E3A-9EF5-695616694DBA}" name="Database" displayName="Database" ref="B2:AK205" totalsRowShown="0" headerRowDxfId="37" dataDxfId="36">
  <autoFilter ref="B2:AK205" xr:uid="{323319FD-194F-4F03-8AD7-C05C8D25F8D2}"/>
  <sortState xmlns:xlrd2="http://schemas.microsoft.com/office/spreadsheetml/2017/richdata2" ref="B3:AK205">
    <sortCondition ref="B3:B205"/>
    <sortCondition ref="C3:C205"/>
    <sortCondition ref="E3:E205"/>
    <sortCondition ref="AD3:AD205"/>
    <sortCondition ref="AE3:AE205"/>
    <sortCondition ref="AF3:AF205"/>
  </sortState>
  <tableColumns count="36">
    <tableColumn id="18" xr3:uid="{39319871-DF89-4CA1-A14A-0D9A4CE4EF2D}" name="FORMAT" dataDxfId="35"/>
    <tableColumn id="1" xr3:uid="{3B26BA23-43D4-4A66-A579-3773662353C7}" name="DIVISION #" dataDxfId="34"/>
    <tableColumn id="2" xr3:uid="{1A9CB0A0-9FD5-489C-BF82-0EED99A7F298}" name="DIVISION NAME" dataDxfId="33"/>
    <tableColumn id="3" xr3:uid="{275D4B37-3740-48A7-A308-7D42353118C1}" name="SECTION #" dataDxfId="32"/>
    <tableColumn id="4" xr3:uid="{CF9A6218-309F-453C-8A53-4E7719906639}" name="SECTION NAME" dataDxfId="31"/>
    <tableColumn id="5" xr3:uid="{F2554ADF-75DD-400F-A4C8-B8552BDB7DD7}" name="KEYNOTE #" dataDxfId="30"/>
    <tableColumn id="6" xr3:uid="{97C3A4D4-1F3C-4AD4-A34A-B2EBD10DEEBC}" name="KEYNOTE DESCRIPTION" dataDxfId="29"/>
    <tableColumn id="16" xr3:uid="{90538BCC-288E-40DE-B8DC-C61B306DED8B}" name="BASE" dataDxfId="28"/>
    <tableColumn id="27" xr3:uid="{6CE57CF6-D76B-4EB1-87B6-6BCCB7442444}" name="INT. WALL" dataDxfId="27"/>
    <tableColumn id="26" xr3:uid="{E6F28243-4AF5-416D-AF44-F21AE2052C4A}" name="CEILING" dataDxfId="26"/>
    <tableColumn id="24" xr3:uid="{45401372-949D-4330-8E65-FEF08C82AF8A}" name="FLOOR" dataDxfId="25"/>
    <tableColumn id="28" xr3:uid="{3C6EE270-65B7-4B18-A18E-7C2A5B1A50C9}" name="MILLWORK" dataDxfId="24"/>
    <tableColumn id="29" xr3:uid="{17857865-9759-4745-B1AC-DD12DDBFE9F1}" name="INT. OTHER" dataDxfId="23"/>
    <tableColumn id="17" xr3:uid="{8FF0425B-4F6A-465F-A364-30C3190FF5B1}" name="ROOF" dataDxfId="22"/>
    <tableColumn id="30" xr3:uid="{E6EB22B5-D0F5-446E-A3E1-798F73D55B50}" name="EXT. WALL" dataDxfId="21"/>
    <tableColumn id="31" xr3:uid="{B65F65C3-0861-4A0D-B19C-C23DE8D31235}" name="FENESTRATION" dataDxfId="20"/>
    <tableColumn id="37" xr3:uid="{A10E81EA-430E-4A44-956B-A0B1945AF189}" name="SOFFIT" dataDxfId="19"/>
    <tableColumn id="36" xr3:uid="{95D9C418-CF13-4A31-9B5A-7BEB1894AB2E}" name="PAVING" dataDxfId="18"/>
    <tableColumn id="32" xr3:uid="{B0497182-D19B-43D7-AFA7-7DA87EECC7C9}" name="EXT. OTHER" dataDxfId="17"/>
    <tableColumn id="8" xr3:uid="{5C0C03ED-B11A-4A80-9704-64741C010E85}" name="SOURCE" dataDxfId="16"/>
    <tableColumn id="9" xr3:uid="{A78F32B1-3B60-417F-9D83-D77150904894}" name="PRODUCT" dataDxfId="15"/>
    <tableColumn id="10" xr3:uid="{E7702F09-D653-4849-BC30-B478E5F0DC92}" name="CAT. NO." dataDxfId="14"/>
    <tableColumn id="11" xr3:uid="{3B4421C2-5ACD-4125-8EB7-4139A3757EEC}" name="COLOR" dataDxfId="13"/>
    <tableColumn id="12" xr3:uid="{6C7FC401-AA90-485D-B0FC-BE481B4F80A5}" name="FINISH" dataDxfId="12"/>
    <tableColumn id="13" xr3:uid="{8D9C0907-C393-4B3E-813A-299AC73D46C7}" name="SIZE" dataDxfId="11"/>
    <tableColumn id="14" xr3:uid="{EB72F726-0644-41E2-963B-015150C05B5D}" name="CONTACT" dataDxfId="10"/>
    <tableColumn id="15" xr3:uid="{0E956903-AE9C-404D-8767-A3DFC123A79B}" name="REMARKS" dataDxfId="9"/>
    <tableColumn id="19" xr3:uid="{F472627A-899C-43B0-821E-F463B87C2121}" name="HELPER1" dataDxfId="8">
      <calculatedColumnFormula>IF(COUNTIF($C$3:C3,C3)=1,1,IF(COUNTIF($E$3:E3,E3)=1,2,0))</calculatedColumnFormula>
    </tableColumn>
    <tableColumn id="20" xr3:uid="{1AE2228F-8D7A-45FD-A24F-69B976599AE1}" name="KEYSORT1" dataDxfId="7">
      <calculatedColumnFormula>IF(ISNUMBER(SEARCH("-",Database[[#This Row],[KEYNOTE '#]])),LEFT(Database[[#This Row],[KEYNOTE '#]],FIND("-",Database[[#This Row],[KEYNOTE '#]])-1),Database[[#This Row],[KEYNOTE '#]])</calculatedColumnFormula>
    </tableColumn>
    <tableColumn id="21" xr3:uid="{3A511CB4-8B4F-447A-A7B9-5DC4B1BDEB85}" name="KEYSORT2" dataDxfId="6">
      <calculatedColumnFormula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calculatedColumnFormula>
    </tableColumn>
    <tableColumn id="22" xr3:uid="{04AABC11-9AF8-449A-A574-0CA2A6A3F81F}" name="KEYSORT3" dataDxfId="5">
      <calculatedColumnFormula>IF(AND(ISNUMBER(SEARCH("-",Database[[#This Row],[KEYNOTE '#]]))=TRUE,ISNUMBER(--RIGHT(Database[[#This Row],[KEYNOTE '#]]))=FALSE),RIGHT(Database[[#This Row],[KEYNOTE '#]],1),"")</calculatedColumnFormula>
    </tableColumn>
    <tableColumn id="23" xr3:uid="{053C1197-2854-4C78-B42C-2FA00A0438EC}" name="TABLESORT" dataDxfId="4"/>
    <tableColumn id="7" xr3:uid="{2965ACC2-5A90-4FBC-9345-A4B1595B19E7}" name="KEYTIER1" dataDxfId="3">
      <calculatedColumnFormula>IF(COUNTIF(Database[[#This Row],[BASE]:[INT. OTHER]],"g"),"INTERIOR",IF(COUNTIF(Database[[#This Row],[ROOF]:[EXT. OTHER]],"n"),"EXTERIOR",Database[[#This Row],[DIVISION '#]]))</calculatedColumnFormula>
    </tableColumn>
    <tableColumn id="33" xr3:uid="{52212E1D-0A06-4ED7-BD96-037292129AEA}" name="KEYTIER1_DESC" dataDxfId="2">
      <calculatedColumnFormula>IF(OR(Database[[#This Row],[KEYTIER1]]="INTERIOR",Database[[#This Row],[KEYTIER1]]="EXTERIOR"),"",Database[[#This Row],[DIVISION NAME]])</calculatedColumnFormula>
    </tableColumn>
    <tableColumn id="34" xr3:uid="{1EA1742D-584F-4056-9C11-831EF7451864}" name="KEYTIER2" dataDxfId="1">
      <calculatedColumnFormula>IF(Database[[#This Row],[KEYTIER1]]="INTERIOR","INT",IF(Database[[#This Row],[KEYTIER1]]="EXTERIOR","EXT",Database[[#This Row],[SECTION '#]]))</calculatedColumnFormula>
    </tableColumn>
    <tableColumn id="35" xr3:uid="{AFAB4987-9394-4A73-8690-73D5FD1066DC}" name="KEYTIER2_DESC" dataDxfId="0">
      <calculatedColumnFormula>IF(OR(Database[[#This Row],[KEYTIER2]]="INT",Database[[#This Row],[KEYTIER2]]="EXT"),"",IF(Database[[#This Row],[SECTION NAME]]="","",Database[[#This Row],[SECTION NAME]]))</calculatedColumnFormula>
    </tableColumn>
  </tableColumns>
  <tableStyleInfo name="KeynoteDatabase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i.ennead.com/toolbox/BIMManual_01/02.16.3_Keynoting.aspx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49182-135A-4A90-963C-CCFC1379E300}">
  <sheetPr codeName="Sheet1"/>
  <dimension ref="A1:N23"/>
  <sheetViews>
    <sheetView workbookViewId="0">
      <selection activeCell="G11" sqref="G11"/>
    </sheetView>
  </sheetViews>
  <sheetFormatPr defaultRowHeight="15" x14ac:dyDescent="0.25"/>
  <cols>
    <col min="2" max="2" width="9.7109375" customWidth="1"/>
    <col min="3" max="3" width="12.7109375" customWidth="1"/>
    <col min="4" max="4" width="15.28515625" customWidth="1"/>
    <col min="10" max="10" width="21.42578125" customWidth="1"/>
    <col min="11" max="11" width="20.7109375" customWidth="1"/>
    <col min="14" max="14" width="16" customWidth="1"/>
  </cols>
  <sheetData>
    <row r="1" spans="1:14" ht="15.75" thickBot="1" x14ac:dyDescent="0.3">
      <c r="A1" t="s">
        <v>8283</v>
      </c>
    </row>
    <row r="2" spans="1:14" ht="15.75" thickTop="1" x14ac:dyDescent="0.25">
      <c r="B2" s="45" t="s">
        <v>227</v>
      </c>
      <c r="N2" s="30" t="s">
        <v>253</v>
      </c>
    </row>
    <row r="3" spans="1:14" x14ac:dyDescent="0.25">
      <c r="N3" s="31" t="b">
        <v>1</v>
      </c>
    </row>
    <row r="4" spans="1:14" ht="15.75" thickBot="1" x14ac:dyDescent="0.3">
      <c r="B4" t="s">
        <v>254</v>
      </c>
      <c r="N4" s="32" t="b">
        <v>0</v>
      </c>
    </row>
    <row r="5" spans="1:14" ht="15.75" thickTop="1" x14ac:dyDescent="0.25">
      <c r="B5" t="s">
        <v>255</v>
      </c>
    </row>
    <row r="6" spans="1:14" x14ac:dyDescent="0.25">
      <c r="B6" t="s">
        <v>256</v>
      </c>
    </row>
    <row r="7" spans="1:14" ht="44.25" customHeight="1" x14ac:dyDescent="0.25">
      <c r="B7" s="81" t="s">
        <v>8278</v>
      </c>
      <c r="C7" s="81"/>
      <c r="D7" s="81"/>
      <c r="E7" s="81"/>
      <c r="F7" s="81"/>
      <c r="G7" s="81"/>
      <c r="H7" s="81"/>
      <c r="I7" s="81"/>
      <c r="J7" s="81"/>
      <c r="K7" s="81"/>
    </row>
    <row r="8" spans="1:14" ht="15.75" thickBot="1" x14ac:dyDescent="0.3"/>
    <row r="9" spans="1:14" ht="16.5" thickTop="1" thickBot="1" x14ac:dyDescent="0.3">
      <c r="B9" s="78" t="s">
        <v>221</v>
      </c>
      <c r="C9" s="79"/>
      <c r="D9" s="80"/>
      <c r="F9" s="17" t="s">
        <v>245</v>
      </c>
      <c r="G9" s="16"/>
      <c r="H9" s="16"/>
      <c r="J9" s="25" t="s">
        <v>247</v>
      </c>
      <c r="K9" s="24"/>
    </row>
    <row r="10" spans="1:14" x14ac:dyDescent="0.25">
      <c r="B10" s="8" t="s">
        <v>222</v>
      </c>
      <c r="C10" s="9" t="s">
        <v>223</v>
      </c>
      <c r="D10" s="10" t="s">
        <v>224</v>
      </c>
      <c r="F10" s="16"/>
      <c r="G10" s="16"/>
      <c r="H10" s="16"/>
      <c r="J10" s="28" t="s">
        <v>248</v>
      </c>
      <c r="K10" s="29" t="s">
        <v>252</v>
      </c>
    </row>
    <row r="11" spans="1:14" x14ac:dyDescent="0.25">
      <c r="B11" s="11">
        <v>1</v>
      </c>
      <c r="C11" s="12" t="s">
        <v>9</v>
      </c>
      <c r="D11" s="13" t="s">
        <v>15</v>
      </c>
      <c r="F11" s="16"/>
      <c r="G11" s="16"/>
      <c r="H11" s="16"/>
      <c r="J11" s="26" t="s">
        <v>249</v>
      </c>
      <c r="K11" s="27">
        <v>12</v>
      </c>
    </row>
    <row r="12" spans="1:14" x14ac:dyDescent="0.25">
      <c r="B12" s="11">
        <v>2</v>
      </c>
      <c r="C12" s="12" t="s">
        <v>225</v>
      </c>
      <c r="D12" s="13" t="s">
        <v>225</v>
      </c>
      <c r="F12" s="16"/>
      <c r="G12" s="16"/>
      <c r="H12" s="16"/>
      <c r="J12" s="26" t="s">
        <v>250</v>
      </c>
      <c r="K12" s="27" t="b">
        <v>1</v>
      </c>
    </row>
    <row r="13" spans="1:14" x14ac:dyDescent="0.25">
      <c r="B13" s="11">
        <v>3</v>
      </c>
      <c r="C13" s="12" t="s">
        <v>11</v>
      </c>
      <c r="D13" s="13" t="s">
        <v>17</v>
      </c>
      <c r="F13" s="16"/>
      <c r="G13" s="16"/>
      <c r="H13" s="16"/>
      <c r="J13" s="26" t="s">
        <v>251</v>
      </c>
      <c r="K13" s="27">
        <v>11</v>
      </c>
    </row>
    <row r="14" spans="1:14" ht="15.75" thickBot="1" x14ac:dyDescent="0.3">
      <c r="B14" s="11">
        <v>4</v>
      </c>
      <c r="C14" s="12" t="s">
        <v>12</v>
      </c>
      <c r="D14" s="33" t="s">
        <v>257</v>
      </c>
      <c r="F14" s="16"/>
      <c r="G14" s="16"/>
      <c r="H14" s="16"/>
      <c r="J14" s="43" t="s">
        <v>8277</v>
      </c>
      <c r="K14" s="44">
        <v>20</v>
      </c>
    </row>
    <row r="15" spans="1:14" ht="15.75" thickTop="1" x14ac:dyDescent="0.25">
      <c r="B15" s="11">
        <v>5</v>
      </c>
      <c r="C15" s="12" t="s">
        <v>13</v>
      </c>
      <c r="D15" s="13" t="s">
        <v>258</v>
      </c>
      <c r="F15" s="16"/>
      <c r="G15" s="16"/>
      <c r="H15" s="16"/>
    </row>
    <row r="16" spans="1:14" ht="15.75" thickBot="1" x14ac:dyDescent="0.3">
      <c r="B16" s="11">
        <v>6</v>
      </c>
      <c r="C16" s="14" t="s">
        <v>226</v>
      </c>
      <c r="D16" s="13" t="s">
        <v>226</v>
      </c>
      <c r="F16" s="16"/>
      <c r="G16" s="16"/>
      <c r="H16" s="16"/>
    </row>
    <row r="17" spans="2:4" ht="15.75" thickTop="1" x14ac:dyDescent="0.25">
      <c r="B17" s="81" t="s">
        <v>246</v>
      </c>
      <c r="C17" s="81"/>
      <c r="D17" s="81"/>
    </row>
    <row r="18" spans="2:4" ht="27" customHeight="1" x14ac:dyDescent="0.25">
      <c r="B18" s="81"/>
      <c r="C18" s="81"/>
      <c r="D18" s="81"/>
    </row>
    <row r="19" spans="2:4" ht="15.75" thickBot="1" x14ac:dyDescent="0.3"/>
    <row r="20" spans="2:4" x14ac:dyDescent="0.25">
      <c r="B20" s="82" t="s">
        <v>8279</v>
      </c>
      <c r="C20" s="83"/>
      <c r="D20" s="84"/>
    </row>
    <row r="21" spans="2:4" x14ac:dyDescent="0.25">
      <c r="B21" s="48" t="s">
        <v>8281</v>
      </c>
      <c r="C21" s="49" t="s">
        <v>8280</v>
      </c>
      <c r="D21" s="50" t="s">
        <v>8282</v>
      </c>
    </row>
    <row r="22" spans="2:4" ht="15.75" x14ac:dyDescent="0.3">
      <c r="B22" s="46" t="s">
        <v>223</v>
      </c>
      <c r="C22" s="51" t="s">
        <v>38</v>
      </c>
      <c r="D22" s="53" t="str">
        <f>C22</f>
        <v>g</v>
      </c>
    </row>
    <row r="23" spans="2:4" ht="16.5" thickBot="1" x14ac:dyDescent="0.35">
      <c r="B23" s="47" t="s">
        <v>224</v>
      </c>
      <c r="C23" s="52" t="s">
        <v>40</v>
      </c>
      <c r="D23" s="54" t="str">
        <f>C23</f>
        <v>n</v>
      </c>
    </row>
  </sheetData>
  <mergeCells count="4">
    <mergeCell ref="B9:D9"/>
    <mergeCell ref="B17:D18"/>
    <mergeCell ref="B7:K7"/>
    <mergeCell ref="B20:D20"/>
  </mergeCells>
  <dataValidations disablePrompts="1" count="1">
    <dataValidation type="list" allowBlank="1" showInputMessage="1" showErrorMessage="1" sqref="K12" xr:uid="{9435AFD9-D537-45C8-9819-ED2F0245B810}">
      <formula1>$N$3:$N$4</formula1>
    </dataValidation>
  </dataValidations>
  <hyperlinks>
    <hyperlink ref="B2" r:id="rId1" xr:uid="{B5655AC5-CAE5-47A7-A6A1-2D5590D5EE9D}"/>
  </hyperlinks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setDatabase.ResetDatabase">
                <anchor moveWithCells="1" sizeWithCells="1">
                  <from>
                    <xdr:col>5</xdr:col>
                    <xdr:colOff>247650</xdr:colOff>
                    <xdr:row>9</xdr:row>
                    <xdr:rowOff>47625</xdr:rowOff>
                  </from>
                  <to>
                    <xdr:col>7</xdr:col>
                    <xdr:colOff>285750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UpdateIndices.UpdateIndices">
                <anchor moveWithCells="1" sizeWithCells="1">
                  <from>
                    <xdr:col>5</xdr:col>
                    <xdr:colOff>238125</xdr:colOff>
                    <xdr:row>11</xdr:row>
                    <xdr:rowOff>123825</xdr:rowOff>
                  </from>
                  <to>
                    <xdr:col>7</xdr:col>
                    <xdr:colOff>257175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ExportText">
                <anchor moveWithCells="1" sizeWithCells="1">
                  <from>
                    <xdr:col>5</xdr:col>
                    <xdr:colOff>247650</xdr:colOff>
                    <xdr:row>13</xdr:row>
                    <xdr:rowOff>171450</xdr:rowOff>
                  </from>
                  <to>
                    <xdr:col>7</xdr:col>
                    <xdr:colOff>247650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78181-8A93-4C90-8774-65760B41B7CF}">
  <sheetPr codeName="Sheet2">
    <pageSetUpPr fitToPage="1"/>
  </sheetPr>
  <dimension ref="B1:AK205"/>
  <sheetViews>
    <sheetView topLeftCell="D1" zoomScale="80" zoomScaleNormal="80" workbookViewId="0">
      <pane ySplit="2" topLeftCell="A135" activePane="bottomLeft" state="frozen"/>
      <selection pane="bottomLeft"/>
    </sheetView>
  </sheetViews>
  <sheetFormatPr defaultColWidth="8.85546875" defaultRowHeight="15" outlineLevelCol="1" x14ac:dyDescent="0.25"/>
  <cols>
    <col min="1" max="1" width="8.85546875" style="3"/>
    <col min="2" max="2" width="17.5703125" style="1" customWidth="1"/>
    <col min="3" max="3" width="10.28515625" style="2" customWidth="1"/>
    <col min="4" max="4" width="24.42578125" style="1" bestFit="1" customWidth="1"/>
    <col min="5" max="5" width="13.7109375" style="2" customWidth="1"/>
    <col min="6" max="6" width="45.140625" style="1" customWidth="1"/>
    <col min="7" max="7" width="14.28515625" style="75" customWidth="1"/>
    <col min="8" max="8" width="60.28515625" style="1" customWidth="1"/>
    <col min="9" max="9" width="7.42578125" style="70" customWidth="1" outlineLevel="1"/>
    <col min="10" max="14" width="7.42578125" style="7" customWidth="1" outlineLevel="1"/>
    <col min="15" max="15" width="7.42578125" style="70" customWidth="1" outlineLevel="1"/>
    <col min="16" max="20" width="7.42578125" style="7" customWidth="1" outlineLevel="1"/>
    <col min="21" max="21" width="9.7109375" style="72" customWidth="1"/>
    <col min="22" max="22" width="11.140625" style="1" customWidth="1"/>
    <col min="23" max="23" width="10.42578125" style="1" customWidth="1"/>
    <col min="24" max="24" width="28.28515625" style="1" customWidth="1"/>
    <col min="25" max="25" width="8.42578125" style="1" customWidth="1"/>
    <col min="26" max="26" width="6.42578125" style="1" customWidth="1"/>
    <col min="27" max="27" width="20.28515625" style="1" customWidth="1"/>
    <col min="28" max="28" width="19.140625" style="1" customWidth="1"/>
    <col min="29" max="29" width="8.85546875" style="7" hidden="1" customWidth="1"/>
    <col min="30" max="34" width="8.85546875" style="3" hidden="1" customWidth="1"/>
    <col min="35" max="37" width="40" style="3" hidden="1" customWidth="1"/>
    <col min="38" max="16384" width="8.85546875" style="3"/>
  </cols>
  <sheetData>
    <row r="1" spans="2:37" x14ac:dyDescent="0.25">
      <c r="I1" s="85" t="s">
        <v>0</v>
      </c>
      <c r="J1" s="85"/>
      <c r="K1" s="85"/>
      <c r="L1" s="85"/>
      <c r="M1" s="85"/>
      <c r="N1" s="85"/>
      <c r="O1" s="86" t="s">
        <v>1</v>
      </c>
      <c r="P1" s="87"/>
      <c r="Q1" s="87"/>
      <c r="R1" s="87"/>
      <c r="S1" s="87"/>
      <c r="T1" s="87"/>
    </row>
    <row r="2" spans="2:37" s="1" customFormat="1" ht="30" x14ac:dyDescent="0.25">
      <c r="B2" s="4" t="s">
        <v>2</v>
      </c>
      <c r="C2" s="5" t="s">
        <v>3</v>
      </c>
      <c r="D2" s="4" t="s">
        <v>4</v>
      </c>
      <c r="E2" s="5" t="s">
        <v>5</v>
      </c>
      <c r="F2" s="4" t="s">
        <v>6</v>
      </c>
      <c r="G2" s="76" t="s">
        <v>7</v>
      </c>
      <c r="H2" s="4" t="s">
        <v>8</v>
      </c>
      <c r="I2" s="68" t="s">
        <v>9</v>
      </c>
      <c r="J2" s="6" t="s">
        <v>10</v>
      </c>
      <c r="K2" s="6" t="s">
        <v>11</v>
      </c>
      <c r="L2" s="6" t="s">
        <v>12</v>
      </c>
      <c r="M2" s="6" t="s">
        <v>13</v>
      </c>
      <c r="N2" s="6" t="s">
        <v>14</v>
      </c>
      <c r="O2" s="68" t="s">
        <v>15</v>
      </c>
      <c r="P2" s="6" t="s">
        <v>16</v>
      </c>
      <c r="Q2" s="6" t="s">
        <v>17</v>
      </c>
      <c r="R2" s="6" t="s">
        <v>257</v>
      </c>
      <c r="S2" s="6" t="s">
        <v>258</v>
      </c>
      <c r="T2" s="6" t="s">
        <v>18</v>
      </c>
      <c r="U2" s="73" t="s">
        <v>19</v>
      </c>
      <c r="V2" s="4" t="s">
        <v>20</v>
      </c>
      <c r="W2" s="4" t="s">
        <v>21</v>
      </c>
      <c r="X2" s="4" t="s">
        <v>22</v>
      </c>
      <c r="Y2" s="4" t="s">
        <v>23</v>
      </c>
      <c r="Z2" s="4" t="s">
        <v>24</v>
      </c>
      <c r="AA2" s="4" t="s">
        <v>25</v>
      </c>
      <c r="AB2" s="4" t="s">
        <v>26</v>
      </c>
      <c r="AC2" s="34" t="s">
        <v>27</v>
      </c>
      <c r="AD2" s="4" t="s">
        <v>28</v>
      </c>
      <c r="AE2" s="4" t="s">
        <v>29</v>
      </c>
      <c r="AF2" s="4" t="s">
        <v>30</v>
      </c>
      <c r="AG2" s="4" t="s">
        <v>31</v>
      </c>
      <c r="AH2" s="4" t="s">
        <v>32</v>
      </c>
      <c r="AI2" s="4" t="s">
        <v>33</v>
      </c>
      <c r="AJ2" s="4" t="s">
        <v>34</v>
      </c>
      <c r="AK2" s="4" t="s">
        <v>35</v>
      </c>
    </row>
    <row r="3" spans="2:37" ht="30" x14ac:dyDescent="0.25">
      <c r="B3" s="55" t="s">
        <v>36</v>
      </c>
      <c r="C3" s="55">
        <v>3</v>
      </c>
      <c r="D3" s="55" t="s">
        <v>37</v>
      </c>
      <c r="E3" s="55">
        <v>33100</v>
      </c>
      <c r="F3" s="58" t="s">
        <v>8284</v>
      </c>
      <c r="G3" s="77" t="s">
        <v>39</v>
      </c>
      <c r="H3" s="58" t="s">
        <v>8285</v>
      </c>
      <c r="I3" s="69"/>
      <c r="J3" s="57"/>
      <c r="K3" s="57"/>
      <c r="L3" s="57"/>
      <c r="M3" s="57"/>
      <c r="N3" s="59"/>
      <c r="O3" s="71"/>
      <c r="P3" s="56"/>
      <c r="Q3" s="56"/>
      <c r="R3" s="56"/>
      <c r="S3" s="56"/>
      <c r="T3" s="60" t="s">
        <v>40</v>
      </c>
      <c r="U3" s="74"/>
      <c r="V3" s="55"/>
      <c r="W3" s="55"/>
      <c r="X3" s="55"/>
      <c r="Y3" s="55"/>
      <c r="Z3" s="55"/>
      <c r="AA3" s="55"/>
      <c r="AB3" s="55"/>
      <c r="AC3" s="55">
        <f>IF(COUNTIF($C$3:C3,C3)=1,1,IF(COUNTIF($E$3:E3,E3)=1,2,0))</f>
        <v>1</v>
      </c>
      <c r="AD3" s="55" t="str">
        <f>IF(ISNUMBER(SEARCH("-",Database[[#This Row],[KEYNOTE '#]])),LEFT(Database[[#This Row],[KEYNOTE '#]],FIND("-",Database[[#This Row],[KEYNOTE '#]])-1),Database[[#This Row],[KEYNOTE '#]])</f>
        <v>CNC</v>
      </c>
      <c r="AE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" s="55" t="str">
        <f>IF(AND(ISNUMBER(SEARCH("-",Database[[#This Row],[KEYNOTE '#]]))=TRUE,ISNUMBER(--RIGHT(Database[[#This Row],[KEYNOTE '#]]))=FALSE),RIGHT(Database[[#This Row],[KEYNOTE '#]],1),"")</f>
        <v/>
      </c>
      <c r="AG3" s="55">
        <v>1</v>
      </c>
      <c r="AH3" s="55" t="str">
        <f>IF(COUNTIF(Database[[#This Row],[BASE]:[INT. OTHER]],"g"),"INTERIOR",IF(COUNTIF(Database[[#This Row],[ROOF]:[EXT. OTHER]],"n"),"EXTERIOR",Database[[#This Row],[DIVISION '#]]))</f>
        <v>EXTERIOR</v>
      </c>
      <c r="AI3" s="55" t="str">
        <f>IF(OR(Database[[#This Row],[KEYTIER1]]="INTERIOR",Database[[#This Row],[KEYTIER1]]="EXTERIOR"),"",Database[[#This Row],[DIVISION NAME]])</f>
        <v/>
      </c>
      <c r="AJ3" s="55" t="str">
        <f>IF(Database[[#This Row],[KEYTIER1]]="INTERIOR","INT",IF(Database[[#This Row],[KEYTIER1]]="EXTERIOR","EXT",Database[[#This Row],[SECTION '#]]))</f>
        <v>EXT</v>
      </c>
      <c r="AK3" s="55" t="str">
        <f>IF(OR(Database[[#This Row],[KEYTIER2]]="INT",Database[[#This Row],[KEYTIER2]]="EXT"),"",IF(Database[[#This Row],[SECTION NAME]]="","",Database[[#This Row],[SECTION NAME]]))</f>
        <v/>
      </c>
    </row>
    <row r="4" spans="2:37" ht="30" x14ac:dyDescent="0.25">
      <c r="B4" s="55" t="s">
        <v>36</v>
      </c>
      <c r="C4" s="55">
        <v>3</v>
      </c>
      <c r="D4" s="55" t="s">
        <v>37</v>
      </c>
      <c r="E4" s="55">
        <v>33300</v>
      </c>
      <c r="F4" s="58" t="s">
        <v>8286</v>
      </c>
      <c r="G4" s="77" t="s">
        <v>8287</v>
      </c>
      <c r="H4" s="58" t="s">
        <v>8288</v>
      </c>
      <c r="I4" s="69"/>
      <c r="J4" s="57"/>
      <c r="K4" s="57"/>
      <c r="L4" s="57" t="s">
        <v>38</v>
      </c>
      <c r="M4" s="57"/>
      <c r="N4" s="59"/>
      <c r="O4" s="71"/>
      <c r="P4" s="56"/>
      <c r="Q4" s="56"/>
      <c r="R4" s="56"/>
      <c r="S4" s="56"/>
      <c r="T4" s="60"/>
      <c r="U4" s="74"/>
      <c r="V4" s="55"/>
      <c r="W4" s="55"/>
      <c r="X4" s="55"/>
      <c r="Y4" s="55"/>
      <c r="Z4" s="55"/>
      <c r="AA4" s="55"/>
      <c r="AB4" s="55"/>
      <c r="AC4" s="55">
        <f>IF(COUNTIF($C$3:C4,C4)=1,1,IF(COUNTIF($E$3:E4,E4)=1,2,0))</f>
        <v>2</v>
      </c>
      <c r="AD4" s="55" t="str">
        <f>IF(ISNUMBER(SEARCH("-",Database[[#This Row],[KEYNOTE '#]])),LEFT(Database[[#This Row],[KEYNOTE '#]],FIND("-",Database[[#This Row],[KEYNOTE '#]])-1),Database[[#This Row],[KEYNOTE '#]])</f>
        <v>CNC</v>
      </c>
      <c r="AE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4" s="55" t="str">
        <f>IF(AND(ISNUMBER(SEARCH("-",Database[[#This Row],[KEYNOTE '#]]))=TRUE,ISNUMBER(--RIGHT(Database[[#This Row],[KEYNOTE '#]]))=FALSE),RIGHT(Database[[#This Row],[KEYNOTE '#]],1),"")</f>
        <v/>
      </c>
      <c r="AG4" s="55">
        <v>2</v>
      </c>
      <c r="AH4" s="55" t="str">
        <f>IF(COUNTIF(Database[[#This Row],[BASE]:[INT. OTHER]],"g"),"INTERIOR",IF(COUNTIF(Database[[#This Row],[ROOF]:[EXT. OTHER]],"n"),"EXTERIOR",Database[[#This Row],[DIVISION '#]]))</f>
        <v>INTERIOR</v>
      </c>
      <c r="AI4" s="55" t="str">
        <f>IF(OR(Database[[#This Row],[KEYTIER1]]="INTERIOR",Database[[#This Row],[KEYTIER1]]="EXTERIOR"),"",Database[[#This Row],[DIVISION NAME]])</f>
        <v/>
      </c>
      <c r="AJ4" s="55" t="str">
        <f>IF(Database[[#This Row],[KEYTIER1]]="INTERIOR","INT",IF(Database[[#This Row],[KEYTIER1]]="EXTERIOR","EXT",Database[[#This Row],[SECTION '#]]))</f>
        <v>INT</v>
      </c>
      <c r="AK4" s="55" t="str">
        <f>IF(OR(Database[[#This Row],[KEYTIER2]]="INT",Database[[#This Row],[KEYTIER2]]="EXT"),"",IF(Database[[#This Row],[SECTION NAME]]="","",Database[[#This Row],[SECTION NAME]]))</f>
        <v/>
      </c>
    </row>
    <row r="5" spans="2:37" ht="30" x14ac:dyDescent="0.25">
      <c r="B5" s="55" t="s">
        <v>36</v>
      </c>
      <c r="C5" s="55">
        <v>3</v>
      </c>
      <c r="D5" s="55" t="s">
        <v>37</v>
      </c>
      <c r="E5" s="55">
        <v>33300</v>
      </c>
      <c r="F5" s="58" t="s">
        <v>8286</v>
      </c>
      <c r="G5" s="77" t="s">
        <v>8289</v>
      </c>
      <c r="H5" s="58" t="s">
        <v>8290</v>
      </c>
      <c r="I5" s="69"/>
      <c r="J5" s="57"/>
      <c r="K5" s="57"/>
      <c r="L5" s="57" t="s">
        <v>38</v>
      </c>
      <c r="M5" s="57"/>
      <c r="N5" s="59"/>
      <c r="O5" s="71"/>
      <c r="P5" s="56"/>
      <c r="Q5" s="56"/>
      <c r="R5" s="56"/>
      <c r="S5" s="56"/>
      <c r="T5" s="60"/>
      <c r="U5" s="74"/>
      <c r="V5" s="55"/>
      <c r="W5" s="55"/>
      <c r="X5" s="55"/>
      <c r="Y5" s="55"/>
      <c r="Z5" s="55"/>
      <c r="AA5" s="55"/>
      <c r="AB5" s="55"/>
      <c r="AC5" s="55">
        <f>IF(COUNTIF($C$3:C5,C5)=1,1,IF(COUNTIF($E$3:E5,E5)=1,2,0))</f>
        <v>0</v>
      </c>
      <c r="AD5" s="55" t="str">
        <f>IF(ISNUMBER(SEARCH("-",Database[[#This Row],[KEYNOTE '#]])),LEFT(Database[[#This Row],[KEYNOTE '#]],FIND("-",Database[[#This Row],[KEYNOTE '#]])-1),Database[[#This Row],[KEYNOTE '#]])</f>
        <v>CNC</v>
      </c>
      <c r="AE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5" s="55" t="str">
        <f>IF(AND(ISNUMBER(SEARCH("-",Database[[#This Row],[KEYNOTE '#]]))=TRUE,ISNUMBER(--RIGHT(Database[[#This Row],[KEYNOTE '#]]))=FALSE),RIGHT(Database[[#This Row],[KEYNOTE '#]],1),"")</f>
        <v/>
      </c>
      <c r="AG5" s="55">
        <v>3</v>
      </c>
      <c r="AH5" s="55" t="str">
        <f>IF(COUNTIF(Database[[#This Row],[BASE]:[INT. OTHER]],"g"),"INTERIOR",IF(COUNTIF(Database[[#This Row],[ROOF]:[EXT. OTHER]],"n"),"EXTERIOR",Database[[#This Row],[DIVISION '#]]))</f>
        <v>INTERIOR</v>
      </c>
      <c r="AI5" s="55" t="str">
        <f>IF(OR(Database[[#This Row],[KEYTIER1]]="INTERIOR",Database[[#This Row],[KEYTIER1]]="EXTERIOR"),"",Database[[#This Row],[DIVISION NAME]])</f>
        <v/>
      </c>
      <c r="AJ5" s="55" t="str">
        <f>IF(Database[[#This Row],[KEYTIER1]]="INTERIOR","INT",IF(Database[[#This Row],[KEYTIER1]]="EXTERIOR","EXT",Database[[#This Row],[SECTION '#]]))</f>
        <v>INT</v>
      </c>
      <c r="AK5" s="55" t="str">
        <f>IF(OR(Database[[#This Row],[KEYTIER2]]="INT",Database[[#This Row],[KEYTIER2]]="EXT"),"",IF(Database[[#This Row],[SECTION NAME]]="","",Database[[#This Row],[SECTION NAME]]))</f>
        <v/>
      </c>
    </row>
    <row r="6" spans="2:37" ht="30" x14ac:dyDescent="0.25">
      <c r="B6" s="55" t="s">
        <v>36</v>
      </c>
      <c r="C6" s="55">
        <v>3</v>
      </c>
      <c r="D6" s="55" t="s">
        <v>37</v>
      </c>
      <c r="E6" s="55">
        <v>33300</v>
      </c>
      <c r="F6" s="58" t="s">
        <v>8286</v>
      </c>
      <c r="G6" s="77" t="s">
        <v>41</v>
      </c>
      <c r="H6" s="58" t="s">
        <v>8288</v>
      </c>
      <c r="I6" s="69"/>
      <c r="J6" s="57"/>
      <c r="K6" s="57"/>
      <c r="L6" s="57"/>
      <c r="M6" s="57"/>
      <c r="N6" s="59"/>
      <c r="O6" s="71"/>
      <c r="P6" s="56"/>
      <c r="Q6" s="56"/>
      <c r="R6" s="56"/>
      <c r="S6" s="56"/>
      <c r="T6" s="60"/>
      <c r="U6" s="74"/>
      <c r="V6" s="55"/>
      <c r="W6" s="55"/>
      <c r="X6" s="55"/>
      <c r="Y6" s="55"/>
      <c r="Z6" s="55"/>
      <c r="AA6" s="55"/>
      <c r="AB6" s="55"/>
      <c r="AC6" s="55">
        <f>IF(COUNTIF($C$3:C6,C6)=1,1,IF(COUNTIF($E$3:E6,E6)=1,2,0))</f>
        <v>0</v>
      </c>
      <c r="AD6" s="55" t="str">
        <f>IF(ISNUMBER(SEARCH("-",Database[[#This Row],[KEYNOTE '#]])),LEFT(Database[[#This Row],[KEYNOTE '#]],FIND("-",Database[[#This Row],[KEYNOTE '#]])-1),Database[[#This Row],[KEYNOTE '#]])</f>
        <v>CNC</v>
      </c>
      <c r="AE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51</v>
      </c>
      <c r="AF6" s="55" t="str">
        <f>IF(AND(ISNUMBER(SEARCH("-",Database[[#This Row],[KEYNOTE '#]]))=TRUE,ISNUMBER(--RIGHT(Database[[#This Row],[KEYNOTE '#]]))=FALSE),RIGHT(Database[[#This Row],[KEYNOTE '#]],1),"")</f>
        <v/>
      </c>
      <c r="AG6" s="55">
        <v>4</v>
      </c>
      <c r="AH6" s="55">
        <f>IF(COUNTIF(Database[[#This Row],[BASE]:[INT. OTHER]],"g"),"INTERIOR",IF(COUNTIF(Database[[#This Row],[ROOF]:[EXT. OTHER]],"n"),"EXTERIOR",Database[[#This Row],[DIVISION '#]]))</f>
        <v>3</v>
      </c>
      <c r="AI6" s="55" t="str">
        <f>IF(OR(Database[[#This Row],[KEYTIER1]]="INTERIOR",Database[[#This Row],[KEYTIER1]]="EXTERIOR"),"",Database[[#This Row],[DIVISION NAME]])</f>
        <v>DIVISION 03 - CONCRETE</v>
      </c>
      <c r="AJ6" s="55">
        <f>IF(Database[[#This Row],[KEYTIER1]]="INTERIOR","INT",IF(Database[[#This Row],[KEYTIER1]]="EXTERIOR","EXT",Database[[#This Row],[SECTION '#]]))</f>
        <v>33300</v>
      </c>
      <c r="AK6" s="55" t="str">
        <f>IF(OR(Database[[#This Row],[KEYTIER2]]="INT",Database[[#This Row],[KEYTIER2]]="EXT"),"",IF(Database[[#This Row],[SECTION NAME]]="","",Database[[#This Row],[SECTION NAME]]))</f>
        <v>SECTION 033300 - CAST-IN-PLACE ARCHITECTURAL CONCRETE</v>
      </c>
    </row>
    <row r="7" spans="2:37" ht="30" x14ac:dyDescent="0.25">
      <c r="B7" s="55" t="s">
        <v>36</v>
      </c>
      <c r="C7" s="55">
        <v>3</v>
      </c>
      <c r="D7" s="55" t="s">
        <v>37</v>
      </c>
      <c r="E7" s="55">
        <v>34000</v>
      </c>
      <c r="F7" s="58" t="s">
        <v>8291</v>
      </c>
      <c r="G7" s="77" t="s">
        <v>42</v>
      </c>
      <c r="H7" s="58" t="s">
        <v>8292</v>
      </c>
      <c r="I7" s="69"/>
      <c r="J7" s="57"/>
      <c r="K7" s="57"/>
      <c r="L7" s="57"/>
      <c r="M7" s="57"/>
      <c r="N7" s="59"/>
      <c r="O7" s="71"/>
      <c r="P7" s="56" t="s">
        <v>40</v>
      </c>
      <c r="Q7" s="56"/>
      <c r="R7" s="56"/>
      <c r="S7" s="56"/>
      <c r="T7" s="60"/>
      <c r="U7" s="74"/>
      <c r="V7" s="55"/>
      <c r="W7" s="55"/>
      <c r="X7" s="55"/>
      <c r="Y7" s="55"/>
      <c r="Z7" s="55"/>
      <c r="AA7" s="55"/>
      <c r="AB7" s="55"/>
      <c r="AC7" s="55">
        <f>IF(COUNTIF($C$3:C7,C7)=1,1,IF(COUNTIF($E$3:E7,E7)=1,2,0))</f>
        <v>2</v>
      </c>
      <c r="AD7" s="55" t="str">
        <f>IF(ISNUMBER(SEARCH("-",Database[[#This Row],[KEYNOTE '#]])),LEFT(Database[[#This Row],[KEYNOTE '#]],FIND("-",Database[[#This Row],[KEYNOTE '#]])-1),Database[[#This Row],[KEYNOTE '#]])</f>
        <v>PCC</v>
      </c>
      <c r="AE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7" s="55" t="str">
        <f>IF(AND(ISNUMBER(SEARCH("-",Database[[#This Row],[KEYNOTE '#]]))=TRUE,ISNUMBER(--RIGHT(Database[[#This Row],[KEYNOTE '#]]))=FALSE),RIGHT(Database[[#This Row],[KEYNOTE '#]],1),"")</f>
        <v/>
      </c>
      <c r="AG7" s="55">
        <v>5</v>
      </c>
      <c r="AH7" s="55" t="str">
        <f>IF(COUNTIF(Database[[#This Row],[BASE]:[INT. OTHER]],"g"),"INTERIOR",IF(COUNTIF(Database[[#This Row],[ROOF]:[EXT. OTHER]],"n"),"EXTERIOR",Database[[#This Row],[DIVISION '#]]))</f>
        <v>EXTERIOR</v>
      </c>
      <c r="AI7" s="55" t="str">
        <f>IF(OR(Database[[#This Row],[KEYTIER1]]="INTERIOR",Database[[#This Row],[KEYTIER1]]="EXTERIOR"),"",Database[[#This Row],[DIVISION NAME]])</f>
        <v/>
      </c>
      <c r="AJ7" s="55" t="str">
        <f>IF(Database[[#This Row],[KEYTIER1]]="INTERIOR","INT",IF(Database[[#This Row],[KEYTIER1]]="EXTERIOR","EXT",Database[[#This Row],[SECTION '#]]))</f>
        <v>EXT</v>
      </c>
      <c r="AK7" s="55" t="str">
        <f>IF(OR(Database[[#This Row],[KEYTIER2]]="INT",Database[[#This Row],[KEYTIER2]]="EXT"),"",IF(Database[[#This Row],[SECTION NAME]]="","",Database[[#This Row],[SECTION NAME]]))</f>
        <v/>
      </c>
    </row>
    <row r="8" spans="2:37" ht="30" x14ac:dyDescent="0.25">
      <c r="B8" s="55" t="s">
        <v>36</v>
      </c>
      <c r="C8" s="55">
        <v>3</v>
      </c>
      <c r="D8" s="55" t="s">
        <v>37</v>
      </c>
      <c r="E8" s="55">
        <v>34000</v>
      </c>
      <c r="F8" s="58" t="s">
        <v>8291</v>
      </c>
      <c r="G8" s="77" t="s">
        <v>8293</v>
      </c>
      <c r="H8" s="58" t="s">
        <v>8294</v>
      </c>
      <c r="I8" s="69"/>
      <c r="J8" s="57"/>
      <c r="K8" s="57"/>
      <c r="L8" s="57"/>
      <c r="M8" s="57"/>
      <c r="N8" s="59"/>
      <c r="O8" s="71"/>
      <c r="P8" s="56"/>
      <c r="Q8" s="56"/>
      <c r="R8" s="56"/>
      <c r="S8" s="56" t="s">
        <v>40</v>
      </c>
      <c r="T8" s="60"/>
      <c r="U8" s="74"/>
      <c r="V8" s="55"/>
      <c r="W8" s="55"/>
      <c r="X8" s="55"/>
      <c r="Y8" s="55"/>
      <c r="Z8" s="55"/>
      <c r="AA8" s="55"/>
      <c r="AB8" s="55"/>
      <c r="AC8" s="55">
        <f>IF(COUNTIF($C$3:C8,C8)=1,1,IF(COUNTIF($E$3:E8,E8)=1,2,0))</f>
        <v>0</v>
      </c>
      <c r="AD8" s="55" t="str">
        <f>IF(ISNUMBER(SEARCH("-",Database[[#This Row],[KEYNOTE '#]])),LEFT(Database[[#This Row],[KEYNOTE '#]],FIND("-",Database[[#This Row],[KEYNOTE '#]])-1),Database[[#This Row],[KEYNOTE '#]])</f>
        <v>PCC</v>
      </c>
      <c r="AE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51</v>
      </c>
      <c r="AF8" s="55" t="str">
        <f>IF(AND(ISNUMBER(SEARCH("-",Database[[#This Row],[KEYNOTE '#]]))=TRUE,ISNUMBER(--RIGHT(Database[[#This Row],[KEYNOTE '#]]))=FALSE),RIGHT(Database[[#This Row],[KEYNOTE '#]],1),"")</f>
        <v/>
      </c>
      <c r="AG8" s="55">
        <v>6</v>
      </c>
      <c r="AH8" s="55" t="str">
        <f>IF(COUNTIF(Database[[#This Row],[BASE]:[INT. OTHER]],"g"),"INTERIOR",IF(COUNTIF(Database[[#This Row],[ROOF]:[EXT. OTHER]],"n"),"EXTERIOR",Database[[#This Row],[DIVISION '#]]))</f>
        <v>EXTERIOR</v>
      </c>
      <c r="AI8" s="55" t="str">
        <f>IF(OR(Database[[#This Row],[KEYTIER1]]="INTERIOR",Database[[#This Row],[KEYTIER1]]="EXTERIOR"),"",Database[[#This Row],[DIVISION NAME]])</f>
        <v/>
      </c>
      <c r="AJ8" s="55" t="str">
        <f>IF(Database[[#This Row],[KEYTIER1]]="INTERIOR","INT",IF(Database[[#This Row],[KEYTIER1]]="EXTERIOR","EXT",Database[[#This Row],[SECTION '#]]))</f>
        <v>EXT</v>
      </c>
      <c r="AK8" s="55" t="str">
        <f>IF(OR(Database[[#This Row],[KEYTIER2]]="INT",Database[[#This Row],[KEYTIER2]]="EXT"),"",IF(Database[[#This Row],[SECTION NAME]]="","",Database[[#This Row],[SECTION NAME]]))</f>
        <v/>
      </c>
    </row>
    <row r="9" spans="2:37" ht="30" x14ac:dyDescent="0.25">
      <c r="B9" s="55" t="s">
        <v>36</v>
      </c>
      <c r="C9" s="55">
        <v>3</v>
      </c>
      <c r="D9" s="55" t="s">
        <v>37</v>
      </c>
      <c r="E9" s="55">
        <v>34900</v>
      </c>
      <c r="F9" s="58" t="s">
        <v>8295</v>
      </c>
      <c r="G9" s="77" t="s">
        <v>43</v>
      </c>
      <c r="H9" s="58" t="s">
        <v>8296</v>
      </c>
      <c r="I9" s="69"/>
      <c r="J9" s="57"/>
      <c r="K9" s="57"/>
      <c r="L9" s="57"/>
      <c r="M9" s="57"/>
      <c r="N9" s="59"/>
      <c r="O9" s="71"/>
      <c r="P9" s="56" t="s">
        <v>40</v>
      </c>
      <c r="Q9" s="56"/>
      <c r="R9" s="56"/>
      <c r="S9" s="56"/>
      <c r="T9" s="60"/>
      <c r="U9" s="74"/>
      <c r="V9" s="55"/>
      <c r="W9" s="55"/>
      <c r="X9" s="55"/>
      <c r="Y9" s="55"/>
      <c r="Z9" s="55"/>
      <c r="AA9" s="55"/>
      <c r="AB9" s="55"/>
      <c r="AC9" s="55">
        <f>IF(COUNTIF($C$3:C9,C9)=1,1,IF(COUNTIF($E$3:E9,E9)=1,2,0))</f>
        <v>2</v>
      </c>
      <c r="AD9" s="55" t="str">
        <f>IF(ISNUMBER(SEARCH("-",Database[[#This Row],[KEYNOTE '#]])),LEFT(Database[[#This Row],[KEYNOTE '#]],FIND("-",Database[[#This Row],[KEYNOTE '#]])-1),Database[[#This Row],[KEYNOTE '#]])</f>
        <v>GFC</v>
      </c>
      <c r="AE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9" s="55" t="str">
        <f>IF(AND(ISNUMBER(SEARCH("-",Database[[#This Row],[KEYNOTE '#]]))=TRUE,ISNUMBER(--RIGHT(Database[[#This Row],[KEYNOTE '#]]))=FALSE),RIGHT(Database[[#This Row],[KEYNOTE '#]],1),"")</f>
        <v/>
      </c>
      <c r="AG9" s="55">
        <v>7</v>
      </c>
      <c r="AH9" s="55" t="str">
        <f>IF(COUNTIF(Database[[#This Row],[BASE]:[INT. OTHER]],"g"),"INTERIOR",IF(COUNTIF(Database[[#This Row],[ROOF]:[EXT. OTHER]],"n"),"EXTERIOR",Database[[#This Row],[DIVISION '#]]))</f>
        <v>EXTERIOR</v>
      </c>
      <c r="AI9" s="55" t="str">
        <f>IF(OR(Database[[#This Row],[KEYTIER1]]="INTERIOR",Database[[#This Row],[KEYTIER1]]="EXTERIOR"),"",Database[[#This Row],[DIVISION NAME]])</f>
        <v/>
      </c>
      <c r="AJ9" s="55" t="str">
        <f>IF(Database[[#This Row],[KEYTIER1]]="INTERIOR","INT",IF(Database[[#This Row],[KEYTIER1]]="EXTERIOR","EXT",Database[[#This Row],[SECTION '#]]))</f>
        <v>EXT</v>
      </c>
      <c r="AK9" s="55" t="str">
        <f>IF(OR(Database[[#This Row],[KEYTIER2]]="INT",Database[[#This Row],[KEYTIER2]]="EXT"),"",IF(Database[[#This Row],[SECTION NAME]]="","",Database[[#This Row],[SECTION NAME]]))</f>
        <v/>
      </c>
    </row>
    <row r="10" spans="2:37" ht="30" x14ac:dyDescent="0.25">
      <c r="B10" s="55" t="s">
        <v>36</v>
      </c>
      <c r="C10" s="55">
        <v>4</v>
      </c>
      <c r="D10" s="55" t="s">
        <v>44</v>
      </c>
      <c r="E10" s="55">
        <v>42100</v>
      </c>
      <c r="F10" s="58" t="s">
        <v>8297</v>
      </c>
      <c r="G10" s="77" t="s">
        <v>45</v>
      </c>
      <c r="H10" s="58" t="s">
        <v>8298</v>
      </c>
      <c r="I10" s="69"/>
      <c r="J10" s="57"/>
      <c r="K10" s="57"/>
      <c r="L10" s="57"/>
      <c r="M10" s="57"/>
      <c r="N10" s="59"/>
      <c r="O10" s="71"/>
      <c r="P10" s="56" t="s">
        <v>40</v>
      </c>
      <c r="Q10" s="56"/>
      <c r="R10" s="56"/>
      <c r="S10" s="56"/>
      <c r="T10" s="60"/>
      <c r="U10" s="74"/>
      <c r="V10" s="55"/>
      <c r="W10" s="55"/>
      <c r="X10" s="55"/>
      <c r="Y10" s="55"/>
      <c r="Z10" s="55"/>
      <c r="AA10" s="55"/>
      <c r="AB10" s="55"/>
      <c r="AC10" s="55">
        <f>IF(COUNTIF($C$3:C10,C10)=1,1,IF(COUNTIF($E$3:E10,E10)=1,2,0))</f>
        <v>1</v>
      </c>
      <c r="AD10" s="55" t="str">
        <f>IF(ISNUMBER(SEARCH("-",Database[[#This Row],[KEYNOTE '#]])),LEFT(Database[[#This Row],[KEYNOTE '#]],FIND("-",Database[[#This Row],[KEYNOTE '#]])-1),Database[[#This Row],[KEYNOTE '#]])</f>
        <v>BR</v>
      </c>
      <c r="AE1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0" s="55" t="str">
        <f>IF(AND(ISNUMBER(SEARCH("-",Database[[#This Row],[KEYNOTE '#]]))=TRUE,ISNUMBER(--RIGHT(Database[[#This Row],[KEYNOTE '#]]))=FALSE),RIGHT(Database[[#This Row],[KEYNOTE '#]],1),"")</f>
        <v/>
      </c>
      <c r="AG10" s="55">
        <v>8</v>
      </c>
      <c r="AH10" s="55" t="str">
        <f>IF(COUNTIF(Database[[#This Row],[BASE]:[INT. OTHER]],"g"),"INTERIOR",IF(COUNTIF(Database[[#This Row],[ROOF]:[EXT. OTHER]],"n"),"EXTERIOR",Database[[#This Row],[DIVISION '#]]))</f>
        <v>EXTERIOR</v>
      </c>
      <c r="AI10" s="55" t="str">
        <f>IF(OR(Database[[#This Row],[KEYTIER1]]="INTERIOR",Database[[#This Row],[KEYTIER1]]="EXTERIOR"),"",Database[[#This Row],[DIVISION NAME]])</f>
        <v/>
      </c>
      <c r="AJ10" s="55" t="str">
        <f>IF(Database[[#This Row],[KEYTIER1]]="INTERIOR","INT",IF(Database[[#This Row],[KEYTIER1]]="EXTERIOR","EXT",Database[[#This Row],[SECTION '#]]))</f>
        <v>EXT</v>
      </c>
      <c r="AK10" s="55" t="str">
        <f>IF(OR(Database[[#This Row],[KEYTIER2]]="INT",Database[[#This Row],[KEYTIER2]]="EXT"),"",IF(Database[[#This Row],[SECTION NAME]]="","",Database[[#This Row],[SECTION NAME]]))</f>
        <v/>
      </c>
    </row>
    <row r="11" spans="2:37" ht="30" x14ac:dyDescent="0.25">
      <c r="B11" s="55" t="s">
        <v>36</v>
      </c>
      <c r="C11" s="55">
        <v>4</v>
      </c>
      <c r="D11" s="55" t="s">
        <v>44</v>
      </c>
      <c r="E11" s="55">
        <v>42100</v>
      </c>
      <c r="F11" s="58" t="s">
        <v>8297</v>
      </c>
      <c r="G11" s="77" t="s">
        <v>59</v>
      </c>
      <c r="H11" s="58" t="s">
        <v>8299</v>
      </c>
      <c r="I11" s="69"/>
      <c r="J11" s="57"/>
      <c r="K11" s="57"/>
      <c r="L11" s="57"/>
      <c r="M11" s="57"/>
      <c r="N11" s="59"/>
      <c r="O11" s="71"/>
      <c r="P11" s="56" t="s">
        <v>40</v>
      </c>
      <c r="Q11" s="56"/>
      <c r="R11" s="56"/>
      <c r="S11" s="56"/>
      <c r="T11" s="60"/>
      <c r="U11" s="74"/>
      <c r="V11" s="55"/>
      <c r="W11" s="55"/>
      <c r="X11" s="55"/>
      <c r="Y11" s="55"/>
      <c r="Z11" s="55"/>
      <c r="AA11" s="55"/>
      <c r="AB11" s="55"/>
      <c r="AC11" s="55">
        <f>IF(COUNTIF($C$3:C11,C11)=1,1,IF(COUNTIF($E$3:E11,E11)=1,2,0))</f>
        <v>0</v>
      </c>
      <c r="AD11" s="55" t="str">
        <f>IF(ISNUMBER(SEARCH("-",Database[[#This Row],[KEYNOTE '#]])),LEFT(Database[[#This Row],[KEYNOTE '#]],FIND("-",Database[[#This Row],[KEYNOTE '#]])-1),Database[[#This Row],[KEYNOTE '#]])</f>
        <v>TC</v>
      </c>
      <c r="AE1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1" s="55" t="str">
        <f>IF(AND(ISNUMBER(SEARCH("-",Database[[#This Row],[KEYNOTE '#]]))=TRUE,ISNUMBER(--RIGHT(Database[[#This Row],[KEYNOTE '#]]))=FALSE),RIGHT(Database[[#This Row],[KEYNOTE '#]],1),"")</f>
        <v/>
      </c>
      <c r="AG11" s="55">
        <v>9</v>
      </c>
      <c r="AH11" s="55" t="str">
        <f>IF(COUNTIF(Database[[#This Row],[BASE]:[INT. OTHER]],"g"),"INTERIOR",IF(COUNTIF(Database[[#This Row],[ROOF]:[EXT. OTHER]],"n"),"EXTERIOR",Database[[#This Row],[DIVISION '#]]))</f>
        <v>EXTERIOR</v>
      </c>
      <c r="AI11" s="55" t="str">
        <f>IF(OR(Database[[#This Row],[KEYTIER1]]="INTERIOR",Database[[#This Row],[KEYTIER1]]="EXTERIOR"),"",Database[[#This Row],[DIVISION NAME]])</f>
        <v/>
      </c>
      <c r="AJ11" s="55" t="str">
        <f>IF(Database[[#This Row],[KEYTIER1]]="INTERIOR","INT",IF(Database[[#This Row],[KEYTIER1]]="EXTERIOR","EXT",Database[[#This Row],[SECTION '#]]))</f>
        <v>EXT</v>
      </c>
      <c r="AK11" s="55" t="str">
        <f>IF(OR(Database[[#This Row],[KEYTIER2]]="INT",Database[[#This Row],[KEYTIER2]]="EXT"),"",IF(Database[[#This Row],[SECTION NAME]]="","",Database[[#This Row],[SECTION NAME]]))</f>
        <v/>
      </c>
    </row>
    <row r="12" spans="2:37" ht="30" x14ac:dyDescent="0.25">
      <c r="B12" s="55" t="s">
        <v>36</v>
      </c>
      <c r="C12" s="55">
        <v>4</v>
      </c>
      <c r="D12" s="55" t="s">
        <v>44</v>
      </c>
      <c r="E12" s="55">
        <v>42200</v>
      </c>
      <c r="F12" s="58" t="s">
        <v>8300</v>
      </c>
      <c r="G12" s="77" t="s">
        <v>46</v>
      </c>
      <c r="H12" s="58" t="s">
        <v>8301</v>
      </c>
      <c r="I12" s="69"/>
      <c r="J12" s="57"/>
      <c r="K12" s="57"/>
      <c r="L12" s="57"/>
      <c r="M12" s="57"/>
      <c r="N12" s="59"/>
      <c r="O12" s="71"/>
      <c r="P12" s="56" t="s">
        <v>40</v>
      </c>
      <c r="Q12" s="56"/>
      <c r="R12" s="56"/>
      <c r="S12" s="56"/>
      <c r="T12" s="60"/>
      <c r="U12" s="74"/>
      <c r="V12" s="55"/>
      <c r="W12" s="55"/>
      <c r="X12" s="55"/>
      <c r="Y12" s="55"/>
      <c r="Z12" s="55"/>
      <c r="AA12" s="55"/>
      <c r="AB12" s="55"/>
      <c r="AC12" s="55">
        <f>IF(COUNTIF($C$3:C12,C12)=1,1,IF(COUNTIF($E$3:E12,E12)=1,2,0))</f>
        <v>2</v>
      </c>
      <c r="AD12" s="55" t="str">
        <f>IF(ISNUMBER(SEARCH("-",Database[[#This Row],[KEYNOTE '#]])),LEFT(Database[[#This Row],[KEYNOTE '#]],FIND("-",Database[[#This Row],[KEYNOTE '#]])-1),Database[[#This Row],[KEYNOTE '#]])</f>
        <v>CMU</v>
      </c>
      <c r="AE1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2" s="55" t="str">
        <f>IF(AND(ISNUMBER(SEARCH("-",Database[[#This Row],[KEYNOTE '#]]))=TRUE,ISNUMBER(--RIGHT(Database[[#This Row],[KEYNOTE '#]]))=FALSE),RIGHT(Database[[#This Row],[KEYNOTE '#]],1),"")</f>
        <v/>
      </c>
      <c r="AG12" s="55">
        <v>10</v>
      </c>
      <c r="AH12" s="55" t="str">
        <f>IF(COUNTIF(Database[[#This Row],[BASE]:[INT. OTHER]],"g"),"INTERIOR",IF(COUNTIF(Database[[#This Row],[ROOF]:[EXT. OTHER]],"n"),"EXTERIOR",Database[[#This Row],[DIVISION '#]]))</f>
        <v>EXTERIOR</v>
      </c>
      <c r="AI12" s="55" t="str">
        <f>IF(OR(Database[[#This Row],[KEYTIER1]]="INTERIOR",Database[[#This Row],[KEYTIER1]]="EXTERIOR"),"",Database[[#This Row],[DIVISION NAME]])</f>
        <v/>
      </c>
      <c r="AJ12" s="55" t="str">
        <f>IF(Database[[#This Row],[KEYTIER1]]="INTERIOR","INT",IF(Database[[#This Row],[KEYTIER1]]="EXTERIOR","EXT",Database[[#This Row],[SECTION '#]]))</f>
        <v>EXT</v>
      </c>
      <c r="AK12" s="55" t="str">
        <f>IF(OR(Database[[#This Row],[KEYTIER2]]="INT",Database[[#This Row],[KEYTIER2]]="EXT"),"",IF(Database[[#This Row],[SECTION NAME]]="","",Database[[#This Row],[SECTION NAME]]))</f>
        <v/>
      </c>
    </row>
    <row r="13" spans="2:37" ht="30" x14ac:dyDescent="0.25">
      <c r="B13" s="55" t="s">
        <v>36</v>
      </c>
      <c r="C13" s="55">
        <v>4</v>
      </c>
      <c r="D13" s="55" t="s">
        <v>44</v>
      </c>
      <c r="E13" s="55">
        <v>44200</v>
      </c>
      <c r="F13" s="58" t="s">
        <v>8302</v>
      </c>
      <c r="G13" s="77" t="s">
        <v>47</v>
      </c>
      <c r="H13" s="58" t="s">
        <v>8303</v>
      </c>
      <c r="I13" s="69"/>
      <c r="J13" s="57"/>
      <c r="K13" s="57"/>
      <c r="L13" s="57"/>
      <c r="M13" s="57"/>
      <c r="N13" s="59"/>
      <c r="O13" s="71"/>
      <c r="P13" s="56" t="s">
        <v>40</v>
      </c>
      <c r="Q13" s="56"/>
      <c r="R13" s="56"/>
      <c r="S13" s="56"/>
      <c r="T13" s="60"/>
      <c r="U13" s="74"/>
      <c r="V13" s="55"/>
      <c r="W13" s="55"/>
      <c r="X13" s="55"/>
      <c r="Y13" s="55"/>
      <c r="Z13" s="55"/>
      <c r="AA13" s="55"/>
      <c r="AB13" s="55"/>
      <c r="AC13" s="55">
        <f>IF(COUNTIF($C$3:C13,C13)=1,1,IF(COUNTIF($E$3:E13,E13)=1,2,0))</f>
        <v>2</v>
      </c>
      <c r="AD13" s="55" t="str">
        <f>IF(ISNUMBER(SEARCH("-",Database[[#This Row],[KEYNOTE '#]])),LEFT(Database[[#This Row],[KEYNOTE '#]],FIND("-",Database[[#This Row],[KEYNOTE '#]])-1),Database[[#This Row],[KEYNOTE '#]])</f>
        <v>ST</v>
      </c>
      <c r="AE1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3" s="55" t="str">
        <f>IF(AND(ISNUMBER(SEARCH("-",Database[[#This Row],[KEYNOTE '#]]))=TRUE,ISNUMBER(--RIGHT(Database[[#This Row],[KEYNOTE '#]]))=FALSE),RIGHT(Database[[#This Row],[KEYNOTE '#]],1),"")</f>
        <v/>
      </c>
      <c r="AG13" s="55">
        <v>11</v>
      </c>
      <c r="AH13" s="55" t="str">
        <f>IF(COUNTIF(Database[[#This Row],[BASE]:[INT. OTHER]],"g"),"INTERIOR",IF(COUNTIF(Database[[#This Row],[ROOF]:[EXT. OTHER]],"n"),"EXTERIOR",Database[[#This Row],[DIVISION '#]]))</f>
        <v>EXTERIOR</v>
      </c>
      <c r="AI13" s="55" t="str">
        <f>IF(OR(Database[[#This Row],[KEYTIER1]]="INTERIOR",Database[[#This Row],[KEYTIER1]]="EXTERIOR"),"",Database[[#This Row],[DIVISION NAME]])</f>
        <v/>
      </c>
      <c r="AJ13" s="55" t="str">
        <f>IF(Database[[#This Row],[KEYTIER1]]="INTERIOR","INT",IF(Database[[#This Row],[KEYTIER1]]="EXTERIOR","EXT",Database[[#This Row],[SECTION '#]]))</f>
        <v>EXT</v>
      </c>
      <c r="AK13" s="55" t="str">
        <f>IF(OR(Database[[#This Row],[KEYTIER2]]="INT",Database[[#This Row],[KEYTIER2]]="EXT"),"",IF(Database[[#This Row],[SECTION NAME]]="","",Database[[#This Row],[SECTION NAME]]))</f>
        <v/>
      </c>
    </row>
    <row r="14" spans="2:37" ht="30" x14ac:dyDescent="0.25">
      <c r="B14" s="55" t="s">
        <v>36</v>
      </c>
      <c r="C14" s="55">
        <v>4</v>
      </c>
      <c r="D14" s="55" t="s">
        <v>44</v>
      </c>
      <c r="E14" s="55">
        <v>47200</v>
      </c>
      <c r="F14" s="58" t="s">
        <v>8304</v>
      </c>
      <c r="G14" s="77" t="s">
        <v>48</v>
      </c>
      <c r="H14" s="58" t="s">
        <v>8305</v>
      </c>
      <c r="I14" s="69"/>
      <c r="J14" s="57"/>
      <c r="K14" s="57"/>
      <c r="L14" s="57"/>
      <c r="M14" s="57"/>
      <c r="N14" s="59"/>
      <c r="O14" s="71"/>
      <c r="P14" s="56" t="s">
        <v>40</v>
      </c>
      <c r="Q14" s="56"/>
      <c r="R14" s="56"/>
      <c r="S14" s="56"/>
      <c r="T14" s="60"/>
      <c r="U14" s="74"/>
      <c r="V14" s="55"/>
      <c r="W14" s="55"/>
      <c r="X14" s="55"/>
      <c r="Y14" s="55"/>
      <c r="Z14" s="55"/>
      <c r="AA14" s="55"/>
      <c r="AB14" s="55"/>
      <c r="AC14" s="55">
        <f>IF(COUNTIF($C$3:C14,C14)=1,1,IF(COUNTIF($E$3:E14,E14)=1,2,0))</f>
        <v>2</v>
      </c>
      <c r="AD14" s="55" t="str">
        <f>IF(ISNUMBER(SEARCH("-",Database[[#This Row],[KEYNOTE '#]])),LEFT(Database[[#This Row],[KEYNOTE '#]],FIND("-",Database[[#This Row],[KEYNOTE '#]])-1),Database[[#This Row],[KEYNOTE '#]])</f>
        <v>CST</v>
      </c>
      <c r="AE1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4" s="55" t="str">
        <f>IF(AND(ISNUMBER(SEARCH("-",Database[[#This Row],[KEYNOTE '#]]))=TRUE,ISNUMBER(--RIGHT(Database[[#This Row],[KEYNOTE '#]]))=FALSE),RIGHT(Database[[#This Row],[KEYNOTE '#]],1),"")</f>
        <v/>
      </c>
      <c r="AG14" s="55">
        <v>12</v>
      </c>
      <c r="AH14" s="55" t="str">
        <f>IF(COUNTIF(Database[[#This Row],[BASE]:[INT. OTHER]],"g"),"INTERIOR",IF(COUNTIF(Database[[#This Row],[ROOF]:[EXT. OTHER]],"n"),"EXTERIOR",Database[[#This Row],[DIVISION '#]]))</f>
        <v>EXTERIOR</v>
      </c>
      <c r="AI14" s="55" t="str">
        <f>IF(OR(Database[[#This Row],[KEYTIER1]]="INTERIOR",Database[[#This Row],[KEYTIER1]]="EXTERIOR"),"",Database[[#This Row],[DIVISION NAME]])</f>
        <v/>
      </c>
      <c r="AJ14" s="55" t="str">
        <f>IF(Database[[#This Row],[KEYTIER1]]="INTERIOR","INT",IF(Database[[#This Row],[KEYTIER1]]="EXTERIOR","EXT",Database[[#This Row],[SECTION '#]]))</f>
        <v>EXT</v>
      </c>
      <c r="AK14" s="55" t="str">
        <f>IF(OR(Database[[#This Row],[KEYTIER2]]="INT",Database[[#This Row],[KEYTIER2]]="EXT"),"",IF(Database[[#This Row],[SECTION NAME]]="","",Database[[#This Row],[SECTION NAME]]))</f>
        <v/>
      </c>
    </row>
    <row r="15" spans="2:37" x14ac:dyDescent="0.25">
      <c r="B15" s="55" t="s">
        <v>36</v>
      </c>
      <c r="C15" s="55">
        <v>5</v>
      </c>
      <c r="D15" s="55" t="s">
        <v>49</v>
      </c>
      <c r="E15" s="55">
        <v>55000</v>
      </c>
      <c r="F15" s="58" t="s">
        <v>8306</v>
      </c>
      <c r="G15" s="77" t="s">
        <v>50</v>
      </c>
      <c r="H15" s="58" t="s">
        <v>8307</v>
      </c>
      <c r="I15" s="69"/>
      <c r="J15" s="57"/>
      <c r="K15" s="57"/>
      <c r="L15" s="57"/>
      <c r="M15" s="57"/>
      <c r="N15" s="59"/>
      <c r="O15" s="71"/>
      <c r="P15" s="56"/>
      <c r="Q15" s="56"/>
      <c r="R15" s="56"/>
      <c r="S15" s="56"/>
      <c r="T15" s="60"/>
      <c r="U15" s="74"/>
      <c r="V15" s="55"/>
      <c r="W15" s="55"/>
      <c r="X15" s="55"/>
      <c r="Y15" s="55"/>
      <c r="Z15" s="55"/>
      <c r="AA15" s="55"/>
      <c r="AB15" s="55"/>
      <c r="AC15" s="55">
        <f>IF(COUNTIF($C$3:C15,C15)=1,1,IF(COUNTIF($E$3:E15,E15)=1,2,0))</f>
        <v>1</v>
      </c>
      <c r="AD15" s="55" t="str">
        <f>IF(ISNUMBER(SEARCH("-",Database[[#This Row],[KEYNOTE '#]])),LEFT(Database[[#This Row],[KEYNOTE '#]],FIND("-",Database[[#This Row],[KEYNOTE '#]])-1),Database[[#This Row],[KEYNOTE '#]])</f>
        <v>MF</v>
      </c>
      <c r="AE1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5" s="55" t="str">
        <f>IF(AND(ISNUMBER(SEARCH("-",Database[[#This Row],[KEYNOTE '#]]))=TRUE,ISNUMBER(--RIGHT(Database[[#This Row],[KEYNOTE '#]]))=FALSE),RIGHT(Database[[#This Row],[KEYNOTE '#]],1),"")</f>
        <v/>
      </c>
      <c r="AG15" s="55">
        <v>13</v>
      </c>
      <c r="AH15" s="55">
        <f>IF(COUNTIF(Database[[#This Row],[BASE]:[INT. OTHER]],"g"),"INTERIOR",IF(COUNTIF(Database[[#This Row],[ROOF]:[EXT. OTHER]],"n"),"EXTERIOR",Database[[#This Row],[DIVISION '#]]))</f>
        <v>5</v>
      </c>
      <c r="AI15" s="55" t="str">
        <f>IF(OR(Database[[#This Row],[KEYTIER1]]="INTERIOR",Database[[#This Row],[KEYTIER1]]="EXTERIOR"),"",Database[[#This Row],[DIVISION NAME]])</f>
        <v>DIVISION 05 - METALS</v>
      </c>
      <c r="AJ15" s="55">
        <f>IF(Database[[#This Row],[KEYTIER1]]="INTERIOR","INT",IF(Database[[#This Row],[KEYTIER1]]="EXTERIOR","EXT",Database[[#This Row],[SECTION '#]]))</f>
        <v>55000</v>
      </c>
      <c r="AK15" s="55" t="str">
        <f>IF(OR(Database[[#This Row],[KEYTIER2]]="INT",Database[[#This Row],[KEYTIER2]]="EXT"),"",IF(Database[[#This Row],[SECTION NAME]]="","",Database[[#This Row],[SECTION NAME]]))</f>
        <v>SECTION 055000 - METAL FABRICATIONS</v>
      </c>
    </row>
    <row r="16" spans="2:37" ht="30" x14ac:dyDescent="0.25">
      <c r="B16" s="55" t="s">
        <v>36</v>
      </c>
      <c r="C16" s="55">
        <v>5</v>
      </c>
      <c r="D16" s="55" t="s">
        <v>49</v>
      </c>
      <c r="E16" s="55">
        <v>55200</v>
      </c>
      <c r="F16" s="58" t="s">
        <v>8308</v>
      </c>
      <c r="G16" s="77" t="s">
        <v>51</v>
      </c>
      <c r="H16" s="58" t="s">
        <v>8309</v>
      </c>
      <c r="I16" s="69"/>
      <c r="J16" s="57"/>
      <c r="K16" s="57"/>
      <c r="L16" s="57"/>
      <c r="M16" s="57"/>
      <c r="N16" s="59"/>
      <c r="O16" s="71"/>
      <c r="P16" s="56"/>
      <c r="Q16" s="56"/>
      <c r="R16" s="56"/>
      <c r="S16" s="56"/>
      <c r="T16" s="60" t="s">
        <v>40</v>
      </c>
      <c r="U16" s="74"/>
      <c r="V16" s="55"/>
      <c r="W16" s="55"/>
      <c r="X16" s="55"/>
      <c r="Y16" s="55"/>
      <c r="Z16" s="55"/>
      <c r="AA16" s="55"/>
      <c r="AB16" s="55"/>
      <c r="AC16" s="55">
        <f>IF(COUNTIF($C$3:C16,C16)=1,1,IF(COUNTIF($E$3:E16,E16)=1,2,0))</f>
        <v>2</v>
      </c>
      <c r="AD16" s="55" t="str">
        <f>IF(ISNUMBER(SEARCH("-",Database[[#This Row],[KEYNOTE '#]])),LEFT(Database[[#This Row],[KEYNOTE '#]],FIND("-",Database[[#This Row],[KEYNOTE '#]])-1),Database[[#This Row],[KEYNOTE '#]])</f>
        <v>RLG</v>
      </c>
      <c r="AE1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6" s="55" t="str">
        <f>IF(AND(ISNUMBER(SEARCH("-",Database[[#This Row],[KEYNOTE '#]]))=TRUE,ISNUMBER(--RIGHT(Database[[#This Row],[KEYNOTE '#]]))=FALSE),RIGHT(Database[[#This Row],[KEYNOTE '#]],1),"")</f>
        <v/>
      </c>
      <c r="AG16" s="55">
        <v>14</v>
      </c>
      <c r="AH16" s="55" t="str">
        <f>IF(COUNTIF(Database[[#This Row],[BASE]:[INT. OTHER]],"g"),"INTERIOR",IF(COUNTIF(Database[[#This Row],[ROOF]:[EXT. OTHER]],"n"),"EXTERIOR",Database[[#This Row],[DIVISION '#]]))</f>
        <v>EXTERIOR</v>
      </c>
      <c r="AI16" s="55" t="str">
        <f>IF(OR(Database[[#This Row],[KEYTIER1]]="INTERIOR",Database[[#This Row],[KEYTIER1]]="EXTERIOR"),"",Database[[#This Row],[DIVISION NAME]])</f>
        <v/>
      </c>
      <c r="AJ16" s="55" t="str">
        <f>IF(Database[[#This Row],[KEYTIER1]]="INTERIOR","INT",IF(Database[[#This Row],[KEYTIER1]]="EXTERIOR","EXT",Database[[#This Row],[SECTION '#]]))</f>
        <v>EXT</v>
      </c>
      <c r="AK16" s="55" t="str">
        <f>IF(OR(Database[[#This Row],[KEYTIER2]]="INT",Database[[#This Row],[KEYTIER2]]="EXT"),"",IF(Database[[#This Row],[SECTION NAME]]="","",Database[[#This Row],[SECTION NAME]]))</f>
        <v/>
      </c>
    </row>
    <row r="17" spans="2:37" ht="30" x14ac:dyDescent="0.25">
      <c r="B17" s="55" t="s">
        <v>36</v>
      </c>
      <c r="C17" s="55">
        <v>5</v>
      </c>
      <c r="D17" s="55" t="s">
        <v>49</v>
      </c>
      <c r="E17" s="55">
        <v>55200</v>
      </c>
      <c r="F17" s="58" t="s">
        <v>8308</v>
      </c>
      <c r="G17" s="77" t="s">
        <v>54</v>
      </c>
      <c r="H17" s="58" t="s">
        <v>8310</v>
      </c>
      <c r="I17" s="69"/>
      <c r="J17" s="57"/>
      <c r="K17" s="57"/>
      <c r="L17" s="57"/>
      <c r="M17" s="57"/>
      <c r="N17" s="59"/>
      <c r="O17" s="71"/>
      <c r="P17" s="56"/>
      <c r="Q17" s="56"/>
      <c r="R17" s="56"/>
      <c r="S17" s="56"/>
      <c r="T17" s="60" t="s">
        <v>40</v>
      </c>
      <c r="U17" s="74"/>
      <c r="V17" s="55"/>
      <c r="W17" s="55"/>
      <c r="X17" s="55"/>
      <c r="Y17" s="55"/>
      <c r="Z17" s="55"/>
      <c r="AA17" s="55"/>
      <c r="AB17" s="55"/>
      <c r="AC17" s="55">
        <f>IF(COUNTIF($C$3:C17,C17)=1,1,IF(COUNTIF($E$3:E17,E17)=1,2,0))</f>
        <v>0</v>
      </c>
      <c r="AD17" s="55" t="str">
        <f>IF(ISNUMBER(SEARCH("-",Database[[#This Row],[KEYNOTE '#]])),LEFT(Database[[#This Row],[KEYNOTE '#]],FIND("-",Database[[#This Row],[KEYNOTE '#]])-1),Database[[#This Row],[KEYNOTE '#]])</f>
        <v>RLG</v>
      </c>
      <c r="AE1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51</v>
      </c>
      <c r="AF17" s="55" t="str">
        <f>IF(AND(ISNUMBER(SEARCH("-",Database[[#This Row],[KEYNOTE '#]]))=TRUE,ISNUMBER(--RIGHT(Database[[#This Row],[KEYNOTE '#]]))=FALSE),RIGHT(Database[[#This Row],[KEYNOTE '#]],1),"")</f>
        <v/>
      </c>
      <c r="AG17" s="55">
        <v>15</v>
      </c>
      <c r="AH17" s="55" t="str">
        <f>IF(COUNTIF(Database[[#This Row],[BASE]:[INT. OTHER]],"g"),"INTERIOR",IF(COUNTIF(Database[[#This Row],[ROOF]:[EXT. OTHER]],"n"),"EXTERIOR",Database[[#This Row],[DIVISION '#]]))</f>
        <v>EXTERIOR</v>
      </c>
      <c r="AI17" s="55" t="str">
        <f>IF(OR(Database[[#This Row],[KEYTIER1]]="INTERIOR",Database[[#This Row],[KEYTIER1]]="EXTERIOR"),"",Database[[#This Row],[DIVISION NAME]])</f>
        <v/>
      </c>
      <c r="AJ17" s="55" t="str">
        <f>IF(Database[[#This Row],[KEYTIER1]]="INTERIOR","INT",IF(Database[[#This Row],[KEYTIER1]]="EXTERIOR","EXT",Database[[#This Row],[SECTION '#]]))</f>
        <v>EXT</v>
      </c>
      <c r="AK17" s="55" t="str">
        <f>IF(OR(Database[[#This Row],[KEYTIER2]]="INT",Database[[#This Row],[KEYTIER2]]="EXT"),"",IF(Database[[#This Row],[SECTION NAME]]="","",Database[[#This Row],[SECTION NAME]]))</f>
        <v/>
      </c>
    </row>
    <row r="18" spans="2:37" ht="30" x14ac:dyDescent="0.25">
      <c r="B18" s="55" t="s">
        <v>36</v>
      </c>
      <c r="C18" s="55">
        <v>5</v>
      </c>
      <c r="D18" s="55" t="s">
        <v>49</v>
      </c>
      <c r="E18" s="55">
        <v>55300</v>
      </c>
      <c r="F18" s="58" t="s">
        <v>8311</v>
      </c>
      <c r="G18" s="77" t="s">
        <v>52</v>
      </c>
      <c r="H18" s="58" t="s">
        <v>8312</v>
      </c>
      <c r="I18" s="69"/>
      <c r="J18" s="57"/>
      <c r="K18" s="57"/>
      <c r="L18" s="57"/>
      <c r="M18" s="57"/>
      <c r="N18" s="59"/>
      <c r="O18" s="71"/>
      <c r="P18" s="56"/>
      <c r="Q18" s="56"/>
      <c r="R18" s="56"/>
      <c r="S18" s="56"/>
      <c r="T18" s="60" t="s">
        <v>40</v>
      </c>
      <c r="U18" s="74"/>
      <c r="V18" s="55"/>
      <c r="W18" s="55"/>
      <c r="X18" s="55"/>
      <c r="Y18" s="55"/>
      <c r="Z18" s="55"/>
      <c r="AA18" s="55"/>
      <c r="AB18" s="55"/>
      <c r="AC18" s="55">
        <f>IF(COUNTIF($C$3:C18,C18)=1,1,IF(COUNTIF($E$3:E18,E18)=1,2,0))</f>
        <v>2</v>
      </c>
      <c r="AD18" s="55" t="str">
        <f>IF(ISNUMBER(SEARCH("-",Database[[#This Row],[KEYNOTE '#]])),LEFT(Database[[#This Row],[KEYNOTE '#]],FIND("-",Database[[#This Row],[KEYNOTE '#]])-1),Database[[#This Row],[KEYNOTE '#]])</f>
        <v>GRT</v>
      </c>
      <c r="AE1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8" s="55" t="str">
        <f>IF(AND(ISNUMBER(SEARCH("-",Database[[#This Row],[KEYNOTE '#]]))=TRUE,ISNUMBER(--RIGHT(Database[[#This Row],[KEYNOTE '#]]))=FALSE),RIGHT(Database[[#This Row],[KEYNOTE '#]],1),"")</f>
        <v/>
      </c>
      <c r="AG18" s="55">
        <v>16</v>
      </c>
      <c r="AH18" s="55" t="str">
        <f>IF(COUNTIF(Database[[#This Row],[BASE]:[INT. OTHER]],"g"),"INTERIOR",IF(COUNTIF(Database[[#This Row],[ROOF]:[EXT. OTHER]],"n"),"EXTERIOR",Database[[#This Row],[DIVISION '#]]))</f>
        <v>EXTERIOR</v>
      </c>
      <c r="AI18" s="55" t="str">
        <f>IF(OR(Database[[#This Row],[KEYTIER1]]="INTERIOR",Database[[#This Row],[KEYTIER1]]="EXTERIOR"),"",Database[[#This Row],[DIVISION NAME]])</f>
        <v/>
      </c>
      <c r="AJ18" s="55" t="str">
        <f>IF(Database[[#This Row],[KEYTIER1]]="INTERIOR","INT",IF(Database[[#This Row],[KEYTIER1]]="EXTERIOR","EXT",Database[[#This Row],[SECTION '#]]))</f>
        <v>EXT</v>
      </c>
      <c r="AK18" s="55" t="str">
        <f>IF(OR(Database[[#This Row],[KEYTIER2]]="INT",Database[[#This Row],[KEYTIER2]]="EXT"),"",IF(Database[[#This Row],[SECTION NAME]]="","",Database[[#This Row],[SECTION NAME]]))</f>
        <v/>
      </c>
    </row>
    <row r="19" spans="2:37" ht="30" x14ac:dyDescent="0.25">
      <c r="B19" s="55" t="s">
        <v>36</v>
      </c>
      <c r="C19" s="55">
        <v>5</v>
      </c>
      <c r="D19" s="55" t="s">
        <v>49</v>
      </c>
      <c r="E19" s="55">
        <v>57000</v>
      </c>
      <c r="F19" s="58" t="s">
        <v>8313</v>
      </c>
      <c r="G19" s="77" t="s">
        <v>8314</v>
      </c>
      <c r="H19" s="58" t="s">
        <v>8315</v>
      </c>
      <c r="I19" s="69"/>
      <c r="J19" s="57"/>
      <c r="K19" s="57"/>
      <c r="L19" s="57"/>
      <c r="M19" s="57"/>
      <c r="N19" s="59" t="s">
        <v>38</v>
      </c>
      <c r="O19" s="71"/>
      <c r="P19" s="56"/>
      <c r="Q19" s="56"/>
      <c r="R19" s="56"/>
      <c r="S19" s="56"/>
      <c r="T19" s="60"/>
      <c r="U19" s="74"/>
      <c r="V19" s="55"/>
      <c r="W19" s="55"/>
      <c r="X19" s="55"/>
      <c r="Y19" s="55"/>
      <c r="Z19" s="55"/>
      <c r="AA19" s="55"/>
      <c r="AB19" s="55"/>
      <c r="AC19" s="55">
        <f>IF(COUNTIF($C$3:C19,C19)=1,1,IF(COUNTIF($E$3:E19,E19)=1,2,0))</f>
        <v>2</v>
      </c>
      <c r="AD19" s="55" t="str">
        <f>IF(ISNUMBER(SEARCH("-",Database[[#This Row],[KEYNOTE '#]])),LEFT(Database[[#This Row],[KEYNOTE '#]],FIND("-",Database[[#This Row],[KEYNOTE '#]])-1),Database[[#This Row],[KEYNOTE '#]])</f>
        <v>MTL</v>
      </c>
      <c r="AE1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9" s="55" t="str">
        <f>IF(AND(ISNUMBER(SEARCH("-",Database[[#This Row],[KEYNOTE '#]]))=TRUE,ISNUMBER(--RIGHT(Database[[#This Row],[KEYNOTE '#]]))=FALSE),RIGHT(Database[[#This Row],[KEYNOTE '#]],1),"")</f>
        <v/>
      </c>
      <c r="AG19" s="55">
        <v>17</v>
      </c>
      <c r="AH19" s="55" t="str">
        <f>IF(COUNTIF(Database[[#This Row],[BASE]:[INT. OTHER]],"g"),"INTERIOR",IF(COUNTIF(Database[[#This Row],[ROOF]:[EXT. OTHER]],"n"),"EXTERIOR",Database[[#This Row],[DIVISION '#]]))</f>
        <v>INTERIOR</v>
      </c>
      <c r="AI19" s="55" t="str">
        <f>IF(OR(Database[[#This Row],[KEYTIER1]]="INTERIOR",Database[[#This Row],[KEYTIER1]]="EXTERIOR"),"",Database[[#This Row],[DIVISION NAME]])</f>
        <v/>
      </c>
      <c r="AJ19" s="55" t="str">
        <f>IF(Database[[#This Row],[KEYTIER1]]="INTERIOR","INT",IF(Database[[#This Row],[KEYTIER1]]="EXTERIOR","EXT",Database[[#This Row],[SECTION '#]]))</f>
        <v>INT</v>
      </c>
      <c r="AK19" s="55" t="str">
        <f>IF(OR(Database[[#This Row],[KEYTIER2]]="INT",Database[[#This Row],[KEYTIER2]]="EXT"),"",IF(Database[[#This Row],[SECTION NAME]]="","",Database[[#This Row],[SECTION NAME]]))</f>
        <v/>
      </c>
    </row>
    <row r="20" spans="2:37" ht="30" x14ac:dyDescent="0.25">
      <c r="B20" s="55" t="s">
        <v>36</v>
      </c>
      <c r="C20" s="55">
        <v>5</v>
      </c>
      <c r="D20" s="55" t="s">
        <v>49</v>
      </c>
      <c r="E20" s="55">
        <v>57000</v>
      </c>
      <c r="F20" s="58" t="s">
        <v>8313</v>
      </c>
      <c r="G20" s="77" t="s">
        <v>8316</v>
      </c>
      <c r="H20" s="58" t="s">
        <v>8317</v>
      </c>
      <c r="I20" s="69"/>
      <c r="J20" s="57"/>
      <c r="K20" s="57"/>
      <c r="L20" s="57"/>
      <c r="M20" s="57"/>
      <c r="N20" s="59" t="s">
        <v>38</v>
      </c>
      <c r="O20" s="71"/>
      <c r="P20" s="56"/>
      <c r="Q20" s="56"/>
      <c r="R20" s="56"/>
      <c r="S20" s="56"/>
      <c r="T20" s="60"/>
      <c r="U20" s="74"/>
      <c r="V20" s="55"/>
      <c r="W20" s="55"/>
      <c r="X20" s="55"/>
      <c r="Y20" s="55"/>
      <c r="Z20" s="55"/>
      <c r="AA20" s="55"/>
      <c r="AB20" s="55"/>
      <c r="AC20" s="55">
        <f>IF(COUNTIF($C$3:C20,C20)=1,1,IF(COUNTIF($E$3:E20,E20)=1,2,0))</f>
        <v>0</v>
      </c>
      <c r="AD20" s="55" t="str">
        <f>IF(ISNUMBER(SEARCH("-",Database[[#This Row],[KEYNOTE '#]])),LEFT(Database[[#This Row],[KEYNOTE '#]],FIND("-",Database[[#This Row],[KEYNOTE '#]])-1),Database[[#This Row],[KEYNOTE '#]])</f>
        <v>MTL</v>
      </c>
      <c r="AE2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20" s="55" t="str">
        <f>IF(AND(ISNUMBER(SEARCH("-",Database[[#This Row],[KEYNOTE '#]]))=TRUE,ISNUMBER(--RIGHT(Database[[#This Row],[KEYNOTE '#]]))=FALSE),RIGHT(Database[[#This Row],[KEYNOTE '#]],1),"")</f>
        <v/>
      </c>
      <c r="AG20" s="55">
        <v>18</v>
      </c>
      <c r="AH20" s="55" t="str">
        <f>IF(COUNTIF(Database[[#This Row],[BASE]:[INT. OTHER]],"g"),"INTERIOR",IF(COUNTIF(Database[[#This Row],[ROOF]:[EXT. OTHER]],"n"),"EXTERIOR",Database[[#This Row],[DIVISION '#]]))</f>
        <v>INTERIOR</v>
      </c>
      <c r="AI20" s="55" t="str">
        <f>IF(OR(Database[[#This Row],[KEYTIER1]]="INTERIOR",Database[[#This Row],[KEYTIER1]]="EXTERIOR"),"",Database[[#This Row],[DIVISION NAME]])</f>
        <v/>
      </c>
      <c r="AJ20" s="55" t="str">
        <f>IF(Database[[#This Row],[KEYTIER1]]="INTERIOR","INT",IF(Database[[#This Row],[KEYTIER1]]="EXTERIOR","EXT",Database[[#This Row],[SECTION '#]]))</f>
        <v>INT</v>
      </c>
      <c r="AK20" s="55" t="str">
        <f>IF(OR(Database[[#This Row],[KEYTIER2]]="INT",Database[[#This Row],[KEYTIER2]]="EXT"),"",IF(Database[[#This Row],[SECTION NAME]]="","",Database[[#This Row],[SECTION NAME]]))</f>
        <v/>
      </c>
    </row>
    <row r="21" spans="2:37" ht="30" x14ac:dyDescent="0.25">
      <c r="B21" s="55" t="s">
        <v>36</v>
      </c>
      <c r="C21" s="55">
        <v>5</v>
      </c>
      <c r="D21" s="55" t="s">
        <v>49</v>
      </c>
      <c r="E21" s="55">
        <v>57000</v>
      </c>
      <c r="F21" s="58" t="s">
        <v>8313</v>
      </c>
      <c r="G21" s="77" t="s">
        <v>8318</v>
      </c>
      <c r="H21" s="58" t="s">
        <v>8319</v>
      </c>
      <c r="I21" s="69"/>
      <c r="J21" s="57"/>
      <c r="K21" s="57"/>
      <c r="L21" s="57"/>
      <c r="M21" s="57"/>
      <c r="N21" s="59" t="s">
        <v>38</v>
      </c>
      <c r="O21" s="71"/>
      <c r="P21" s="56"/>
      <c r="Q21" s="56"/>
      <c r="R21" s="56"/>
      <c r="S21" s="56"/>
      <c r="T21" s="60"/>
      <c r="U21" s="74"/>
      <c r="V21" s="55"/>
      <c r="W21" s="55"/>
      <c r="X21" s="55"/>
      <c r="Y21" s="55"/>
      <c r="Z21" s="55"/>
      <c r="AA21" s="55"/>
      <c r="AB21" s="55"/>
      <c r="AC21" s="55">
        <f>IF(COUNTIF($C$3:C21,C21)=1,1,IF(COUNTIF($E$3:E21,E21)=1,2,0))</f>
        <v>0</v>
      </c>
      <c r="AD21" s="55" t="str">
        <f>IF(ISNUMBER(SEARCH("-",Database[[#This Row],[KEYNOTE '#]])),LEFT(Database[[#This Row],[KEYNOTE '#]],FIND("-",Database[[#This Row],[KEYNOTE '#]])-1),Database[[#This Row],[KEYNOTE '#]])</f>
        <v>MTL</v>
      </c>
      <c r="AE2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3</v>
      </c>
      <c r="AF21" s="55" t="str">
        <f>IF(AND(ISNUMBER(SEARCH("-",Database[[#This Row],[KEYNOTE '#]]))=TRUE,ISNUMBER(--RIGHT(Database[[#This Row],[KEYNOTE '#]]))=FALSE),RIGHT(Database[[#This Row],[KEYNOTE '#]],1),"")</f>
        <v/>
      </c>
      <c r="AG21" s="55">
        <v>19</v>
      </c>
      <c r="AH21" s="55" t="str">
        <f>IF(COUNTIF(Database[[#This Row],[BASE]:[INT. OTHER]],"g"),"INTERIOR",IF(COUNTIF(Database[[#This Row],[ROOF]:[EXT. OTHER]],"n"),"EXTERIOR",Database[[#This Row],[DIVISION '#]]))</f>
        <v>INTERIOR</v>
      </c>
      <c r="AI21" s="55" t="str">
        <f>IF(OR(Database[[#This Row],[KEYTIER1]]="INTERIOR",Database[[#This Row],[KEYTIER1]]="EXTERIOR"),"",Database[[#This Row],[DIVISION NAME]])</f>
        <v/>
      </c>
      <c r="AJ21" s="55" t="str">
        <f>IF(Database[[#This Row],[KEYTIER1]]="INTERIOR","INT",IF(Database[[#This Row],[KEYTIER1]]="EXTERIOR","EXT",Database[[#This Row],[SECTION '#]]))</f>
        <v>INT</v>
      </c>
      <c r="AK21" s="55" t="str">
        <f>IF(OR(Database[[#This Row],[KEYTIER2]]="INT",Database[[#This Row],[KEYTIER2]]="EXT"),"",IF(Database[[#This Row],[SECTION NAME]]="","",Database[[#This Row],[SECTION NAME]]))</f>
        <v/>
      </c>
    </row>
    <row r="22" spans="2:37" ht="30" x14ac:dyDescent="0.25">
      <c r="B22" s="55" t="s">
        <v>36</v>
      </c>
      <c r="C22" s="55">
        <v>5</v>
      </c>
      <c r="D22" s="55" t="s">
        <v>49</v>
      </c>
      <c r="E22" s="55">
        <v>57000</v>
      </c>
      <c r="F22" s="58" t="s">
        <v>8313</v>
      </c>
      <c r="G22" s="77" t="s">
        <v>8320</v>
      </c>
      <c r="H22" s="58" t="s">
        <v>8321</v>
      </c>
      <c r="I22" s="69"/>
      <c r="J22" s="57"/>
      <c r="K22" s="57"/>
      <c r="L22" s="57"/>
      <c r="M22" s="57"/>
      <c r="N22" s="59" t="s">
        <v>38</v>
      </c>
      <c r="O22" s="71"/>
      <c r="P22" s="56"/>
      <c r="Q22" s="56"/>
      <c r="R22" s="56"/>
      <c r="S22" s="56"/>
      <c r="T22" s="60"/>
      <c r="U22" s="74"/>
      <c r="V22" s="55"/>
      <c r="W22" s="55"/>
      <c r="X22" s="55"/>
      <c r="Y22" s="55"/>
      <c r="Z22" s="55"/>
      <c r="AA22" s="55"/>
      <c r="AB22" s="55"/>
      <c r="AC22" s="55">
        <f>IF(COUNTIF($C$3:C22,C22)=1,1,IF(COUNTIF($E$3:E22,E22)=1,2,0))</f>
        <v>0</v>
      </c>
      <c r="AD22" s="55" t="str">
        <f>IF(ISNUMBER(SEARCH("-",Database[[#This Row],[KEYNOTE '#]])),LEFT(Database[[#This Row],[KEYNOTE '#]],FIND("-",Database[[#This Row],[KEYNOTE '#]])-1),Database[[#This Row],[KEYNOTE '#]])</f>
        <v>MTL</v>
      </c>
      <c r="AE2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4</v>
      </c>
      <c r="AF22" s="55" t="str">
        <f>IF(AND(ISNUMBER(SEARCH("-",Database[[#This Row],[KEYNOTE '#]]))=TRUE,ISNUMBER(--RIGHT(Database[[#This Row],[KEYNOTE '#]]))=FALSE),RIGHT(Database[[#This Row],[KEYNOTE '#]],1),"")</f>
        <v/>
      </c>
      <c r="AG22" s="55">
        <v>20</v>
      </c>
      <c r="AH22" s="55" t="str">
        <f>IF(COUNTIF(Database[[#This Row],[BASE]:[INT. OTHER]],"g"),"INTERIOR",IF(COUNTIF(Database[[#This Row],[ROOF]:[EXT. OTHER]],"n"),"EXTERIOR",Database[[#This Row],[DIVISION '#]]))</f>
        <v>INTERIOR</v>
      </c>
      <c r="AI22" s="55" t="str">
        <f>IF(OR(Database[[#This Row],[KEYTIER1]]="INTERIOR",Database[[#This Row],[KEYTIER1]]="EXTERIOR"),"",Database[[#This Row],[DIVISION NAME]])</f>
        <v/>
      </c>
      <c r="AJ22" s="55" t="str">
        <f>IF(Database[[#This Row],[KEYTIER1]]="INTERIOR","INT",IF(Database[[#This Row],[KEYTIER1]]="EXTERIOR","EXT",Database[[#This Row],[SECTION '#]]))</f>
        <v>INT</v>
      </c>
      <c r="AK22" s="55" t="str">
        <f>IF(OR(Database[[#This Row],[KEYTIER2]]="INT",Database[[#This Row],[KEYTIER2]]="EXT"),"",IF(Database[[#This Row],[SECTION NAME]]="","",Database[[#This Row],[SECTION NAME]]))</f>
        <v/>
      </c>
    </row>
    <row r="23" spans="2:37" ht="30" x14ac:dyDescent="0.25">
      <c r="B23" s="55" t="s">
        <v>36</v>
      </c>
      <c r="C23" s="55">
        <v>5</v>
      </c>
      <c r="D23" s="55" t="s">
        <v>49</v>
      </c>
      <c r="E23" s="55">
        <v>57000</v>
      </c>
      <c r="F23" s="58" t="s">
        <v>8313</v>
      </c>
      <c r="G23" s="77" t="s">
        <v>53</v>
      </c>
      <c r="H23" s="58" t="s">
        <v>8322</v>
      </c>
      <c r="I23" s="69"/>
      <c r="J23" s="57"/>
      <c r="K23" s="57"/>
      <c r="L23" s="57"/>
      <c r="M23" s="57"/>
      <c r="N23" s="59"/>
      <c r="O23" s="71"/>
      <c r="P23" s="56"/>
      <c r="Q23" s="56"/>
      <c r="R23" s="56"/>
      <c r="S23" s="56"/>
      <c r="T23" s="60" t="s">
        <v>40</v>
      </c>
      <c r="U23" s="74"/>
      <c r="V23" s="55"/>
      <c r="W23" s="55"/>
      <c r="X23" s="55"/>
      <c r="Y23" s="55"/>
      <c r="Z23" s="55"/>
      <c r="AA23" s="55"/>
      <c r="AB23" s="55"/>
      <c r="AC23" s="55">
        <f>IF(COUNTIF($C$3:C23,C23)=1,1,IF(COUNTIF($E$3:E23,E23)=1,2,0))</f>
        <v>0</v>
      </c>
      <c r="AD23" s="55" t="str">
        <f>IF(ISNUMBER(SEARCH("-",Database[[#This Row],[KEYNOTE '#]])),LEFT(Database[[#This Row],[KEYNOTE '#]],FIND("-",Database[[#This Row],[KEYNOTE '#]])-1),Database[[#This Row],[KEYNOTE '#]])</f>
        <v>MTL</v>
      </c>
      <c r="AE2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23" s="55" t="str">
        <f>IF(AND(ISNUMBER(SEARCH("-",Database[[#This Row],[KEYNOTE '#]]))=TRUE,ISNUMBER(--RIGHT(Database[[#This Row],[KEYNOTE '#]]))=FALSE),RIGHT(Database[[#This Row],[KEYNOTE '#]],1),"")</f>
        <v/>
      </c>
      <c r="AG23" s="55">
        <v>21</v>
      </c>
      <c r="AH23" s="55" t="str">
        <f>IF(COUNTIF(Database[[#This Row],[BASE]:[INT. OTHER]],"g"),"INTERIOR",IF(COUNTIF(Database[[#This Row],[ROOF]:[EXT. OTHER]],"n"),"EXTERIOR",Database[[#This Row],[DIVISION '#]]))</f>
        <v>EXTERIOR</v>
      </c>
      <c r="AI23" s="55" t="str">
        <f>IF(OR(Database[[#This Row],[KEYTIER1]]="INTERIOR",Database[[#This Row],[KEYTIER1]]="EXTERIOR"),"",Database[[#This Row],[DIVISION NAME]])</f>
        <v/>
      </c>
      <c r="AJ23" s="55" t="str">
        <f>IF(Database[[#This Row],[KEYTIER1]]="INTERIOR","INT",IF(Database[[#This Row],[KEYTIER1]]="EXTERIOR","EXT",Database[[#This Row],[SECTION '#]]))</f>
        <v>EXT</v>
      </c>
      <c r="AK23" s="55" t="str">
        <f>IF(OR(Database[[#This Row],[KEYTIER2]]="INT",Database[[#This Row],[KEYTIER2]]="EXT"),"",IF(Database[[#This Row],[SECTION NAME]]="","",Database[[#This Row],[SECTION NAME]]))</f>
        <v/>
      </c>
    </row>
    <row r="24" spans="2:37" ht="30" x14ac:dyDescent="0.25">
      <c r="B24" s="55" t="s">
        <v>36</v>
      </c>
      <c r="C24" s="55">
        <v>5</v>
      </c>
      <c r="D24" s="55" t="s">
        <v>49</v>
      </c>
      <c r="E24" s="55">
        <v>57300</v>
      </c>
      <c r="F24" s="58" t="s">
        <v>8323</v>
      </c>
      <c r="G24" s="77" t="s">
        <v>55</v>
      </c>
      <c r="H24" s="58" t="s">
        <v>8324</v>
      </c>
      <c r="I24" s="69"/>
      <c r="J24" s="57"/>
      <c r="K24" s="57"/>
      <c r="L24" s="57"/>
      <c r="M24" s="57"/>
      <c r="N24" s="59"/>
      <c r="O24" s="71"/>
      <c r="P24" s="56"/>
      <c r="Q24" s="56"/>
      <c r="R24" s="56"/>
      <c r="S24" s="56"/>
      <c r="T24" s="60" t="s">
        <v>40</v>
      </c>
      <c r="U24" s="74"/>
      <c r="V24" s="55"/>
      <c r="W24" s="55"/>
      <c r="X24" s="55"/>
      <c r="Y24" s="55"/>
      <c r="Z24" s="55"/>
      <c r="AA24" s="55"/>
      <c r="AB24" s="55"/>
      <c r="AC24" s="55">
        <f>IF(COUNTIF($C$3:C24,C24)=1,1,IF(COUNTIF($E$3:E24,E24)=1,2,0))</f>
        <v>2</v>
      </c>
      <c r="AD24" s="55" t="str">
        <f>IF(ISNUMBER(SEARCH("-",Database[[#This Row],[KEYNOTE '#]])),LEFT(Database[[#This Row],[KEYNOTE '#]],FIND("-",Database[[#This Row],[KEYNOTE '#]])-1),Database[[#This Row],[KEYNOTE '#]])</f>
        <v>RLG</v>
      </c>
      <c r="AE2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52</v>
      </c>
      <c r="AF24" s="55" t="str">
        <f>IF(AND(ISNUMBER(SEARCH("-",Database[[#This Row],[KEYNOTE '#]]))=TRUE,ISNUMBER(--RIGHT(Database[[#This Row],[KEYNOTE '#]]))=FALSE),RIGHT(Database[[#This Row],[KEYNOTE '#]],1),"")</f>
        <v/>
      </c>
      <c r="AG24" s="55">
        <v>22</v>
      </c>
      <c r="AH24" s="55" t="str">
        <f>IF(COUNTIF(Database[[#This Row],[BASE]:[INT. OTHER]],"g"),"INTERIOR",IF(COUNTIF(Database[[#This Row],[ROOF]:[EXT. OTHER]],"n"),"EXTERIOR",Database[[#This Row],[DIVISION '#]]))</f>
        <v>EXTERIOR</v>
      </c>
      <c r="AI24" s="55" t="str">
        <f>IF(OR(Database[[#This Row],[KEYTIER1]]="INTERIOR",Database[[#This Row],[KEYTIER1]]="EXTERIOR"),"",Database[[#This Row],[DIVISION NAME]])</f>
        <v/>
      </c>
      <c r="AJ24" s="55" t="str">
        <f>IF(Database[[#This Row],[KEYTIER1]]="INTERIOR","INT",IF(Database[[#This Row],[KEYTIER1]]="EXTERIOR","EXT",Database[[#This Row],[SECTION '#]]))</f>
        <v>EXT</v>
      </c>
      <c r="AK24" s="55" t="str">
        <f>IF(OR(Database[[#This Row],[KEYTIER2]]="INT",Database[[#This Row],[KEYTIER2]]="EXT"),"",IF(Database[[#This Row],[SECTION NAME]]="","",Database[[#This Row],[SECTION NAME]]))</f>
        <v/>
      </c>
    </row>
    <row r="25" spans="2:37" ht="45" x14ac:dyDescent="0.25">
      <c r="B25" s="55" t="s">
        <v>36</v>
      </c>
      <c r="C25" s="55">
        <v>6</v>
      </c>
      <c r="D25" s="55" t="s">
        <v>56</v>
      </c>
      <c r="E25" s="55">
        <v>64000</v>
      </c>
      <c r="F25" s="58" t="s">
        <v>8325</v>
      </c>
      <c r="G25" s="77" t="s">
        <v>8326</v>
      </c>
      <c r="H25" s="58" t="s">
        <v>8327</v>
      </c>
      <c r="I25" s="69"/>
      <c r="J25" s="57"/>
      <c r="K25" s="57"/>
      <c r="L25" s="57"/>
      <c r="M25" s="57" t="s">
        <v>38</v>
      </c>
      <c r="N25" s="59"/>
      <c r="O25" s="71"/>
      <c r="P25" s="56"/>
      <c r="Q25" s="56"/>
      <c r="R25" s="56"/>
      <c r="S25" s="56"/>
      <c r="T25" s="60"/>
      <c r="U25" s="74"/>
      <c r="V25" s="55"/>
      <c r="W25" s="55"/>
      <c r="X25" s="55"/>
      <c r="Y25" s="55"/>
      <c r="Z25" s="55"/>
      <c r="AA25" s="55"/>
      <c r="AB25" s="55"/>
      <c r="AC25" s="55">
        <f>IF(COUNTIF($C$3:C25,C25)=1,1,IF(COUNTIF($E$3:E25,E25)=1,2,0))</f>
        <v>1</v>
      </c>
      <c r="AD25" s="55" t="str">
        <f>IF(ISNUMBER(SEARCH("-",Database[[#This Row],[KEYNOTE '#]])),LEFT(Database[[#This Row],[KEYNOTE '#]],FIND("-",Database[[#This Row],[KEYNOTE '#]])-1),Database[[#This Row],[KEYNOTE '#]])</f>
        <v>WD</v>
      </c>
      <c r="AE2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25" s="55" t="str">
        <f>IF(AND(ISNUMBER(SEARCH("-",Database[[#This Row],[KEYNOTE '#]]))=TRUE,ISNUMBER(--RIGHT(Database[[#This Row],[KEYNOTE '#]]))=FALSE),RIGHT(Database[[#This Row],[KEYNOTE '#]],1),"")</f>
        <v/>
      </c>
      <c r="AG25" s="55">
        <v>23</v>
      </c>
      <c r="AH25" s="55" t="str">
        <f>IF(COUNTIF(Database[[#This Row],[BASE]:[INT. OTHER]],"g"),"INTERIOR",IF(COUNTIF(Database[[#This Row],[ROOF]:[EXT. OTHER]],"n"),"EXTERIOR",Database[[#This Row],[DIVISION '#]]))</f>
        <v>INTERIOR</v>
      </c>
      <c r="AI25" s="55" t="str">
        <f>IF(OR(Database[[#This Row],[KEYTIER1]]="INTERIOR",Database[[#This Row],[KEYTIER1]]="EXTERIOR"),"",Database[[#This Row],[DIVISION NAME]])</f>
        <v/>
      </c>
      <c r="AJ25" s="55" t="str">
        <f>IF(Database[[#This Row],[KEYTIER1]]="INTERIOR","INT",IF(Database[[#This Row],[KEYTIER1]]="EXTERIOR","EXT",Database[[#This Row],[SECTION '#]]))</f>
        <v>INT</v>
      </c>
      <c r="AK25" s="55" t="str">
        <f>IF(OR(Database[[#This Row],[KEYTIER2]]="INT",Database[[#This Row],[KEYTIER2]]="EXT"),"",IF(Database[[#This Row],[SECTION NAME]]="","",Database[[#This Row],[SECTION NAME]]))</f>
        <v/>
      </c>
    </row>
    <row r="26" spans="2:37" ht="45" x14ac:dyDescent="0.25">
      <c r="B26" s="55" t="s">
        <v>36</v>
      </c>
      <c r="C26" s="55">
        <v>6</v>
      </c>
      <c r="D26" s="55" t="s">
        <v>56</v>
      </c>
      <c r="E26" s="55">
        <v>64023</v>
      </c>
      <c r="F26" s="58" t="s">
        <v>8328</v>
      </c>
      <c r="G26" s="77" t="s">
        <v>8329</v>
      </c>
      <c r="H26" s="58" t="s">
        <v>8330</v>
      </c>
      <c r="I26" s="69" t="s">
        <v>38</v>
      </c>
      <c r="J26" s="57"/>
      <c r="K26" s="57"/>
      <c r="L26" s="57"/>
      <c r="M26" s="57"/>
      <c r="N26" s="59"/>
      <c r="O26" s="71"/>
      <c r="P26" s="56"/>
      <c r="Q26" s="56"/>
      <c r="R26" s="56"/>
      <c r="S26" s="56"/>
      <c r="T26" s="60"/>
      <c r="U26" s="74"/>
      <c r="V26" s="55"/>
      <c r="W26" s="55"/>
      <c r="X26" s="55"/>
      <c r="Y26" s="55"/>
      <c r="Z26" s="55"/>
      <c r="AA26" s="55"/>
      <c r="AB26" s="55"/>
      <c r="AC26" s="55">
        <f>IF(COUNTIF($C$3:C26,C26)=1,1,IF(COUNTIF($E$3:E26,E26)=1,2,0))</f>
        <v>2</v>
      </c>
      <c r="AD26" s="55" t="str">
        <f>IF(ISNUMBER(SEARCH("-",Database[[#This Row],[KEYNOTE '#]])),LEFT(Database[[#This Row],[KEYNOTE '#]],FIND("-",Database[[#This Row],[KEYNOTE '#]])-1),Database[[#This Row],[KEYNOTE '#]])</f>
        <v>WB</v>
      </c>
      <c r="AE2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26" s="55" t="str">
        <f>IF(AND(ISNUMBER(SEARCH("-",Database[[#This Row],[KEYNOTE '#]]))=TRUE,ISNUMBER(--RIGHT(Database[[#This Row],[KEYNOTE '#]]))=FALSE),RIGHT(Database[[#This Row],[KEYNOTE '#]],1),"")</f>
        <v/>
      </c>
      <c r="AG26" s="55">
        <v>24</v>
      </c>
      <c r="AH26" s="55" t="str">
        <f>IF(COUNTIF(Database[[#This Row],[BASE]:[INT. OTHER]],"g"),"INTERIOR",IF(COUNTIF(Database[[#This Row],[ROOF]:[EXT. OTHER]],"n"),"EXTERIOR",Database[[#This Row],[DIVISION '#]]))</f>
        <v>INTERIOR</v>
      </c>
      <c r="AI26" s="55" t="str">
        <f>IF(OR(Database[[#This Row],[KEYTIER1]]="INTERIOR",Database[[#This Row],[KEYTIER1]]="EXTERIOR"),"",Database[[#This Row],[DIVISION NAME]])</f>
        <v/>
      </c>
      <c r="AJ26" s="55" t="str">
        <f>IF(Database[[#This Row],[KEYTIER1]]="INTERIOR","INT",IF(Database[[#This Row],[KEYTIER1]]="EXTERIOR","EXT",Database[[#This Row],[SECTION '#]]))</f>
        <v>INT</v>
      </c>
      <c r="AK26" s="55" t="str">
        <f>IF(OR(Database[[#This Row],[KEYTIER2]]="INT",Database[[#This Row],[KEYTIER2]]="EXT"),"",IF(Database[[#This Row],[SECTION NAME]]="","",Database[[#This Row],[SECTION NAME]]))</f>
        <v/>
      </c>
    </row>
    <row r="27" spans="2:37" ht="45" x14ac:dyDescent="0.25">
      <c r="B27" s="55" t="s">
        <v>36</v>
      </c>
      <c r="C27" s="55">
        <v>6</v>
      </c>
      <c r="D27" s="55" t="s">
        <v>56</v>
      </c>
      <c r="E27" s="55">
        <v>64116</v>
      </c>
      <c r="F27" s="58" t="s">
        <v>8331</v>
      </c>
      <c r="G27" s="77" t="s">
        <v>8332</v>
      </c>
      <c r="H27" s="58" t="s">
        <v>8333</v>
      </c>
      <c r="I27" s="69"/>
      <c r="J27" s="57"/>
      <c r="K27" s="57"/>
      <c r="L27" s="57"/>
      <c r="M27" s="57" t="s">
        <v>38</v>
      </c>
      <c r="N27" s="59"/>
      <c r="O27" s="71"/>
      <c r="P27" s="56"/>
      <c r="Q27" s="56"/>
      <c r="R27" s="56"/>
      <c r="S27" s="56"/>
      <c r="T27" s="60"/>
      <c r="U27" s="74"/>
      <c r="V27" s="55"/>
      <c r="W27" s="55"/>
      <c r="X27" s="55"/>
      <c r="Y27" s="55"/>
      <c r="Z27" s="55"/>
      <c r="AA27" s="55"/>
      <c r="AB27" s="55"/>
      <c r="AC27" s="55">
        <f>IF(COUNTIF($C$3:C27,C27)=1,1,IF(COUNTIF($E$3:E27,E27)=1,2,0))</f>
        <v>2</v>
      </c>
      <c r="AD27" s="55" t="str">
        <f>IF(ISNUMBER(SEARCH("-",Database[[#This Row],[KEYNOTE '#]])),LEFT(Database[[#This Row],[KEYNOTE '#]],FIND("-",Database[[#This Row],[KEYNOTE '#]])-1),Database[[#This Row],[KEYNOTE '#]])</f>
        <v>PLM</v>
      </c>
      <c r="AE2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27" s="55" t="str">
        <f>IF(AND(ISNUMBER(SEARCH("-",Database[[#This Row],[KEYNOTE '#]]))=TRUE,ISNUMBER(--RIGHT(Database[[#This Row],[KEYNOTE '#]]))=FALSE),RIGHT(Database[[#This Row],[KEYNOTE '#]],1),"")</f>
        <v/>
      </c>
      <c r="AG27" s="55">
        <v>25</v>
      </c>
      <c r="AH27" s="55" t="str">
        <f>IF(COUNTIF(Database[[#This Row],[BASE]:[INT. OTHER]],"g"),"INTERIOR",IF(COUNTIF(Database[[#This Row],[ROOF]:[EXT. OTHER]],"n"),"EXTERIOR",Database[[#This Row],[DIVISION '#]]))</f>
        <v>INTERIOR</v>
      </c>
      <c r="AI27" s="55" t="str">
        <f>IF(OR(Database[[#This Row],[KEYTIER1]]="INTERIOR",Database[[#This Row],[KEYTIER1]]="EXTERIOR"),"",Database[[#This Row],[DIVISION NAME]])</f>
        <v/>
      </c>
      <c r="AJ27" s="55" t="str">
        <f>IF(Database[[#This Row],[KEYTIER1]]="INTERIOR","INT",IF(Database[[#This Row],[KEYTIER1]]="EXTERIOR","EXT",Database[[#This Row],[SECTION '#]]))</f>
        <v>INT</v>
      </c>
      <c r="AK27" s="55" t="str">
        <f>IF(OR(Database[[#This Row],[KEYTIER2]]="INT",Database[[#This Row],[KEYTIER2]]="EXT"),"",IF(Database[[#This Row],[SECTION NAME]]="","",Database[[#This Row],[SECTION NAME]]))</f>
        <v/>
      </c>
    </row>
    <row r="28" spans="2:37" ht="45" x14ac:dyDescent="0.25">
      <c r="B28" s="55" t="s">
        <v>36</v>
      </c>
      <c r="C28" s="55">
        <v>6</v>
      </c>
      <c r="D28" s="55" t="s">
        <v>56</v>
      </c>
      <c r="E28" s="55">
        <v>64200</v>
      </c>
      <c r="F28" s="58" t="s">
        <v>8334</v>
      </c>
      <c r="G28" s="77" t="s">
        <v>8335</v>
      </c>
      <c r="H28" s="58" t="s">
        <v>8336</v>
      </c>
      <c r="I28" s="69"/>
      <c r="J28" s="57" t="s">
        <v>38</v>
      </c>
      <c r="K28" s="57"/>
      <c r="L28" s="57"/>
      <c r="M28" s="57"/>
      <c r="N28" s="59"/>
      <c r="O28" s="71"/>
      <c r="P28" s="56"/>
      <c r="Q28" s="56"/>
      <c r="R28" s="56"/>
      <c r="S28" s="56"/>
      <c r="T28" s="60"/>
      <c r="U28" s="74"/>
      <c r="V28" s="55"/>
      <c r="W28" s="55"/>
      <c r="X28" s="55"/>
      <c r="Y28" s="55"/>
      <c r="Z28" s="55"/>
      <c r="AA28" s="55"/>
      <c r="AB28" s="55"/>
      <c r="AC28" s="55">
        <f>IF(COUNTIF($C$3:C28,C28)=1,1,IF(COUNTIF($E$3:E28,E28)=1,2,0))</f>
        <v>2</v>
      </c>
      <c r="AD28" s="55" t="str">
        <f>IF(ISNUMBER(SEARCH("-",Database[[#This Row],[KEYNOTE '#]])),LEFT(Database[[#This Row],[KEYNOTE '#]],FIND("-",Database[[#This Row],[KEYNOTE '#]])-1),Database[[#This Row],[KEYNOTE '#]])</f>
        <v>WV</v>
      </c>
      <c r="AE2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28" s="55" t="str">
        <f>IF(AND(ISNUMBER(SEARCH("-",Database[[#This Row],[KEYNOTE '#]]))=TRUE,ISNUMBER(--RIGHT(Database[[#This Row],[KEYNOTE '#]]))=FALSE),RIGHT(Database[[#This Row],[KEYNOTE '#]],1),"")</f>
        <v/>
      </c>
      <c r="AG28" s="55">
        <v>26</v>
      </c>
      <c r="AH28" s="55" t="str">
        <f>IF(COUNTIF(Database[[#This Row],[BASE]:[INT. OTHER]],"g"),"INTERIOR",IF(COUNTIF(Database[[#This Row],[ROOF]:[EXT. OTHER]],"n"),"EXTERIOR",Database[[#This Row],[DIVISION '#]]))</f>
        <v>INTERIOR</v>
      </c>
      <c r="AI28" s="55" t="str">
        <f>IF(OR(Database[[#This Row],[KEYTIER1]]="INTERIOR",Database[[#This Row],[KEYTIER1]]="EXTERIOR"),"",Database[[#This Row],[DIVISION NAME]])</f>
        <v/>
      </c>
      <c r="AJ28" s="55" t="str">
        <f>IF(Database[[#This Row],[KEYTIER1]]="INTERIOR","INT",IF(Database[[#This Row],[KEYTIER1]]="EXTERIOR","EXT",Database[[#This Row],[SECTION '#]]))</f>
        <v>INT</v>
      </c>
      <c r="AK28" s="55" t="str">
        <f>IF(OR(Database[[#This Row],[KEYTIER2]]="INT",Database[[#This Row],[KEYTIER2]]="EXT"),"",IF(Database[[#This Row],[SECTION NAME]]="","",Database[[#This Row],[SECTION NAME]]))</f>
        <v/>
      </c>
    </row>
    <row r="29" spans="2:37" ht="45" x14ac:dyDescent="0.25">
      <c r="B29" s="55" t="s">
        <v>36</v>
      </c>
      <c r="C29" s="55">
        <v>6</v>
      </c>
      <c r="D29" s="55" t="s">
        <v>56</v>
      </c>
      <c r="E29" s="55">
        <v>64313</v>
      </c>
      <c r="F29" s="58" t="s">
        <v>8337</v>
      </c>
      <c r="G29" s="77" t="s">
        <v>8338</v>
      </c>
      <c r="H29" s="58" t="s">
        <v>8339</v>
      </c>
      <c r="I29" s="69"/>
      <c r="J29" s="57"/>
      <c r="K29" s="57"/>
      <c r="L29" s="57"/>
      <c r="M29" s="57"/>
      <c r="N29" s="59" t="s">
        <v>38</v>
      </c>
      <c r="O29" s="71"/>
      <c r="P29" s="56"/>
      <c r="Q29" s="56"/>
      <c r="R29" s="56"/>
      <c r="S29" s="56"/>
      <c r="T29" s="60"/>
      <c r="U29" s="74"/>
      <c r="V29" s="55"/>
      <c r="W29" s="55"/>
      <c r="X29" s="55"/>
      <c r="Y29" s="55"/>
      <c r="Z29" s="55"/>
      <c r="AA29" s="55"/>
      <c r="AB29" s="55"/>
      <c r="AC29" s="55">
        <f>IF(COUNTIF($C$3:C29,C29)=1,1,IF(COUNTIF($E$3:E29,E29)=1,2,0))</f>
        <v>2</v>
      </c>
      <c r="AD29" s="55" t="str">
        <f>IF(ISNUMBER(SEARCH("-",Database[[#This Row],[KEYNOTE '#]])),LEFT(Database[[#This Row],[KEYNOTE '#]],FIND("-",Database[[#This Row],[KEYNOTE '#]])-1),Database[[#This Row],[KEYNOTE '#]])</f>
        <v>WDS</v>
      </c>
      <c r="AE2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29" s="55" t="str">
        <f>IF(AND(ISNUMBER(SEARCH("-",Database[[#This Row],[KEYNOTE '#]]))=TRUE,ISNUMBER(--RIGHT(Database[[#This Row],[KEYNOTE '#]]))=FALSE),RIGHT(Database[[#This Row],[KEYNOTE '#]],1),"")</f>
        <v/>
      </c>
      <c r="AG29" s="55">
        <v>27</v>
      </c>
      <c r="AH29" s="55" t="str">
        <f>IF(COUNTIF(Database[[#This Row],[BASE]:[INT. OTHER]],"g"),"INTERIOR",IF(COUNTIF(Database[[#This Row],[ROOF]:[EXT. OTHER]],"n"),"EXTERIOR",Database[[#This Row],[DIVISION '#]]))</f>
        <v>INTERIOR</v>
      </c>
      <c r="AI29" s="55" t="str">
        <f>IF(OR(Database[[#This Row],[KEYTIER1]]="INTERIOR",Database[[#This Row],[KEYTIER1]]="EXTERIOR"),"",Database[[#This Row],[DIVISION NAME]])</f>
        <v/>
      </c>
      <c r="AJ29" s="55" t="str">
        <f>IF(Database[[#This Row],[KEYTIER1]]="INTERIOR","INT",IF(Database[[#This Row],[KEYTIER1]]="EXTERIOR","EXT",Database[[#This Row],[SECTION '#]]))</f>
        <v>INT</v>
      </c>
      <c r="AK29" s="55" t="str">
        <f>IF(OR(Database[[#This Row],[KEYTIER2]]="INT",Database[[#This Row],[KEYTIER2]]="EXT"),"",IF(Database[[#This Row],[SECTION NAME]]="","",Database[[#This Row],[SECTION NAME]]))</f>
        <v/>
      </c>
    </row>
    <row r="30" spans="2:37" ht="45" x14ac:dyDescent="0.25">
      <c r="B30" s="55" t="s">
        <v>36</v>
      </c>
      <c r="C30" s="55">
        <v>6</v>
      </c>
      <c r="D30" s="55" t="s">
        <v>56</v>
      </c>
      <c r="E30" s="55">
        <v>66113</v>
      </c>
      <c r="F30" s="58" t="s">
        <v>8340</v>
      </c>
      <c r="G30" s="77" t="s">
        <v>8341</v>
      </c>
      <c r="H30" s="58" t="s">
        <v>8342</v>
      </c>
      <c r="I30" s="69"/>
      <c r="J30" s="57" t="s">
        <v>38</v>
      </c>
      <c r="K30" s="57"/>
      <c r="L30" s="57"/>
      <c r="M30" s="57"/>
      <c r="N30" s="59"/>
      <c r="O30" s="71"/>
      <c r="P30" s="56"/>
      <c r="Q30" s="56"/>
      <c r="R30" s="56"/>
      <c r="S30" s="56"/>
      <c r="T30" s="60"/>
      <c r="U30" s="74"/>
      <c r="V30" s="55"/>
      <c r="W30" s="55"/>
      <c r="X30" s="55"/>
      <c r="Y30" s="55"/>
      <c r="Z30" s="55"/>
      <c r="AA30" s="55"/>
      <c r="AB30" s="55"/>
      <c r="AC30" s="55">
        <f>IF(COUNTIF($C$3:C30,C30)=1,1,IF(COUNTIF($E$3:E30,E30)=1,2,0))</f>
        <v>2</v>
      </c>
      <c r="AD30" s="55" t="str">
        <f>IF(ISNUMBER(SEARCH("-",Database[[#This Row],[KEYNOTE '#]])),LEFT(Database[[#This Row],[KEYNOTE '#]],FIND("-",Database[[#This Row],[KEYNOTE '#]])-1),Database[[#This Row],[KEYNOTE '#]])</f>
        <v>PLR</v>
      </c>
      <c r="AE3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30" s="55" t="str">
        <f>IF(AND(ISNUMBER(SEARCH("-",Database[[#This Row],[KEYNOTE '#]]))=TRUE,ISNUMBER(--RIGHT(Database[[#This Row],[KEYNOTE '#]]))=FALSE),RIGHT(Database[[#This Row],[KEYNOTE '#]],1),"")</f>
        <v/>
      </c>
      <c r="AG30" s="55">
        <v>28</v>
      </c>
      <c r="AH30" s="55" t="str">
        <f>IF(COUNTIF(Database[[#This Row],[BASE]:[INT. OTHER]],"g"),"INTERIOR",IF(COUNTIF(Database[[#This Row],[ROOF]:[EXT. OTHER]],"n"),"EXTERIOR",Database[[#This Row],[DIVISION '#]]))</f>
        <v>INTERIOR</v>
      </c>
      <c r="AI30" s="55" t="str">
        <f>IF(OR(Database[[#This Row],[KEYTIER1]]="INTERIOR",Database[[#This Row],[KEYTIER1]]="EXTERIOR"),"",Database[[#This Row],[DIVISION NAME]])</f>
        <v/>
      </c>
      <c r="AJ30" s="55" t="str">
        <f>IF(Database[[#This Row],[KEYTIER1]]="INTERIOR","INT",IF(Database[[#This Row],[KEYTIER1]]="EXTERIOR","EXT",Database[[#This Row],[SECTION '#]]))</f>
        <v>INT</v>
      </c>
      <c r="AK30" s="55" t="str">
        <f>IF(OR(Database[[#This Row],[KEYTIER2]]="INT",Database[[#This Row],[KEYTIER2]]="EXT"),"",IF(Database[[#This Row],[SECTION NAME]]="","",Database[[#This Row],[SECTION NAME]]))</f>
        <v/>
      </c>
    </row>
    <row r="31" spans="2:37" ht="45" x14ac:dyDescent="0.25">
      <c r="B31" s="55" t="s">
        <v>36</v>
      </c>
      <c r="C31" s="55">
        <v>7</v>
      </c>
      <c r="D31" s="55" t="s">
        <v>57</v>
      </c>
      <c r="E31" s="55">
        <v>71413</v>
      </c>
      <c r="F31" s="58" t="s">
        <v>8343</v>
      </c>
      <c r="G31" s="77" t="s">
        <v>8344</v>
      </c>
      <c r="H31" s="58" t="s">
        <v>8345</v>
      </c>
      <c r="I31" s="69"/>
      <c r="J31" s="57"/>
      <c r="K31" s="57"/>
      <c r="L31" s="57"/>
      <c r="M31" s="57"/>
      <c r="N31" s="59"/>
      <c r="O31" s="71"/>
      <c r="P31" s="56"/>
      <c r="Q31" s="56"/>
      <c r="R31" s="56"/>
      <c r="S31" s="56"/>
      <c r="T31" s="60"/>
      <c r="U31" s="74"/>
      <c r="V31" s="55"/>
      <c r="W31" s="55"/>
      <c r="X31" s="55"/>
      <c r="Y31" s="55"/>
      <c r="Z31" s="55"/>
      <c r="AA31" s="55"/>
      <c r="AB31" s="55"/>
      <c r="AC31" s="55">
        <f>IF(COUNTIF($C$3:C31,C31)=1,1,IF(COUNTIF($E$3:E31,E31)=1,2,0))</f>
        <v>1</v>
      </c>
      <c r="AD31" s="55" t="str">
        <f>IF(ISNUMBER(SEARCH("-",Database[[#This Row],[KEYNOTE '#]])),LEFT(Database[[#This Row],[KEYNOTE '#]],FIND("-",Database[[#This Row],[KEYNOTE '#]])-1),Database[[#This Row],[KEYNOTE '#]])</f>
        <v>WP</v>
      </c>
      <c r="AE3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1" s="55" t="str">
        <f>IF(AND(ISNUMBER(SEARCH("-",Database[[#This Row],[KEYNOTE '#]]))=TRUE,ISNUMBER(--RIGHT(Database[[#This Row],[KEYNOTE '#]]))=FALSE),RIGHT(Database[[#This Row],[KEYNOTE '#]],1),"")</f>
        <v/>
      </c>
      <c r="AG31" s="55">
        <v>29</v>
      </c>
      <c r="AH31" s="55">
        <f>IF(COUNTIF(Database[[#This Row],[BASE]:[INT. OTHER]],"g"),"INTERIOR",IF(COUNTIF(Database[[#This Row],[ROOF]:[EXT. OTHER]],"n"),"EXTERIOR",Database[[#This Row],[DIVISION '#]]))</f>
        <v>7</v>
      </c>
      <c r="AI31" s="55" t="str">
        <f>IF(OR(Database[[#This Row],[KEYTIER1]]="INTERIOR",Database[[#This Row],[KEYTIER1]]="EXTERIOR"),"",Database[[#This Row],[DIVISION NAME]])</f>
        <v>DIVISION 07 - THERMAL AND MOISTURE PROTECTION</v>
      </c>
      <c r="AJ31" s="55">
        <f>IF(Database[[#This Row],[KEYTIER1]]="INTERIOR","INT",IF(Database[[#This Row],[KEYTIER1]]="EXTERIOR","EXT",Database[[#This Row],[SECTION '#]]))</f>
        <v>71413</v>
      </c>
      <c r="AK31" s="55" t="str">
        <f>IF(OR(Database[[#This Row],[KEYTIER2]]="INT",Database[[#This Row],[KEYTIER2]]="EXT"),"",IF(Database[[#This Row],[SECTION NAME]]="","",Database[[#This Row],[SECTION NAME]]))</f>
        <v>SECTION 71413 - MEMBRANE WATERPROOFING</v>
      </c>
    </row>
    <row r="32" spans="2:37" ht="45" x14ac:dyDescent="0.25">
      <c r="B32" s="55" t="s">
        <v>36</v>
      </c>
      <c r="C32" s="55">
        <v>7</v>
      </c>
      <c r="D32" s="55" t="s">
        <v>57</v>
      </c>
      <c r="E32" s="55">
        <v>74213</v>
      </c>
      <c r="F32" s="58" t="s">
        <v>8346</v>
      </c>
      <c r="G32" s="77" t="s">
        <v>58</v>
      </c>
      <c r="H32" s="58" t="s">
        <v>8347</v>
      </c>
      <c r="I32" s="69"/>
      <c r="J32" s="57"/>
      <c r="K32" s="57"/>
      <c r="L32" s="57"/>
      <c r="M32" s="57"/>
      <c r="N32" s="59"/>
      <c r="O32" s="71"/>
      <c r="P32" s="56"/>
      <c r="Q32" s="56"/>
      <c r="R32" s="56"/>
      <c r="S32" s="56"/>
      <c r="T32" s="60"/>
      <c r="U32" s="74"/>
      <c r="V32" s="55"/>
      <c r="W32" s="55"/>
      <c r="X32" s="55"/>
      <c r="Y32" s="55"/>
      <c r="Z32" s="55"/>
      <c r="AA32" s="55"/>
      <c r="AB32" s="55"/>
      <c r="AC32" s="55">
        <f>IF(COUNTIF($C$3:C32,C32)=1,1,IF(COUNTIF($E$3:E32,E32)=1,2,0))</f>
        <v>2</v>
      </c>
      <c r="AD32" s="55" t="str">
        <f>IF(ISNUMBER(SEARCH("-",Database[[#This Row],[KEYNOTE '#]])),LEFT(Database[[#This Row],[KEYNOTE '#]],FIND("-",Database[[#This Row],[KEYNOTE '#]])-1),Database[[#This Row],[KEYNOTE '#]])</f>
        <v>MP</v>
      </c>
      <c r="AE3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2" s="55" t="str">
        <f>IF(AND(ISNUMBER(SEARCH("-",Database[[#This Row],[KEYNOTE '#]]))=TRUE,ISNUMBER(--RIGHT(Database[[#This Row],[KEYNOTE '#]]))=FALSE),RIGHT(Database[[#This Row],[KEYNOTE '#]],1),"")</f>
        <v/>
      </c>
      <c r="AG32" s="55">
        <v>30</v>
      </c>
      <c r="AH32" s="55">
        <f>IF(COUNTIF(Database[[#This Row],[BASE]:[INT. OTHER]],"g"),"INTERIOR",IF(COUNTIF(Database[[#This Row],[ROOF]:[EXT. OTHER]],"n"),"EXTERIOR",Database[[#This Row],[DIVISION '#]]))</f>
        <v>7</v>
      </c>
      <c r="AI32" s="55" t="str">
        <f>IF(OR(Database[[#This Row],[KEYTIER1]]="INTERIOR",Database[[#This Row],[KEYTIER1]]="EXTERIOR"),"",Database[[#This Row],[DIVISION NAME]])</f>
        <v>DIVISION 07 - THERMAL AND MOISTURE PROTECTION</v>
      </c>
      <c r="AJ32" s="55">
        <f>IF(Database[[#This Row],[KEYTIER1]]="INTERIOR","INT",IF(Database[[#This Row],[KEYTIER1]]="EXTERIOR","EXT",Database[[#This Row],[SECTION '#]]))</f>
        <v>74213</v>
      </c>
      <c r="AK32" s="55" t="str">
        <f>IF(OR(Database[[#This Row],[KEYTIER2]]="INT",Database[[#This Row],[KEYTIER2]]="EXT"),"",IF(Database[[#This Row],[SECTION NAME]]="","",Database[[#This Row],[SECTION NAME]]))</f>
        <v>SECTION 074213 - METAL WALL PANEL</v>
      </c>
    </row>
    <row r="33" spans="2:37" ht="45" x14ac:dyDescent="0.25">
      <c r="B33" s="55" t="s">
        <v>36</v>
      </c>
      <c r="C33" s="55">
        <v>7</v>
      </c>
      <c r="D33" s="55" t="s">
        <v>57</v>
      </c>
      <c r="E33" s="55">
        <v>75210</v>
      </c>
      <c r="F33" s="58" t="s">
        <v>8348</v>
      </c>
      <c r="G33" s="77" t="s">
        <v>60</v>
      </c>
      <c r="H33" s="58" t="s">
        <v>8349</v>
      </c>
      <c r="I33" s="69"/>
      <c r="J33" s="57"/>
      <c r="K33" s="57"/>
      <c r="L33" s="57"/>
      <c r="M33" s="57"/>
      <c r="N33" s="59"/>
      <c r="O33" s="71" t="s">
        <v>40</v>
      </c>
      <c r="P33" s="56"/>
      <c r="Q33" s="56"/>
      <c r="R33" s="56"/>
      <c r="S33" s="56"/>
      <c r="T33" s="60"/>
      <c r="U33" s="74"/>
      <c r="V33" s="55"/>
      <c r="W33" s="55"/>
      <c r="X33" s="55"/>
      <c r="Y33" s="55"/>
      <c r="Z33" s="55"/>
      <c r="AA33" s="55"/>
      <c r="AB33" s="55"/>
      <c r="AC33" s="55">
        <f>IF(COUNTIF($C$3:C33,C33)=1,1,IF(COUNTIF($E$3:E33,E33)=1,2,0))</f>
        <v>2</v>
      </c>
      <c r="AD33" s="55" t="str">
        <f>IF(ISNUMBER(SEARCH("-",Database[[#This Row],[KEYNOTE '#]])),LEFT(Database[[#This Row],[KEYNOTE '#]],FIND("-",Database[[#This Row],[KEYNOTE '#]])-1),Database[[#This Row],[KEYNOTE '#]])</f>
        <v>RFG</v>
      </c>
      <c r="AE3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3" s="55" t="str">
        <f>IF(AND(ISNUMBER(SEARCH("-",Database[[#This Row],[KEYNOTE '#]]))=TRUE,ISNUMBER(--RIGHT(Database[[#This Row],[KEYNOTE '#]]))=FALSE),RIGHT(Database[[#This Row],[KEYNOTE '#]],1),"")</f>
        <v/>
      </c>
      <c r="AG33" s="55">
        <v>31</v>
      </c>
      <c r="AH33" s="55" t="str">
        <f>IF(COUNTIF(Database[[#This Row],[BASE]:[INT. OTHER]],"g"),"INTERIOR",IF(COUNTIF(Database[[#This Row],[ROOF]:[EXT. OTHER]],"n"),"EXTERIOR",Database[[#This Row],[DIVISION '#]]))</f>
        <v>EXTERIOR</v>
      </c>
      <c r="AI33" s="55" t="str">
        <f>IF(OR(Database[[#This Row],[KEYTIER1]]="INTERIOR",Database[[#This Row],[KEYTIER1]]="EXTERIOR"),"",Database[[#This Row],[DIVISION NAME]])</f>
        <v/>
      </c>
      <c r="AJ33" s="55" t="str">
        <f>IF(Database[[#This Row],[KEYTIER1]]="INTERIOR","INT",IF(Database[[#This Row],[KEYTIER1]]="EXTERIOR","EXT",Database[[#This Row],[SECTION '#]]))</f>
        <v>EXT</v>
      </c>
      <c r="AK33" s="55" t="str">
        <f>IF(OR(Database[[#This Row],[KEYTIER2]]="INT",Database[[#This Row],[KEYTIER2]]="EXT"),"",IF(Database[[#This Row],[SECTION NAME]]="","",Database[[#This Row],[SECTION NAME]]))</f>
        <v/>
      </c>
    </row>
    <row r="34" spans="2:37" ht="45" x14ac:dyDescent="0.25">
      <c r="B34" s="55" t="s">
        <v>36</v>
      </c>
      <c r="C34" s="55">
        <v>7</v>
      </c>
      <c r="D34" s="55" t="s">
        <v>57</v>
      </c>
      <c r="E34" s="55">
        <v>75323</v>
      </c>
      <c r="F34" s="58" t="s">
        <v>8350</v>
      </c>
      <c r="G34" s="77" t="s">
        <v>61</v>
      </c>
      <c r="H34" s="58" t="s">
        <v>8351</v>
      </c>
      <c r="I34" s="69"/>
      <c r="J34" s="57"/>
      <c r="K34" s="57"/>
      <c r="L34" s="57"/>
      <c r="M34" s="57"/>
      <c r="N34" s="59"/>
      <c r="O34" s="71" t="s">
        <v>40</v>
      </c>
      <c r="P34" s="56"/>
      <c r="Q34" s="56"/>
      <c r="R34" s="56"/>
      <c r="S34" s="56"/>
      <c r="T34" s="60"/>
      <c r="U34" s="74"/>
      <c r="V34" s="55"/>
      <c r="W34" s="55"/>
      <c r="X34" s="55"/>
      <c r="Y34" s="55"/>
      <c r="Z34" s="55"/>
      <c r="AA34" s="55"/>
      <c r="AB34" s="55"/>
      <c r="AC34" s="55">
        <f>IF(COUNTIF($C$3:C34,C34)=1,1,IF(COUNTIF($E$3:E34,E34)=1,2,0))</f>
        <v>2</v>
      </c>
      <c r="AD34" s="55" t="str">
        <f>IF(ISNUMBER(SEARCH("-",Database[[#This Row],[KEYNOTE '#]])),LEFT(Database[[#This Row],[KEYNOTE '#]],FIND("-",Database[[#This Row],[KEYNOTE '#]])-1),Database[[#This Row],[KEYNOTE '#]])</f>
        <v>RFG</v>
      </c>
      <c r="AE3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51</v>
      </c>
      <c r="AF34" s="55" t="str">
        <f>IF(AND(ISNUMBER(SEARCH("-",Database[[#This Row],[KEYNOTE '#]]))=TRUE,ISNUMBER(--RIGHT(Database[[#This Row],[KEYNOTE '#]]))=FALSE),RIGHT(Database[[#This Row],[KEYNOTE '#]],1),"")</f>
        <v/>
      </c>
      <c r="AG34" s="55">
        <v>32</v>
      </c>
      <c r="AH34" s="55" t="str">
        <f>IF(COUNTIF(Database[[#This Row],[BASE]:[INT. OTHER]],"g"),"INTERIOR",IF(COUNTIF(Database[[#This Row],[ROOF]:[EXT. OTHER]],"n"),"EXTERIOR",Database[[#This Row],[DIVISION '#]]))</f>
        <v>EXTERIOR</v>
      </c>
      <c r="AI34" s="55" t="str">
        <f>IF(OR(Database[[#This Row],[KEYTIER1]]="INTERIOR",Database[[#This Row],[KEYTIER1]]="EXTERIOR"),"",Database[[#This Row],[DIVISION NAME]])</f>
        <v/>
      </c>
      <c r="AJ34" s="55" t="str">
        <f>IF(Database[[#This Row],[KEYTIER1]]="INTERIOR","INT",IF(Database[[#This Row],[KEYTIER1]]="EXTERIOR","EXT",Database[[#This Row],[SECTION '#]]))</f>
        <v>EXT</v>
      </c>
      <c r="AK34" s="55" t="str">
        <f>IF(OR(Database[[#This Row],[KEYTIER2]]="INT",Database[[#This Row],[KEYTIER2]]="EXT"),"",IF(Database[[#This Row],[SECTION NAME]]="","",Database[[#This Row],[SECTION NAME]]))</f>
        <v/>
      </c>
    </row>
    <row r="35" spans="2:37" ht="45" x14ac:dyDescent="0.25">
      <c r="B35" s="55" t="s">
        <v>36</v>
      </c>
      <c r="C35" s="55">
        <v>7</v>
      </c>
      <c r="D35" s="55" t="s">
        <v>57</v>
      </c>
      <c r="E35" s="55">
        <v>79500</v>
      </c>
      <c r="F35" s="58" t="s">
        <v>8352</v>
      </c>
      <c r="G35" s="77" t="s">
        <v>8353</v>
      </c>
      <c r="H35" s="58" t="s">
        <v>8354</v>
      </c>
      <c r="I35" s="69"/>
      <c r="J35" s="57"/>
      <c r="K35" s="57"/>
      <c r="L35" s="57"/>
      <c r="M35" s="57"/>
      <c r="N35" s="59"/>
      <c r="O35" s="71"/>
      <c r="P35" s="56"/>
      <c r="Q35" s="56"/>
      <c r="R35" s="56"/>
      <c r="S35" s="56"/>
      <c r="T35" s="60"/>
      <c r="U35" s="74"/>
      <c r="V35" s="55"/>
      <c r="W35" s="55"/>
      <c r="X35" s="55"/>
      <c r="Y35" s="55"/>
      <c r="Z35" s="55"/>
      <c r="AA35" s="55"/>
      <c r="AB35" s="55"/>
      <c r="AC35" s="55">
        <f>IF(COUNTIF($C$3:C35,C35)=1,1,IF(COUNTIF($E$3:E35,E35)=1,2,0))</f>
        <v>2</v>
      </c>
      <c r="AD35" s="55" t="str">
        <f>IF(ISNUMBER(SEARCH("-",Database[[#This Row],[KEYNOTE '#]])),LEFT(Database[[#This Row],[KEYNOTE '#]],FIND("-",Database[[#This Row],[KEYNOTE '#]])-1),Database[[#This Row],[KEYNOTE '#]])</f>
        <v>EJ</v>
      </c>
      <c r="AE3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35" s="55" t="str">
        <f>IF(AND(ISNUMBER(SEARCH("-",Database[[#This Row],[KEYNOTE '#]]))=TRUE,ISNUMBER(--RIGHT(Database[[#This Row],[KEYNOTE '#]]))=FALSE),RIGHT(Database[[#This Row],[KEYNOTE '#]],1),"")</f>
        <v/>
      </c>
      <c r="AG35" s="55">
        <v>33</v>
      </c>
      <c r="AH35" s="55">
        <f>IF(COUNTIF(Database[[#This Row],[BASE]:[INT. OTHER]],"g"),"INTERIOR",IF(COUNTIF(Database[[#This Row],[ROOF]:[EXT. OTHER]],"n"),"EXTERIOR",Database[[#This Row],[DIVISION '#]]))</f>
        <v>7</v>
      </c>
      <c r="AI35" s="55" t="str">
        <f>IF(OR(Database[[#This Row],[KEYTIER1]]="INTERIOR",Database[[#This Row],[KEYTIER1]]="EXTERIOR"),"",Database[[#This Row],[DIVISION NAME]])</f>
        <v>DIVISION 07 - THERMAL AND MOISTURE PROTECTION</v>
      </c>
      <c r="AJ35" s="55">
        <f>IF(Database[[#This Row],[KEYTIER1]]="INTERIOR","INT",IF(Database[[#This Row],[KEYTIER1]]="EXTERIOR","EXT",Database[[#This Row],[SECTION '#]]))</f>
        <v>79500</v>
      </c>
      <c r="AK35" s="55" t="str">
        <f>IF(OR(Database[[#This Row],[KEYTIER2]]="INT",Database[[#This Row],[KEYTIER2]]="EXT"),"",IF(Database[[#This Row],[SECTION NAME]]="","",Database[[#This Row],[SECTION NAME]]))</f>
        <v>SECTION 079500 - EXPANSION JOINT</v>
      </c>
    </row>
    <row r="36" spans="2:37" ht="45" x14ac:dyDescent="0.25">
      <c r="B36" s="55" t="s">
        <v>36</v>
      </c>
      <c r="C36" s="55">
        <v>7</v>
      </c>
      <c r="D36" s="55" t="s">
        <v>57</v>
      </c>
      <c r="E36" s="55">
        <v>79500</v>
      </c>
      <c r="F36" s="58" t="s">
        <v>8352</v>
      </c>
      <c r="G36" s="77" t="s">
        <v>62</v>
      </c>
      <c r="H36" s="58" t="s">
        <v>8355</v>
      </c>
      <c r="I36" s="69"/>
      <c r="J36" s="57"/>
      <c r="K36" s="57"/>
      <c r="L36" s="57"/>
      <c r="M36" s="57"/>
      <c r="N36" s="59"/>
      <c r="O36" s="71"/>
      <c r="P36" s="56"/>
      <c r="Q36" s="56"/>
      <c r="R36" s="56"/>
      <c r="S36" s="56"/>
      <c r="T36" s="60"/>
      <c r="U36" s="74"/>
      <c r="V36" s="55"/>
      <c r="W36" s="55"/>
      <c r="X36" s="55"/>
      <c r="Y36" s="55"/>
      <c r="Z36" s="55"/>
      <c r="AA36" s="55"/>
      <c r="AB36" s="55"/>
      <c r="AC36" s="55">
        <f>IF(COUNTIF($C$3:C36,C36)=1,1,IF(COUNTIF($E$3:E36,E36)=1,2,0))</f>
        <v>0</v>
      </c>
      <c r="AD36" s="55" t="str">
        <f>IF(ISNUMBER(SEARCH("-",Database[[#This Row],[KEYNOTE '#]])),LEFT(Database[[#This Row],[KEYNOTE '#]],FIND("-",Database[[#This Row],[KEYNOTE '#]])-1),Database[[#This Row],[KEYNOTE '#]])</f>
        <v>EJ</v>
      </c>
      <c r="AE3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6" s="55" t="str">
        <f>IF(AND(ISNUMBER(SEARCH("-",Database[[#This Row],[KEYNOTE '#]]))=TRUE,ISNUMBER(--RIGHT(Database[[#This Row],[KEYNOTE '#]]))=FALSE),RIGHT(Database[[#This Row],[KEYNOTE '#]],1),"")</f>
        <v/>
      </c>
      <c r="AG36" s="55">
        <v>34</v>
      </c>
      <c r="AH36" s="55">
        <f>IF(COUNTIF(Database[[#This Row],[BASE]:[INT. OTHER]],"g"),"INTERIOR",IF(COUNTIF(Database[[#This Row],[ROOF]:[EXT. OTHER]],"n"),"EXTERIOR",Database[[#This Row],[DIVISION '#]]))</f>
        <v>7</v>
      </c>
      <c r="AI36" s="55" t="str">
        <f>IF(OR(Database[[#This Row],[KEYTIER1]]="INTERIOR",Database[[#This Row],[KEYTIER1]]="EXTERIOR"),"",Database[[#This Row],[DIVISION NAME]])</f>
        <v>DIVISION 07 - THERMAL AND MOISTURE PROTECTION</v>
      </c>
      <c r="AJ36" s="55">
        <f>IF(Database[[#This Row],[KEYTIER1]]="INTERIOR","INT",IF(Database[[#This Row],[KEYTIER1]]="EXTERIOR","EXT",Database[[#This Row],[SECTION '#]]))</f>
        <v>79500</v>
      </c>
      <c r="AK36" s="55" t="str">
        <f>IF(OR(Database[[#This Row],[KEYTIER2]]="INT",Database[[#This Row],[KEYTIER2]]="EXT"),"",IF(Database[[#This Row],[SECTION NAME]]="","",Database[[#This Row],[SECTION NAME]]))</f>
        <v>SECTION 079500 - EXPANSION JOINT</v>
      </c>
    </row>
    <row r="37" spans="2:37" ht="30" x14ac:dyDescent="0.25">
      <c r="B37" s="55" t="s">
        <v>36</v>
      </c>
      <c r="C37" s="55">
        <v>8</v>
      </c>
      <c r="D37" s="55" t="s">
        <v>63</v>
      </c>
      <c r="E37" s="55">
        <v>84400</v>
      </c>
      <c r="F37" s="58" t="s">
        <v>8356</v>
      </c>
      <c r="G37" s="77" t="s">
        <v>64</v>
      </c>
      <c r="H37" s="58" t="s">
        <v>8357</v>
      </c>
      <c r="I37" s="69"/>
      <c r="J37" s="57"/>
      <c r="K37" s="57"/>
      <c r="L37" s="57"/>
      <c r="M37" s="57"/>
      <c r="N37" s="59"/>
      <c r="O37" s="71"/>
      <c r="P37" s="56"/>
      <c r="Q37" s="56" t="s">
        <v>40</v>
      </c>
      <c r="R37" s="56"/>
      <c r="S37" s="56"/>
      <c r="T37" s="60"/>
      <c r="U37" s="74"/>
      <c r="V37" s="55"/>
      <c r="W37" s="55"/>
      <c r="X37" s="55"/>
      <c r="Y37" s="55"/>
      <c r="Z37" s="55"/>
      <c r="AA37" s="55"/>
      <c r="AB37" s="55"/>
      <c r="AC37" s="55">
        <f>IF(COUNTIF($C$3:C37,C37)=1,1,IF(COUNTIF($E$3:E37,E37)=1,2,0))</f>
        <v>1</v>
      </c>
      <c r="AD37" s="55" t="str">
        <f>IF(ISNUMBER(SEARCH("-",Database[[#This Row],[KEYNOTE '#]])),LEFT(Database[[#This Row],[KEYNOTE '#]],FIND("-",Database[[#This Row],[KEYNOTE '#]])-1),Database[[#This Row],[KEYNOTE '#]])</f>
        <v>CW</v>
      </c>
      <c r="AE3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37" s="55" t="str">
        <f>IF(AND(ISNUMBER(SEARCH("-",Database[[#This Row],[KEYNOTE '#]]))=TRUE,ISNUMBER(--RIGHT(Database[[#This Row],[KEYNOTE '#]]))=FALSE),RIGHT(Database[[#This Row],[KEYNOTE '#]],1),"")</f>
        <v/>
      </c>
      <c r="AG37" s="55">
        <v>35</v>
      </c>
      <c r="AH37" s="55" t="str">
        <f>IF(COUNTIF(Database[[#This Row],[BASE]:[INT. OTHER]],"g"),"INTERIOR",IF(COUNTIF(Database[[#This Row],[ROOF]:[EXT. OTHER]],"n"),"EXTERIOR",Database[[#This Row],[DIVISION '#]]))</f>
        <v>EXTERIOR</v>
      </c>
      <c r="AI37" s="55" t="str">
        <f>IF(OR(Database[[#This Row],[KEYTIER1]]="INTERIOR",Database[[#This Row],[KEYTIER1]]="EXTERIOR"),"",Database[[#This Row],[DIVISION NAME]])</f>
        <v/>
      </c>
      <c r="AJ37" s="55" t="str">
        <f>IF(Database[[#This Row],[KEYTIER1]]="INTERIOR","INT",IF(Database[[#This Row],[KEYTIER1]]="EXTERIOR","EXT",Database[[#This Row],[SECTION '#]]))</f>
        <v>EXT</v>
      </c>
      <c r="AK37" s="55" t="str">
        <f>IF(OR(Database[[#This Row],[KEYTIER2]]="INT",Database[[#This Row],[KEYTIER2]]="EXT"),"",IF(Database[[#This Row],[SECTION NAME]]="","",Database[[#This Row],[SECTION NAME]]))</f>
        <v/>
      </c>
    </row>
    <row r="38" spans="2:37" ht="30" x14ac:dyDescent="0.25">
      <c r="B38" s="55" t="s">
        <v>36</v>
      </c>
      <c r="C38" s="55">
        <v>8</v>
      </c>
      <c r="D38" s="55" t="s">
        <v>63</v>
      </c>
      <c r="E38" s="55">
        <v>88000</v>
      </c>
      <c r="F38" s="58" t="s">
        <v>8358</v>
      </c>
      <c r="G38" s="77" t="s">
        <v>8359</v>
      </c>
      <c r="H38" s="58" t="s">
        <v>8360</v>
      </c>
      <c r="I38" s="69"/>
      <c r="J38" s="57" t="s">
        <v>38</v>
      </c>
      <c r="K38" s="57"/>
      <c r="L38" s="57"/>
      <c r="M38" s="57"/>
      <c r="N38" s="59"/>
      <c r="O38" s="71"/>
      <c r="P38" s="56"/>
      <c r="Q38" s="56"/>
      <c r="R38" s="56"/>
      <c r="S38" s="56"/>
      <c r="T38" s="60"/>
      <c r="U38" s="74"/>
      <c r="V38" s="55"/>
      <c r="W38" s="55"/>
      <c r="X38" s="55"/>
      <c r="Y38" s="55"/>
      <c r="Z38" s="55"/>
      <c r="AA38" s="55"/>
      <c r="AB38" s="55"/>
      <c r="AC38" s="55">
        <f>IF(COUNTIF($C$3:C38,C38)=1,1,IF(COUNTIF($E$3:E38,E38)=1,2,0))</f>
        <v>2</v>
      </c>
      <c r="AD38" s="55" t="str">
        <f>IF(ISNUMBER(SEARCH("-",Database[[#This Row],[KEYNOTE '#]])),LEFT(Database[[#This Row],[KEYNOTE '#]],FIND("-",Database[[#This Row],[KEYNOTE '#]])-1),Database[[#This Row],[KEYNOTE '#]])</f>
        <v>GL</v>
      </c>
      <c r="AE3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38" s="55" t="str">
        <f>IF(AND(ISNUMBER(SEARCH("-",Database[[#This Row],[KEYNOTE '#]]))=TRUE,ISNUMBER(--RIGHT(Database[[#This Row],[KEYNOTE '#]]))=FALSE),RIGHT(Database[[#This Row],[KEYNOTE '#]],1),"")</f>
        <v/>
      </c>
      <c r="AG38" s="55">
        <v>36</v>
      </c>
      <c r="AH38" s="55" t="str">
        <f>IF(COUNTIF(Database[[#This Row],[BASE]:[INT. OTHER]],"g"),"INTERIOR",IF(COUNTIF(Database[[#This Row],[ROOF]:[EXT. OTHER]],"n"),"EXTERIOR",Database[[#This Row],[DIVISION '#]]))</f>
        <v>INTERIOR</v>
      </c>
      <c r="AI38" s="55" t="str">
        <f>IF(OR(Database[[#This Row],[KEYTIER1]]="INTERIOR",Database[[#This Row],[KEYTIER1]]="EXTERIOR"),"",Database[[#This Row],[DIVISION NAME]])</f>
        <v/>
      </c>
      <c r="AJ38" s="55" t="str">
        <f>IF(Database[[#This Row],[KEYTIER1]]="INTERIOR","INT",IF(Database[[#This Row],[KEYTIER1]]="EXTERIOR","EXT",Database[[#This Row],[SECTION '#]]))</f>
        <v>INT</v>
      </c>
      <c r="AK38" s="55" t="str">
        <f>IF(OR(Database[[#This Row],[KEYTIER2]]="INT",Database[[#This Row],[KEYTIER2]]="EXT"),"",IF(Database[[#This Row],[SECTION NAME]]="","",Database[[#This Row],[SECTION NAME]]))</f>
        <v/>
      </c>
    </row>
    <row r="39" spans="2:37" ht="30" x14ac:dyDescent="0.25">
      <c r="B39" s="55" t="s">
        <v>36</v>
      </c>
      <c r="C39" s="55">
        <v>8</v>
      </c>
      <c r="D39" s="55" t="s">
        <v>63</v>
      </c>
      <c r="E39" s="55">
        <v>88000</v>
      </c>
      <c r="F39" s="58" t="s">
        <v>8358</v>
      </c>
      <c r="G39" s="77" t="s">
        <v>8361</v>
      </c>
      <c r="H39" s="58" t="s">
        <v>8362</v>
      </c>
      <c r="I39" s="69"/>
      <c r="J39" s="57" t="s">
        <v>38</v>
      </c>
      <c r="K39" s="57"/>
      <c r="L39" s="57"/>
      <c r="M39" s="57"/>
      <c r="N39" s="59"/>
      <c r="O39" s="71"/>
      <c r="P39" s="56"/>
      <c r="Q39" s="56"/>
      <c r="R39" s="56"/>
      <c r="S39" s="56"/>
      <c r="T39" s="60"/>
      <c r="U39" s="74"/>
      <c r="V39" s="55"/>
      <c r="W39" s="55"/>
      <c r="X39" s="55"/>
      <c r="Y39" s="55"/>
      <c r="Z39" s="55"/>
      <c r="AA39" s="55"/>
      <c r="AB39" s="55"/>
      <c r="AC39" s="55">
        <f>IF(COUNTIF($C$3:C39,C39)=1,1,IF(COUNTIF($E$3:E39,E39)=1,2,0))</f>
        <v>0</v>
      </c>
      <c r="AD39" s="55" t="str">
        <f>IF(ISNUMBER(SEARCH("-",Database[[#This Row],[KEYNOTE '#]])),LEFT(Database[[#This Row],[KEYNOTE '#]],FIND("-",Database[[#This Row],[KEYNOTE '#]])-1),Database[[#This Row],[KEYNOTE '#]])</f>
        <v>GL</v>
      </c>
      <c r="AE3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39" s="55" t="str">
        <f>IF(AND(ISNUMBER(SEARCH("-",Database[[#This Row],[KEYNOTE '#]]))=TRUE,ISNUMBER(--RIGHT(Database[[#This Row],[KEYNOTE '#]]))=FALSE),RIGHT(Database[[#This Row],[KEYNOTE '#]],1),"")</f>
        <v/>
      </c>
      <c r="AG39" s="55">
        <v>37</v>
      </c>
      <c r="AH39" s="55" t="str">
        <f>IF(COUNTIF(Database[[#This Row],[BASE]:[INT. OTHER]],"g"),"INTERIOR",IF(COUNTIF(Database[[#This Row],[ROOF]:[EXT. OTHER]],"n"),"EXTERIOR",Database[[#This Row],[DIVISION '#]]))</f>
        <v>INTERIOR</v>
      </c>
      <c r="AI39" s="55" t="str">
        <f>IF(OR(Database[[#This Row],[KEYTIER1]]="INTERIOR",Database[[#This Row],[KEYTIER1]]="EXTERIOR"),"",Database[[#This Row],[DIVISION NAME]])</f>
        <v/>
      </c>
      <c r="AJ39" s="55" t="str">
        <f>IF(Database[[#This Row],[KEYTIER1]]="INTERIOR","INT",IF(Database[[#This Row],[KEYTIER1]]="EXTERIOR","EXT",Database[[#This Row],[SECTION '#]]))</f>
        <v>INT</v>
      </c>
      <c r="AK39" s="55" t="str">
        <f>IF(OR(Database[[#This Row],[KEYTIER2]]="INT",Database[[#This Row],[KEYTIER2]]="EXT"),"",IF(Database[[#This Row],[SECTION NAME]]="","",Database[[#This Row],[SECTION NAME]]))</f>
        <v/>
      </c>
    </row>
    <row r="40" spans="2:37" ht="30" x14ac:dyDescent="0.25">
      <c r="B40" s="55" t="s">
        <v>36</v>
      </c>
      <c r="C40" s="55">
        <v>8</v>
      </c>
      <c r="D40" s="55" t="s">
        <v>63</v>
      </c>
      <c r="E40" s="55">
        <v>88000</v>
      </c>
      <c r="F40" s="58" t="s">
        <v>8358</v>
      </c>
      <c r="G40" s="77" t="s">
        <v>8363</v>
      </c>
      <c r="H40" s="58" t="s">
        <v>8364</v>
      </c>
      <c r="I40" s="69"/>
      <c r="J40" s="57" t="s">
        <v>38</v>
      </c>
      <c r="K40" s="57"/>
      <c r="L40" s="57"/>
      <c r="M40" s="57"/>
      <c r="N40" s="59"/>
      <c r="O40" s="71"/>
      <c r="P40" s="56"/>
      <c r="Q40" s="56"/>
      <c r="R40" s="56"/>
      <c r="S40" s="56"/>
      <c r="T40" s="60"/>
      <c r="U40" s="74"/>
      <c r="V40" s="55"/>
      <c r="W40" s="55"/>
      <c r="X40" s="55"/>
      <c r="Y40" s="55"/>
      <c r="Z40" s="55"/>
      <c r="AA40" s="55"/>
      <c r="AB40" s="55"/>
      <c r="AC40" s="55">
        <f>IF(COUNTIF($C$3:C40,C40)=1,1,IF(COUNTIF($E$3:E40,E40)=1,2,0))</f>
        <v>0</v>
      </c>
      <c r="AD40" s="55" t="str">
        <f>IF(ISNUMBER(SEARCH("-",Database[[#This Row],[KEYNOTE '#]])),LEFT(Database[[#This Row],[KEYNOTE '#]],FIND("-",Database[[#This Row],[KEYNOTE '#]])-1),Database[[#This Row],[KEYNOTE '#]])</f>
        <v>GL</v>
      </c>
      <c r="AE4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3</v>
      </c>
      <c r="AF40" s="55" t="str">
        <f>IF(AND(ISNUMBER(SEARCH("-",Database[[#This Row],[KEYNOTE '#]]))=TRUE,ISNUMBER(--RIGHT(Database[[#This Row],[KEYNOTE '#]]))=FALSE),RIGHT(Database[[#This Row],[KEYNOTE '#]],1),"")</f>
        <v/>
      </c>
      <c r="AG40" s="55">
        <v>38</v>
      </c>
      <c r="AH40" s="55" t="str">
        <f>IF(COUNTIF(Database[[#This Row],[BASE]:[INT. OTHER]],"g"),"INTERIOR",IF(COUNTIF(Database[[#This Row],[ROOF]:[EXT. OTHER]],"n"),"EXTERIOR",Database[[#This Row],[DIVISION '#]]))</f>
        <v>INTERIOR</v>
      </c>
      <c r="AI40" s="55" t="str">
        <f>IF(OR(Database[[#This Row],[KEYTIER1]]="INTERIOR",Database[[#This Row],[KEYTIER1]]="EXTERIOR"),"",Database[[#This Row],[DIVISION NAME]])</f>
        <v/>
      </c>
      <c r="AJ40" s="55" t="str">
        <f>IF(Database[[#This Row],[KEYTIER1]]="INTERIOR","INT",IF(Database[[#This Row],[KEYTIER1]]="EXTERIOR","EXT",Database[[#This Row],[SECTION '#]]))</f>
        <v>INT</v>
      </c>
      <c r="AK40" s="55" t="str">
        <f>IF(OR(Database[[#This Row],[KEYTIER2]]="INT",Database[[#This Row],[KEYTIER2]]="EXT"),"",IF(Database[[#This Row],[SECTION NAME]]="","",Database[[#This Row],[SECTION NAME]]))</f>
        <v/>
      </c>
    </row>
    <row r="41" spans="2:37" ht="30" x14ac:dyDescent="0.25">
      <c r="B41" s="55" t="s">
        <v>36</v>
      </c>
      <c r="C41" s="55">
        <v>8</v>
      </c>
      <c r="D41" s="55" t="s">
        <v>63</v>
      </c>
      <c r="E41" s="55">
        <v>88000</v>
      </c>
      <c r="F41" s="58" t="s">
        <v>8358</v>
      </c>
      <c r="G41" s="77" t="s">
        <v>8365</v>
      </c>
      <c r="H41" s="58" t="s">
        <v>8366</v>
      </c>
      <c r="I41" s="69"/>
      <c r="J41" s="57" t="s">
        <v>38</v>
      </c>
      <c r="K41" s="57"/>
      <c r="L41" s="57"/>
      <c r="M41" s="57"/>
      <c r="N41" s="59"/>
      <c r="O41" s="71"/>
      <c r="P41" s="56"/>
      <c r="Q41" s="56"/>
      <c r="R41" s="56"/>
      <c r="S41" s="56"/>
      <c r="T41" s="60"/>
      <c r="U41" s="74"/>
      <c r="V41" s="55"/>
      <c r="W41" s="55"/>
      <c r="X41" s="55"/>
      <c r="Y41" s="55"/>
      <c r="Z41" s="55"/>
      <c r="AA41" s="55"/>
      <c r="AB41" s="55"/>
      <c r="AC41" s="55">
        <f>IF(COUNTIF($C$3:C41,C41)=1,1,IF(COUNTIF($E$3:E41,E41)=1,2,0))</f>
        <v>0</v>
      </c>
      <c r="AD41" s="55" t="str">
        <f>IF(ISNUMBER(SEARCH("-",Database[[#This Row],[KEYNOTE '#]])),LEFT(Database[[#This Row],[KEYNOTE '#]],FIND("-",Database[[#This Row],[KEYNOTE '#]])-1),Database[[#This Row],[KEYNOTE '#]])</f>
        <v>GL</v>
      </c>
      <c r="AE4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4</v>
      </c>
      <c r="AF41" s="55" t="str">
        <f>IF(AND(ISNUMBER(SEARCH("-",Database[[#This Row],[KEYNOTE '#]]))=TRUE,ISNUMBER(--RIGHT(Database[[#This Row],[KEYNOTE '#]]))=FALSE),RIGHT(Database[[#This Row],[KEYNOTE '#]],1),"")</f>
        <v/>
      </c>
      <c r="AG41" s="55">
        <v>39</v>
      </c>
      <c r="AH41" s="55" t="str">
        <f>IF(COUNTIF(Database[[#This Row],[BASE]:[INT. OTHER]],"g"),"INTERIOR",IF(COUNTIF(Database[[#This Row],[ROOF]:[EXT. OTHER]],"n"),"EXTERIOR",Database[[#This Row],[DIVISION '#]]))</f>
        <v>INTERIOR</v>
      </c>
      <c r="AI41" s="55" t="str">
        <f>IF(OR(Database[[#This Row],[KEYTIER1]]="INTERIOR",Database[[#This Row],[KEYTIER1]]="EXTERIOR"),"",Database[[#This Row],[DIVISION NAME]])</f>
        <v/>
      </c>
      <c r="AJ41" s="55" t="str">
        <f>IF(Database[[#This Row],[KEYTIER1]]="INTERIOR","INT",IF(Database[[#This Row],[KEYTIER1]]="EXTERIOR","EXT",Database[[#This Row],[SECTION '#]]))</f>
        <v>INT</v>
      </c>
      <c r="AK41" s="55" t="str">
        <f>IF(OR(Database[[#This Row],[KEYTIER2]]="INT",Database[[#This Row],[KEYTIER2]]="EXT"),"",IF(Database[[#This Row],[SECTION NAME]]="","",Database[[#This Row],[SECTION NAME]]))</f>
        <v/>
      </c>
    </row>
    <row r="42" spans="2:37" ht="30" x14ac:dyDescent="0.25">
      <c r="B42" s="55" t="s">
        <v>36</v>
      </c>
      <c r="C42" s="55">
        <v>8</v>
      </c>
      <c r="D42" s="55" t="s">
        <v>63</v>
      </c>
      <c r="E42" s="55">
        <v>88000</v>
      </c>
      <c r="F42" s="58" t="s">
        <v>8358</v>
      </c>
      <c r="G42" s="77" t="s">
        <v>8367</v>
      </c>
      <c r="H42" s="58" t="s">
        <v>8368</v>
      </c>
      <c r="I42" s="69"/>
      <c r="J42" s="57" t="s">
        <v>38</v>
      </c>
      <c r="K42" s="57"/>
      <c r="L42" s="57"/>
      <c r="M42" s="57"/>
      <c r="N42" s="59"/>
      <c r="O42" s="71"/>
      <c r="P42" s="56"/>
      <c r="Q42" s="56"/>
      <c r="R42" s="56"/>
      <c r="S42" s="56"/>
      <c r="T42" s="60"/>
      <c r="U42" s="74"/>
      <c r="V42" s="55"/>
      <c r="W42" s="55"/>
      <c r="X42" s="55"/>
      <c r="Y42" s="55"/>
      <c r="Z42" s="55"/>
      <c r="AA42" s="55"/>
      <c r="AB42" s="55"/>
      <c r="AC42" s="55">
        <f>IF(COUNTIF($C$3:C42,C42)=1,1,IF(COUNTIF($E$3:E42,E42)=1,2,0))</f>
        <v>0</v>
      </c>
      <c r="AD42" s="55" t="str">
        <f>IF(ISNUMBER(SEARCH("-",Database[[#This Row],[KEYNOTE '#]])),LEFT(Database[[#This Row],[KEYNOTE '#]],FIND("-",Database[[#This Row],[KEYNOTE '#]])-1),Database[[#This Row],[KEYNOTE '#]])</f>
        <v>GL</v>
      </c>
      <c r="AE4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</v>
      </c>
      <c r="AF42" s="55" t="str">
        <f>IF(AND(ISNUMBER(SEARCH("-",Database[[#This Row],[KEYNOTE '#]]))=TRUE,ISNUMBER(--RIGHT(Database[[#This Row],[KEYNOTE '#]]))=FALSE),RIGHT(Database[[#This Row],[KEYNOTE '#]],1),"")</f>
        <v/>
      </c>
      <c r="AG42" s="55">
        <v>40</v>
      </c>
      <c r="AH42" s="55" t="str">
        <f>IF(COUNTIF(Database[[#This Row],[BASE]:[INT. OTHER]],"g"),"INTERIOR",IF(COUNTIF(Database[[#This Row],[ROOF]:[EXT. OTHER]],"n"),"EXTERIOR",Database[[#This Row],[DIVISION '#]]))</f>
        <v>INTERIOR</v>
      </c>
      <c r="AI42" s="55" t="str">
        <f>IF(OR(Database[[#This Row],[KEYTIER1]]="INTERIOR",Database[[#This Row],[KEYTIER1]]="EXTERIOR"),"",Database[[#This Row],[DIVISION NAME]])</f>
        <v/>
      </c>
      <c r="AJ42" s="55" t="str">
        <f>IF(Database[[#This Row],[KEYTIER1]]="INTERIOR","INT",IF(Database[[#This Row],[KEYTIER1]]="EXTERIOR","EXT",Database[[#This Row],[SECTION '#]]))</f>
        <v>INT</v>
      </c>
      <c r="AK42" s="55" t="str">
        <f>IF(OR(Database[[#This Row],[KEYTIER2]]="INT",Database[[#This Row],[KEYTIER2]]="EXT"),"",IF(Database[[#This Row],[SECTION NAME]]="","",Database[[#This Row],[SECTION NAME]]))</f>
        <v/>
      </c>
    </row>
    <row r="43" spans="2:37" ht="30" x14ac:dyDescent="0.25">
      <c r="B43" s="55" t="s">
        <v>36</v>
      </c>
      <c r="C43" s="55">
        <v>8</v>
      </c>
      <c r="D43" s="55" t="s">
        <v>63</v>
      </c>
      <c r="E43" s="55">
        <v>88000</v>
      </c>
      <c r="F43" s="58" t="s">
        <v>8358</v>
      </c>
      <c r="G43" s="77" t="s">
        <v>8369</v>
      </c>
      <c r="H43" s="58" t="s">
        <v>8370</v>
      </c>
      <c r="I43" s="69"/>
      <c r="J43" s="57" t="s">
        <v>38</v>
      </c>
      <c r="K43" s="57"/>
      <c r="L43" s="57"/>
      <c r="M43" s="57"/>
      <c r="N43" s="59"/>
      <c r="O43" s="71"/>
      <c r="P43" s="56"/>
      <c r="Q43" s="56"/>
      <c r="R43" s="56"/>
      <c r="S43" s="56"/>
      <c r="T43" s="60"/>
      <c r="U43" s="74"/>
      <c r="V43" s="55"/>
      <c r="W43" s="55"/>
      <c r="X43" s="55"/>
      <c r="Y43" s="55"/>
      <c r="Z43" s="55"/>
      <c r="AA43" s="55"/>
      <c r="AB43" s="55"/>
      <c r="AC43" s="55">
        <f>IF(COUNTIF($C$3:C43,C43)=1,1,IF(COUNTIF($E$3:E43,E43)=1,2,0))</f>
        <v>0</v>
      </c>
      <c r="AD43" s="55" t="str">
        <f>IF(ISNUMBER(SEARCH("-",Database[[#This Row],[KEYNOTE '#]])),LEFT(Database[[#This Row],[KEYNOTE '#]],FIND("-",Database[[#This Row],[KEYNOTE '#]])-1),Database[[#This Row],[KEYNOTE '#]])</f>
        <v>GL</v>
      </c>
      <c r="AE4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6</v>
      </c>
      <c r="AF43" s="55" t="str">
        <f>IF(AND(ISNUMBER(SEARCH("-",Database[[#This Row],[KEYNOTE '#]]))=TRUE,ISNUMBER(--RIGHT(Database[[#This Row],[KEYNOTE '#]]))=FALSE),RIGHT(Database[[#This Row],[KEYNOTE '#]],1),"")</f>
        <v/>
      </c>
      <c r="AG43" s="55">
        <v>41</v>
      </c>
      <c r="AH43" s="55" t="str">
        <f>IF(COUNTIF(Database[[#This Row],[BASE]:[INT. OTHER]],"g"),"INTERIOR",IF(COUNTIF(Database[[#This Row],[ROOF]:[EXT. OTHER]],"n"),"EXTERIOR",Database[[#This Row],[DIVISION '#]]))</f>
        <v>INTERIOR</v>
      </c>
      <c r="AI43" s="55" t="str">
        <f>IF(OR(Database[[#This Row],[KEYTIER1]]="INTERIOR",Database[[#This Row],[KEYTIER1]]="EXTERIOR"),"",Database[[#This Row],[DIVISION NAME]])</f>
        <v/>
      </c>
      <c r="AJ43" s="55" t="str">
        <f>IF(Database[[#This Row],[KEYTIER1]]="INTERIOR","INT",IF(Database[[#This Row],[KEYTIER1]]="EXTERIOR","EXT",Database[[#This Row],[SECTION '#]]))</f>
        <v>INT</v>
      </c>
      <c r="AK43" s="55" t="str">
        <f>IF(OR(Database[[#This Row],[KEYTIER2]]="INT",Database[[#This Row],[KEYTIER2]]="EXT"),"",IF(Database[[#This Row],[SECTION NAME]]="","",Database[[#This Row],[SECTION NAME]]))</f>
        <v/>
      </c>
    </row>
    <row r="44" spans="2:37" ht="30" x14ac:dyDescent="0.25">
      <c r="B44" s="55" t="s">
        <v>36</v>
      </c>
      <c r="C44" s="55">
        <v>8</v>
      </c>
      <c r="D44" s="55" t="s">
        <v>63</v>
      </c>
      <c r="E44" s="55">
        <v>88000</v>
      </c>
      <c r="F44" s="58" t="s">
        <v>8358</v>
      </c>
      <c r="G44" s="77" t="s">
        <v>65</v>
      </c>
      <c r="H44" s="58" t="s">
        <v>8371</v>
      </c>
      <c r="I44" s="69"/>
      <c r="J44" s="57"/>
      <c r="K44" s="57"/>
      <c r="L44" s="57"/>
      <c r="M44" s="57"/>
      <c r="N44" s="59"/>
      <c r="O44" s="71"/>
      <c r="P44" s="56"/>
      <c r="Q44" s="56" t="s">
        <v>40</v>
      </c>
      <c r="R44" s="56"/>
      <c r="S44" s="56"/>
      <c r="T44" s="60"/>
      <c r="U44" s="74"/>
      <c r="V44" s="55"/>
      <c r="W44" s="55"/>
      <c r="X44" s="55"/>
      <c r="Y44" s="55"/>
      <c r="Z44" s="55"/>
      <c r="AA44" s="55"/>
      <c r="AB44" s="55"/>
      <c r="AC44" s="55">
        <f>IF(COUNTIF($C$3:C44,C44)=1,1,IF(COUNTIF($E$3:E44,E44)=1,2,0))</f>
        <v>0</v>
      </c>
      <c r="AD44" s="55" t="str">
        <f>IF(ISNUMBER(SEARCH("-",Database[[#This Row],[KEYNOTE '#]])),LEFT(Database[[#This Row],[KEYNOTE '#]],FIND("-",Database[[#This Row],[KEYNOTE '#]])-1),Database[[#This Row],[KEYNOTE '#]])</f>
        <v>GL</v>
      </c>
      <c r="AE4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44" s="55" t="str">
        <f>IF(AND(ISNUMBER(SEARCH("-",Database[[#This Row],[KEYNOTE '#]]))=TRUE,ISNUMBER(--RIGHT(Database[[#This Row],[KEYNOTE '#]]))=FALSE),RIGHT(Database[[#This Row],[KEYNOTE '#]],1),"")</f>
        <v/>
      </c>
      <c r="AG44" s="55">
        <v>42</v>
      </c>
      <c r="AH44" s="55" t="str">
        <f>IF(COUNTIF(Database[[#This Row],[BASE]:[INT. OTHER]],"g"),"INTERIOR",IF(COUNTIF(Database[[#This Row],[ROOF]:[EXT. OTHER]],"n"),"EXTERIOR",Database[[#This Row],[DIVISION '#]]))</f>
        <v>EXTERIOR</v>
      </c>
      <c r="AI44" s="55" t="str">
        <f>IF(OR(Database[[#This Row],[KEYTIER1]]="INTERIOR",Database[[#This Row],[KEYTIER1]]="EXTERIOR"),"",Database[[#This Row],[DIVISION NAME]])</f>
        <v/>
      </c>
      <c r="AJ44" s="55" t="str">
        <f>IF(Database[[#This Row],[KEYTIER1]]="INTERIOR","INT",IF(Database[[#This Row],[KEYTIER1]]="EXTERIOR","EXT",Database[[#This Row],[SECTION '#]]))</f>
        <v>EXT</v>
      </c>
      <c r="AK44" s="55" t="str">
        <f>IF(OR(Database[[#This Row],[KEYTIER2]]="INT",Database[[#This Row],[KEYTIER2]]="EXT"),"",IF(Database[[#This Row],[SECTION NAME]]="","",Database[[#This Row],[SECTION NAME]]))</f>
        <v/>
      </c>
    </row>
    <row r="45" spans="2:37" ht="30" x14ac:dyDescent="0.25">
      <c r="B45" s="55" t="s">
        <v>36</v>
      </c>
      <c r="C45" s="55">
        <v>8</v>
      </c>
      <c r="D45" s="55" t="s">
        <v>63</v>
      </c>
      <c r="E45" s="55">
        <v>88000</v>
      </c>
      <c r="F45" s="58" t="s">
        <v>8358</v>
      </c>
      <c r="G45" s="77" t="s">
        <v>8372</v>
      </c>
      <c r="H45" s="58" t="s">
        <v>8373</v>
      </c>
      <c r="I45" s="69"/>
      <c r="J45" s="57"/>
      <c r="K45" s="57"/>
      <c r="L45" s="57"/>
      <c r="M45" s="57"/>
      <c r="N45" s="59"/>
      <c r="O45" s="71"/>
      <c r="P45" s="56"/>
      <c r="Q45" s="56" t="s">
        <v>40</v>
      </c>
      <c r="R45" s="56"/>
      <c r="S45" s="56"/>
      <c r="T45" s="60"/>
      <c r="U45" s="74"/>
      <c r="V45" s="55"/>
      <c r="W45" s="55"/>
      <c r="X45" s="55"/>
      <c r="Y45" s="55"/>
      <c r="Z45" s="55"/>
      <c r="AA45" s="55"/>
      <c r="AB45" s="55"/>
      <c r="AC45" s="55">
        <f>IF(COUNTIF($C$3:C45,C45)=1,1,IF(COUNTIF($E$3:E45,E45)=1,2,0))</f>
        <v>0</v>
      </c>
      <c r="AD45" s="55" t="str">
        <f>IF(ISNUMBER(SEARCH("-",Database[[#This Row],[KEYNOTE '#]])),LEFT(Database[[#This Row],[KEYNOTE '#]],FIND("-",Database[[#This Row],[KEYNOTE '#]])-1),Database[[#This Row],[KEYNOTE '#]])</f>
        <v>GL</v>
      </c>
      <c r="AE4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51</v>
      </c>
      <c r="AF45" s="55" t="str">
        <f>IF(AND(ISNUMBER(SEARCH("-",Database[[#This Row],[KEYNOTE '#]]))=TRUE,ISNUMBER(--RIGHT(Database[[#This Row],[KEYNOTE '#]]))=FALSE),RIGHT(Database[[#This Row],[KEYNOTE '#]],1),"")</f>
        <v/>
      </c>
      <c r="AG45" s="55">
        <v>43</v>
      </c>
      <c r="AH45" s="55" t="str">
        <f>IF(COUNTIF(Database[[#This Row],[BASE]:[INT. OTHER]],"g"),"INTERIOR",IF(COUNTIF(Database[[#This Row],[ROOF]:[EXT. OTHER]],"n"),"EXTERIOR",Database[[#This Row],[DIVISION '#]]))</f>
        <v>EXTERIOR</v>
      </c>
      <c r="AI45" s="55" t="str">
        <f>IF(OR(Database[[#This Row],[KEYTIER1]]="INTERIOR",Database[[#This Row],[KEYTIER1]]="EXTERIOR"),"",Database[[#This Row],[DIVISION NAME]])</f>
        <v/>
      </c>
      <c r="AJ45" s="55" t="str">
        <f>IF(Database[[#This Row],[KEYTIER1]]="INTERIOR","INT",IF(Database[[#This Row],[KEYTIER1]]="EXTERIOR","EXT",Database[[#This Row],[SECTION '#]]))</f>
        <v>EXT</v>
      </c>
      <c r="AK45" s="55" t="str">
        <f>IF(OR(Database[[#This Row],[KEYTIER2]]="INT",Database[[#This Row],[KEYTIER2]]="EXT"),"",IF(Database[[#This Row],[SECTION NAME]]="","",Database[[#This Row],[SECTION NAME]]))</f>
        <v/>
      </c>
    </row>
    <row r="46" spans="2:37" ht="30" x14ac:dyDescent="0.25">
      <c r="B46" s="55" t="s">
        <v>36</v>
      </c>
      <c r="C46" s="55">
        <v>8</v>
      </c>
      <c r="D46" s="55" t="s">
        <v>63</v>
      </c>
      <c r="E46" s="55">
        <v>89000</v>
      </c>
      <c r="F46" s="58" t="s">
        <v>8374</v>
      </c>
      <c r="G46" s="77" t="s">
        <v>66</v>
      </c>
      <c r="H46" s="58" t="s">
        <v>8375</v>
      </c>
      <c r="I46" s="69"/>
      <c r="J46" s="57"/>
      <c r="K46" s="57"/>
      <c r="L46" s="57"/>
      <c r="M46" s="57"/>
      <c r="N46" s="59"/>
      <c r="O46" s="71"/>
      <c r="P46" s="56"/>
      <c r="Q46" s="56"/>
      <c r="R46" s="56"/>
      <c r="S46" s="56"/>
      <c r="T46" s="60" t="s">
        <v>40</v>
      </c>
      <c r="U46" s="74"/>
      <c r="V46" s="55"/>
      <c r="W46" s="55"/>
      <c r="X46" s="55"/>
      <c r="Y46" s="55"/>
      <c r="Z46" s="55"/>
      <c r="AA46" s="55"/>
      <c r="AB46" s="55"/>
      <c r="AC46" s="55">
        <f>IF(COUNTIF($C$3:C46,C46)=1,1,IF(COUNTIF($E$3:E46,E46)=1,2,0))</f>
        <v>2</v>
      </c>
      <c r="AD46" s="55" t="str">
        <f>IF(ISNUMBER(SEARCH("-",Database[[#This Row],[KEYNOTE '#]])),LEFT(Database[[#This Row],[KEYNOTE '#]],FIND("-",Database[[#This Row],[KEYNOTE '#]])-1),Database[[#This Row],[KEYNOTE '#]])</f>
        <v>LVR</v>
      </c>
      <c r="AE4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46" s="55" t="str">
        <f>IF(AND(ISNUMBER(SEARCH("-",Database[[#This Row],[KEYNOTE '#]]))=TRUE,ISNUMBER(--RIGHT(Database[[#This Row],[KEYNOTE '#]]))=FALSE),RIGHT(Database[[#This Row],[KEYNOTE '#]],1),"")</f>
        <v/>
      </c>
      <c r="AG46" s="55">
        <v>44</v>
      </c>
      <c r="AH46" s="55" t="str">
        <f>IF(COUNTIF(Database[[#This Row],[BASE]:[INT. OTHER]],"g"),"INTERIOR",IF(COUNTIF(Database[[#This Row],[ROOF]:[EXT. OTHER]],"n"),"EXTERIOR",Database[[#This Row],[DIVISION '#]]))</f>
        <v>EXTERIOR</v>
      </c>
      <c r="AI46" s="55" t="str">
        <f>IF(OR(Database[[#This Row],[KEYTIER1]]="INTERIOR",Database[[#This Row],[KEYTIER1]]="EXTERIOR"),"",Database[[#This Row],[DIVISION NAME]])</f>
        <v/>
      </c>
      <c r="AJ46" s="55" t="str">
        <f>IF(Database[[#This Row],[KEYTIER1]]="INTERIOR","INT",IF(Database[[#This Row],[KEYTIER1]]="EXTERIOR","EXT",Database[[#This Row],[SECTION '#]]))</f>
        <v>EXT</v>
      </c>
      <c r="AK46" s="55" t="str">
        <f>IF(OR(Database[[#This Row],[KEYTIER2]]="INT",Database[[#This Row],[KEYTIER2]]="EXT"),"",IF(Database[[#This Row],[SECTION NAME]]="","",Database[[#This Row],[SECTION NAME]]))</f>
        <v/>
      </c>
    </row>
    <row r="47" spans="2:37" ht="30" x14ac:dyDescent="0.25">
      <c r="B47" s="55" t="s">
        <v>36</v>
      </c>
      <c r="C47" s="55">
        <v>9</v>
      </c>
      <c r="D47" s="55" t="s">
        <v>67</v>
      </c>
      <c r="E47" s="55">
        <v>92216</v>
      </c>
      <c r="F47" s="58" t="s">
        <v>8376</v>
      </c>
      <c r="G47" s="77" t="s">
        <v>8377</v>
      </c>
      <c r="H47" s="58" t="s">
        <v>8378</v>
      </c>
      <c r="I47" s="69"/>
      <c r="J47" s="57"/>
      <c r="K47" s="57"/>
      <c r="L47" s="57"/>
      <c r="M47" s="57"/>
      <c r="N47" s="59"/>
      <c r="O47" s="71"/>
      <c r="P47" s="56"/>
      <c r="Q47" s="56"/>
      <c r="R47" s="56"/>
      <c r="S47" s="56"/>
      <c r="T47" s="60"/>
      <c r="U47" s="74"/>
      <c r="V47" s="55"/>
      <c r="W47" s="55"/>
      <c r="X47" s="55"/>
      <c r="Y47" s="55"/>
      <c r="Z47" s="55"/>
      <c r="AA47" s="55"/>
      <c r="AB47" s="55"/>
      <c r="AC47" s="55">
        <f>IF(COUNTIF($C$3:C47,C47)=1,1,IF(COUNTIF($E$3:E47,E47)=1,2,0))</f>
        <v>1</v>
      </c>
      <c r="AD47" s="55" t="str">
        <f>IF(ISNUMBER(SEARCH("-",Database[[#This Row],[KEYNOTE '#]])),LEFT(Database[[#This Row],[KEYNOTE '#]],FIND("-",Database[[#This Row],[KEYNOTE '#]])-1),Database[[#This Row],[KEYNOTE '#]])</f>
        <v>STD</v>
      </c>
      <c r="AE4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47" s="55" t="str">
        <f>IF(AND(ISNUMBER(SEARCH("-",Database[[#This Row],[KEYNOTE '#]]))=TRUE,ISNUMBER(--RIGHT(Database[[#This Row],[KEYNOTE '#]]))=FALSE),RIGHT(Database[[#This Row],[KEYNOTE '#]],1),"")</f>
        <v/>
      </c>
      <c r="AG47" s="55">
        <v>45</v>
      </c>
      <c r="AH47" s="55">
        <f>IF(COUNTIF(Database[[#This Row],[BASE]:[INT. OTHER]],"g"),"INTERIOR",IF(COUNTIF(Database[[#This Row],[ROOF]:[EXT. OTHER]],"n"),"EXTERIOR",Database[[#This Row],[DIVISION '#]]))</f>
        <v>9</v>
      </c>
      <c r="AI47" s="55" t="str">
        <f>IF(OR(Database[[#This Row],[KEYTIER1]]="INTERIOR",Database[[#This Row],[KEYTIER1]]="EXTERIOR"),"",Database[[#This Row],[DIVISION NAME]])</f>
        <v>DIVISION 09 - FINISHES</v>
      </c>
      <c r="AJ47" s="55">
        <f>IF(Database[[#This Row],[KEYTIER1]]="INTERIOR","INT",IF(Database[[#This Row],[KEYTIER1]]="EXTERIOR","EXT",Database[[#This Row],[SECTION '#]]))</f>
        <v>92216</v>
      </c>
      <c r="AK47" s="55" t="str">
        <f>IF(OR(Database[[#This Row],[KEYTIER2]]="INT",Database[[#This Row],[KEYTIER2]]="EXT"),"",IF(Database[[#This Row],[SECTION NAME]]="","",Database[[#This Row],[SECTION NAME]]))</f>
        <v>SECTION 092216 - NON-STRUCTURAL METAL FRAMING</v>
      </c>
    </row>
    <row r="48" spans="2:37" ht="30" x14ac:dyDescent="0.25">
      <c r="B48" s="55" t="s">
        <v>36</v>
      </c>
      <c r="C48" s="55">
        <v>9</v>
      </c>
      <c r="D48" s="55" t="s">
        <v>67</v>
      </c>
      <c r="E48" s="55">
        <v>92226</v>
      </c>
      <c r="F48" s="58" t="s">
        <v>8561</v>
      </c>
      <c r="G48" s="77" t="s">
        <v>8552</v>
      </c>
      <c r="H48" s="58" t="s">
        <v>8559</v>
      </c>
      <c r="I48" s="69"/>
      <c r="J48" s="57"/>
      <c r="K48" s="57" t="s">
        <v>38</v>
      </c>
      <c r="L48" s="57"/>
      <c r="M48" s="57"/>
      <c r="N48" s="59"/>
      <c r="O48" s="71"/>
      <c r="P48" s="56"/>
      <c r="Q48" s="56"/>
      <c r="R48" s="56"/>
      <c r="S48" s="56"/>
      <c r="T48" s="60"/>
      <c r="U48" s="74"/>
      <c r="V48" s="55"/>
      <c r="W48" s="55"/>
      <c r="X48" s="55"/>
      <c r="Y48" s="55"/>
      <c r="Z48" s="55"/>
      <c r="AA48" s="55"/>
      <c r="AB48" s="55"/>
      <c r="AC48" s="55">
        <f>IF(COUNTIF($C$3:C48,C48)=1,1,IF(COUNTIF($E$3:E48,E48)=1,2,0))</f>
        <v>2</v>
      </c>
      <c r="AD48" s="55" t="str">
        <f>IF(ISNUMBER(SEARCH("-",Database[[#This Row],[KEYNOTE '#]])),LEFT(Database[[#This Row],[KEYNOTE '#]],FIND("-",Database[[#This Row],[KEYNOTE '#]])-1),Database[[#This Row],[KEYNOTE '#]])</f>
        <v>GWB</v>
      </c>
      <c r="AE4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48" s="55" t="str">
        <f>IF(AND(ISNUMBER(SEARCH("-",Database[[#This Row],[KEYNOTE '#]]))=TRUE,ISNUMBER(--RIGHT(Database[[#This Row],[KEYNOTE '#]]))=FALSE),RIGHT(Database[[#This Row],[KEYNOTE '#]],1),"")</f>
        <v>A</v>
      </c>
      <c r="AG48" s="55">
        <v>46</v>
      </c>
      <c r="AH48" s="55" t="str">
        <f>IF(COUNTIF(Database[[#This Row],[BASE]:[INT. OTHER]],"g"),"INTERIOR",IF(COUNTIF(Database[[#This Row],[ROOF]:[EXT. OTHER]],"n"),"EXTERIOR",Database[[#This Row],[DIVISION '#]]))</f>
        <v>INTERIOR</v>
      </c>
      <c r="AI48" s="55" t="str">
        <f>IF(OR(Database[[#This Row],[KEYTIER1]]="INTERIOR",Database[[#This Row],[KEYTIER1]]="EXTERIOR"),"",Database[[#This Row],[DIVISION NAME]])</f>
        <v/>
      </c>
      <c r="AJ48" s="55" t="str">
        <f>IF(Database[[#This Row],[KEYTIER1]]="INTERIOR","INT",IF(Database[[#This Row],[KEYTIER1]]="EXTERIOR","EXT",Database[[#This Row],[SECTION '#]]))</f>
        <v>INT</v>
      </c>
      <c r="AK48" s="55" t="str">
        <f>IF(OR(Database[[#This Row],[KEYTIER2]]="INT",Database[[#This Row],[KEYTIER2]]="EXT"),"",IF(Database[[#This Row],[SECTION NAME]]="","",Database[[#This Row],[SECTION NAME]]))</f>
        <v/>
      </c>
    </row>
    <row r="49" spans="2:37" ht="30" x14ac:dyDescent="0.25">
      <c r="B49" s="55" t="s">
        <v>36</v>
      </c>
      <c r="C49" s="55">
        <v>9</v>
      </c>
      <c r="D49" s="55" t="s">
        <v>67</v>
      </c>
      <c r="E49" s="55">
        <v>92226</v>
      </c>
      <c r="F49" s="58" t="s">
        <v>8561</v>
      </c>
      <c r="G49" s="77" t="s">
        <v>8562</v>
      </c>
      <c r="H49" s="58" t="s">
        <v>8560</v>
      </c>
      <c r="I49" s="69"/>
      <c r="J49" s="57"/>
      <c r="K49" s="57" t="s">
        <v>38</v>
      </c>
      <c r="L49" s="57"/>
      <c r="M49" s="57"/>
      <c r="N49" s="59"/>
      <c r="O49" s="71"/>
      <c r="P49" s="56"/>
      <c r="Q49" s="56"/>
      <c r="R49" s="56"/>
      <c r="S49" s="56"/>
      <c r="T49" s="60"/>
      <c r="U49" s="74"/>
      <c r="V49" s="55"/>
      <c r="W49" s="55"/>
      <c r="X49" s="55"/>
      <c r="Y49" s="55"/>
      <c r="Z49" s="55"/>
      <c r="AA49" s="55"/>
      <c r="AB49" s="55"/>
      <c r="AC49" s="55">
        <f>IF(COUNTIF($C$3:C49,C49)=1,1,IF(COUNTIF($E$3:E49,E49)=1,2,0))</f>
        <v>0</v>
      </c>
      <c r="AD49" s="55" t="str">
        <f>IF(ISNUMBER(SEARCH("-",Database[[#This Row],[KEYNOTE '#]])),LEFT(Database[[#This Row],[KEYNOTE '#]],FIND("-",Database[[#This Row],[KEYNOTE '#]])-1),Database[[#This Row],[KEYNOTE '#]])</f>
        <v>GWB</v>
      </c>
      <c r="AE4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49" s="55" t="str">
        <f>IF(AND(ISNUMBER(SEARCH("-",Database[[#This Row],[KEYNOTE '#]]))=TRUE,ISNUMBER(--RIGHT(Database[[#This Row],[KEYNOTE '#]]))=FALSE),RIGHT(Database[[#This Row],[KEYNOTE '#]],1),"")</f>
        <v>B</v>
      </c>
      <c r="AG49" s="55">
        <v>47</v>
      </c>
      <c r="AH49" s="55" t="str">
        <f>IF(COUNTIF(Database[[#This Row],[BASE]:[INT. OTHER]],"g"),"INTERIOR",IF(COUNTIF(Database[[#This Row],[ROOF]:[EXT. OTHER]],"n"),"EXTERIOR",Database[[#This Row],[DIVISION '#]]))</f>
        <v>INTERIOR</v>
      </c>
      <c r="AI49" s="55" t="str">
        <f>IF(OR(Database[[#This Row],[KEYTIER1]]="INTERIOR",Database[[#This Row],[KEYTIER1]]="EXTERIOR"),"",Database[[#This Row],[DIVISION NAME]])</f>
        <v/>
      </c>
      <c r="AJ49" s="55" t="str">
        <f>IF(Database[[#This Row],[KEYTIER1]]="INTERIOR","INT",IF(Database[[#This Row],[KEYTIER1]]="EXTERIOR","EXT",Database[[#This Row],[SECTION '#]]))</f>
        <v>INT</v>
      </c>
      <c r="AK49" s="55" t="str">
        <f>IF(OR(Database[[#This Row],[KEYTIER2]]="INT",Database[[#This Row],[KEYTIER2]]="EXT"),"",IF(Database[[#This Row],[SECTION NAME]]="","",Database[[#This Row],[SECTION NAME]]))</f>
        <v/>
      </c>
    </row>
    <row r="50" spans="2:37" ht="30" x14ac:dyDescent="0.25">
      <c r="B50" s="55" t="s">
        <v>36</v>
      </c>
      <c r="C50" s="55">
        <v>9</v>
      </c>
      <c r="D50" s="55" t="s">
        <v>67</v>
      </c>
      <c r="E50" s="55">
        <v>92400</v>
      </c>
      <c r="F50" s="58" t="s">
        <v>8379</v>
      </c>
      <c r="G50" s="77" t="s">
        <v>68</v>
      </c>
      <c r="H50" s="58" t="s">
        <v>8380</v>
      </c>
      <c r="I50" s="69"/>
      <c r="J50" s="57"/>
      <c r="K50" s="57"/>
      <c r="L50" s="57"/>
      <c r="M50" s="57"/>
      <c r="N50" s="59"/>
      <c r="O50" s="71"/>
      <c r="P50" s="56"/>
      <c r="Q50" s="56"/>
      <c r="R50" s="56" t="s">
        <v>40</v>
      </c>
      <c r="S50" s="56"/>
      <c r="T50" s="60"/>
      <c r="U50" s="74"/>
      <c r="V50" s="55"/>
      <c r="W50" s="55"/>
      <c r="X50" s="55"/>
      <c r="Y50" s="55"/>
      <c r="Z50" s="55"/>
      <c r="AA50" s="55"/>
      <c r="AB50" s="55"/>
      <c r="AC50" s="55">
        <f>IF(COUNTIF($C$3:C50,C50)=1,1,IF(COUNTIF($E$3:E50,E50)=1,2,0))</f>
        <v>2</v>
      </c>
      <c r="AD50" s="55" t="str">
        <f>IF(ISNUMBER(SEARCH("-",Database[[#This Row],[KEYNOTE '#]])),LEFT(Database[[#This Row],[KEYNOTE '#]],FIND("-",Database[[#This Row],[KEYNOTE '#]])-1),Database[[#This Row],[KEYNOTE '#]])</f>
        <v>STC</v>
      </c>
      <c r="AE5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50" s="55" t="str">
        <f>IF(AND(ISNUMBER(SEARCH("-",Database[[#This Row],[KEYNOTE '#]]))=TRUE,ISNUMBER(--RIGHT(Database[[#This Row],[KEYNOTE '#]]))=FALSE),RIGHT(Database[[#This Row],[KEYNOTE '#]],1),"")</f>
        <v/>
      </c>
      <c r="AG50" s="55">
        <v>48</v>
      </c>
      <c r="AH50" s="55" t="str">
        <f>IF(COUNTIF(Database[[#This Row],[BASE]:[INT. OTHER]],"g"),"INTERIOR",IF(COUNTIF(Database[[#This Row],[ROOF]:[EXT. OTHER]],"n"),"EXTERIOR",Database[[#This Row],[DIVISION '#]]))</f>
        <v>EXTERIOR</v>
      </c>
      <c r="AI50" s="55" t="str">
        <f>IF(OR(Database[[#This Row],[KEYTIER1]]="INTERIOR",Database[[#This Row],[KEYTIER1]]="EXTERIOR"),"",Database[[#This Row],[DIVISION NAME]])</f>
        <v/>
      </c>
      <c r="AJ50" s="55" t="str">
        <f>IF(Database[[#This Row],[KEYTIER1]]="INTERIOR","INT",IF(Database[[#This Row],[KEYTIER1]]="EXTERIOR","EXT",Database[[#This Row],[SECTION '#]]))</f>
        <v>EXT</v>
      </c>
      <c r="AK50" s="55" t="str">
        <f>IF(OR(Database[[#This Row],[KEYTIER2]]="INT",Database[[#This Row],[KEYTIER2]]="EXT"),"",IF(Database[[#This Row],[SECTION NAME]]="","",Database[[#This Row],[SECTION NAME]]))</f>
        <v/>
      </c>
    </row>
    <row r="51" spans="2:37" ht="30" x14ac:dyDescent="0.25">
      <c r="B51" s="55" t="s">
        <v>36</v>
      </c>
      <c r="C51" s="55">
        <v>9</v>
      </c>
      <c r="D51" s="55" t="s">
        <v>67</v>
      </c>
      <c r="E51" s="55">
        <v>92400</v>
      </c>
      <c r="F51" s="58" t="s">
        <v>8590</v>
      </c>
      <c r="G51" s="77" t="s">
        <v>8583</v>
      </c>
      <c r="H51" s="58" t="s">
        <v>8584</v>
      </c>
      <c r="I51" s="69"/>
      <c r="J51" s="57"/>
      <c r="K51" s="57" t="s">
        <v>38</v>
      </c>
      <c r="L51" s="57"/>
      <c r="M51" s="57"/>
      <c r="N51" s="59"/>
      <c r="O51" s="71"/>
      <c r="P51" s="56"/>
      <c r="Q51" s="56"/>
      <c r="R51" s="56"/>
      <c r="S51" s="56"/>
      <c r="T51" s="60"/>
      <c r="U51" s="74"/>
      <c r="V51" s="55"/>
      <c r="W51" s="55"/>
      <c r="X51" s="55"/>
      <c r="Y51" s="55"/>
      <c r="Z51" s="55"/>
      <c r="AA51" s="55"/>
      <c r="AB51" s="55"/>
      <c r="AC51" s="55">
        <f>IF(COUNTIF($C$3:C51,C51)=1,1,IF(COUNTIF($E$3:E51,E51)=1,2,0))</f>
        <v>0</v>
      </c>
      <c r="AD51" s="55" t="str">
        <f>IF(ISNUMBER(SEARCH("-",Database[[#This Row],[KEYNOTE '#]])),LEFT(Database[[#This Row],[KEYNOTE '#]],FIND("-",Database[[#This Row],[KEYNOTE '#]])-1),Database[[#This Row],[KEYNOTE '#]])</f>
        <v>STO</v>
      </c>
      <c r="AE5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1" s="55" t="str">
        <f>IF(AND(ISNUMBER(SEARCH("-",Database[[#This Row],[KEYNOTE '#]]))=TRUE,ISNUMBER(--RIGHT(Database[[#This Row],[KEYNOTE '#]]))=FALSE),RIGHT(Database[[#This Row],[KEYNOTE '#]],1),"")</f>
        <v/>
      </c>
      <c r="AG51" s="55">
        <v>49</v>
      </c>
      <c r="AH51" s="55" t="str">
        <f>IF(COUNTIF(Database[[#This Row],[BASE]:[INT. OTHER]],"g"),"INTERIOR",IF(COUNTIF(Database[[#This Row],[ROOF]:[EXT. OTHER]],"n"),"EXTERIOR",Database[[#This Row],[DIVISION '#]]))</f>
        <v>INTERIOR</v>
      </c>
      <c r="AI51" s="55" t="str">
        <f>IF(OR(Database[[#This Row],[KEYTIER1]]="INTERIOR",Database[[#This Row],[KEYTIER1]]="EXTERIOR"),"",Database[[#This Row],[DIVISION NAME]])</f>
        <v/>
      </c>
      <c r="AJ51" s="55" t="str">
        <f>IF(Database[[#This Row],[KEYTIER1]]="INTERIOR","INT",IF(Database[[#This Row],[KEYTIER1]]="EXTERIOR","EXT",Database[[#This Row],[SECTION '#]]))</f>
        <v>INT</v>
      </c>
      <c r="AK51" s="55" t="str">
        <f>IF(OR(Database[[#This Row],[KEYTIER2]]="INT",Database[[#This Row],[KEYTIER2]]="EXT"),"",IF(Database[[#This Row],[SECTION NAME]]="","",Database[[#This Row],[SECTION NAME]]))</f>
        <v/>
      </c>
    </row>
    <row r="52" spans="2:37" ht="30" x14ac:dyDescent="0.25">
      <c r="B52" s="55" t="s">
        <v>36</v>
      </c>
      <c r="C52" s="55">
        <v>9</v>
      </c>
      <c r="D52" s="55" t="s">
        <v>67</v>
      </c>
      <c r="E52" s="55">
        <v>92900</v>
      </c>
      <c r="F52" s="58" t="s">
        <v>8588</v>
      </c>
      <c r="G52" s="77" t="s">
        <v>8569</v>
      </c>
      <c r="H52" s="58" t="s">
        <v>8571</v>
      </c>
      <c r="I52" s="69"/>
      <c r="J52" s="57"/>
      <c r="K52" s="57" t="s">
        <v>38</v>
      </c>
      <c r="L52" s="57"/>
      <c r="M52" s="57"/>
      <c r="N52" s="59"/>
      <c r="O52" s="71"/>
      <c r="P52" s="56"/>
      <c r="Q52" s="56"/>
      <c r="R52" s="56"/>
      <c r="S52" s="56"/>
      <c r="T52" s="60"/>
      <c r="U52" s="74"/>
      <c r="V52" s="55"/>
      <c r="W52" s="55"/>
      <c r="X52" s="55"/>
      <c r="Y52" s="55"/>
      <c r="Z52" s="55"/>
      <c r="AA52" s="55"/>
      <c r="AB52" s="55"/>
      <c r="AC52" s="55">
        <f>IF(COUNTIF($C$3:C52,C52)=1,1,IF(COUNTIF($E$3:E52,E52)=1,2,0))</f>
        <v>2</v>
      </c>
      <c r="AD52" s="55" t="str">
        <f>IF(ISNUMBER(SEARCH("-",Database[[#This Row],[KEYNOTE '#]])),LEFT(Database[[#This Row],[KEYNOTE '#]],FIND("-",Database[[#This Row],[KEYNOTE '#]])-1),Database[[#This Row],[KEYNOTE '#]])</f>
        <v>FRC</v>
      </c>
      <c r="AE5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2" s="55" t="str">
        <f>IF(AND(ISNUMBER(SEARCH("-",Database[[#This Row],[KEYNOTE '#]]))=TRUE,ISNUMBER(--RIGHT(Database[[#This Row],[KEYNOTE '#]]))=FALSE),RIGHT(Database[[#This Row],[KEYNOTE '#]],1),"")</f>
        <v/>
      </c>
      <c r="AG52" s="55">
        <v>50</v>
      </c>
      <c r="AH52" s="55" t="str">
        <f>IF(COUNTIF(Database[[#This Row],[BASE]:[INT. OTHER]],"g"),"INTERIOR",IF(COUNTIF(Database[[#This Row],[ROOF]:[EXT. OTHER]],"n"),"EXTERIOR",Database[[#This Row],[DIVISION '#]]))</f>
        <v>INTERIOR</v>
      </c>
      <c r="AI52" s="55" t="str">
        <f>IF(OR(Database[[#This Row],[KEYTIER1]]="INTERIOR",Database[[#This Row],[KEYTIER1]]="EXTERIOR"),"",Database[[#This Row],[DIVISION NAME]])</f>
        <v/>
      </c>
      <c r="AJ52" s="55" t="str">
        <f>IF(Database[[#This Row],[KEYTIER1]]="INTERIOR","INT",IF(Database[[#This Row],[KEYTIER1]]="EXTERIOR","EXT",Database[[#This Row],[SECTION '#]]))</f>
        <v>INT</v>
      </c>
      <c r="AK52" s="55" t="str">
        <f>IF(OR(Database[[#This Row],[KEYTIER2]]="INT",Database[[#This Row],[KEYTIER2]]="EXT"),"",IF(Database[[#This Row],[SECTION NAME]]="","",Database[[#This Row],[SECTION NAME]]))</f>
        <v/>
      </c>
    </row>
    <row r="53" spans="2:37" s="66" customFormat="1" ht="30" x14ac:dyDescent="0.25">
      <c r="B53" s="55" t="s">
        <v>36</v>
      </c>
      <c r="C53" s="55">
        <v>9</v>
      </c>
      <c r="D53" s="55" t="s">
        <v>67</v>
      </c>
      <c r="E53" s="55">
        <v>92900</v>
      </c>
      <c r="F53" s="58" t="s">
        <v>8588</v>
      </c>
      <c r="G53" s="77" t="s">
        <v>8570</v>
      </c>
      <c r="H53" s="58" t="s">
        <v>8572</v>
      </c>
      <c r="I53" s="69"/>
      <c r="J53" s="57"/>
      <c r="K53" s="57" t="s">
        <v>38</v>
      </c>
      <c r="L53" s="57"/>
      <c r="M53" s="57"/>
      <c r="N53" s="59"/>
      <c r="O53" s="71"/>
      <c r="P53" s="56"/>
      <c r="Q53" s="56"/>
      <c r="R53" s="56"/>
      <c r="S53" s="56"/>
      <c r="T53" s="60"/>
      <c r="U53" s="74"/>
      <c r="V53" s="55"/>
      <c r="W53" s="55"/>
      <c r="X53" s="55"/>
      <c r="Y53" s="55"/>
      <c r="Z53" s="55"/>
      <c r="AA53" s="55"/>
      <c r="AB53" s="55"/>
      <c r="AC53" s="55">
        <f>IF(COUNTIF($C$3:C53,C53)=1,1,IF(COUNTIF($E$3:E53,E53)=1,2,0))</f>
        <v>0</v>
      </c>
      <c r="AD53" s="55" t="str">
        <f>IF(ISNUMBER(SEARCH("-",Database[[#This Row],[KEYNOTE '#]])),LEFT(Database[[#This Row],[KEYNOTE '#]],FIND("-",Database[[#This Row],[KEYNOTE '#]])-1),Database[[#This Row],[KEYNOTE '#]])</f>
        <v>FRC</v>
      </c>
      <c r="AE5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53" s="55" t="str">
        <f>IF(AND(ISNUMBER(SEARCH("-",Database[[#This Row],[KEYNOTE '#]]))=TRUE,ISNUMBER(--RIGHT(Database[[#This Row],[KEYNOTE '#]]))=FALSE),RIGHT(Database[[#This Row],[KEYNOTE '#]],1),"")</f>
        <v/>
      </c>
      <c r="AG53" s="55">
        <v>51</v>
      </c>
      <c r="AH53" s="55" t="str">
        <f>IF(COUNTIF(Database[[#This Row],[BASE]:[INT. OTHER]],"g"),"INTERIOR",IF(COUNTIF(Database[[#This Row],[ROOF]:[EXT. OTHER]],"n"),"EXTERIOR",Database[[#This Row],[DIVISION '#]]))</f>
        <v>INTERIOR</v>
      </c>
      <c r="AI53" s="55" t="str">
        <f>IF(OR(Database[[#This Row],[KEYTIER1]]="INTERIOR",Database[[#This Row],[KEYTIER1]]="EXTERIOR"),"",Database[[#This Row],[DIVISION NAME]])</f>
        <v/>
      </c>
      <c r="AJ53" s="55" t="str">
        <f>IF(Database[[#This Row],[KEYTIER1]]="INTERIOR","INT",IF(Database[[#This Row],[KEYTIER1]]="EXTERIOR","EXT",Database[[#This Row],[SECTION '#]]))</f>
        <v>INT</v>
      </c>
      <c r="AK53" s="55" t="str">
        <f>IF(OR(Database[[#This Row],[KEYTIER2]]="INT",Database[[#This Row],[KEYTIER2]]="EXT"),"",IF(Database[[#This Row],[SECTION NAME]]="","",Database[[#This Row],[SECTION NAME]]))</f>
        <v/>
      </c>
    </row>
    <row r="54" spans="2:37" x14ac:dyDescent="0.25">
      <c r="B54" s="55" t="s">
        <v>36</v>
      </c>
      <c r="C54" s="55">
        <v>9</v>
      </c>
      <c r="D54" s="55" t="s">
        <v>67</v>
      </c>
      <c r="E54" s="55">
        <v>92900</v>
      </c>
      <c r="F54" s="58" t="s">
        <v>8381</v>
      </c>
      <c r="G54" s="77" t="s">
        <v>8382</v>
      </c>
      <c r="H54" s="58" t="s">
        <v>8383</v>
      </c>
      <c r="I54" s="69"/>
      <c r="J54" s="57"/>
      <c r="K54" s="57"/>
      <c r="L54" s="57"/>
      <c r="M54" s="57"/>
      <c r="N54" s="59"/>
      <c r="O54" s="71"/>
      <c r="P54" s="56"/>
      <c r="Q54" s="56"/>
      <c r="R54" s="56"/>
      <c r="S54" s="56"/>
      <c r="T54" s="60"/>
      <c r="U54" s="74"/>
      <c r="V54" s="55"/>
      <c r="W54" s="55"/>
      <c r="X54" s="55"/>
      <c r="Y54" s="55"/>
      <c r="Z54" s="55"/>
      <c r="AA54" s="55"/>
      <c r="AB54" s="55"/>
      <c r="AC54" s="55">
        <f>IF(COUNTIF($C$3:C54,C54)=1,1,IF(COUNTIF($E$3:E54,E54)=1,2,0))</f>
        <v>0</v>
      </c>
      <c r="AD54" s="55" t="str">
        <f>IF(ISNUMBER(SEARCH("-",Database[[#This Row],[KEYNOTE '#]])),LEFT(Database[[#This Row],[KEYNOTE '#]],FIND("-",Database[[#This Row],[KEYNOTE '#]])-1),Database[[#This Row],[KEYNOTE '#]])</f>
        <v>GWB</v>
      </c>
      <c r="AE5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4" s="55" t="str">
        <f>IF(AND(ISNUMBER(SEARCH("-",Database[[#This Row],[KEYNOTE '#]]))=TRUE,ISNUMBER(--RIGHT(Database[[#This Row],[KEYNOTE '#]]))=FALSE),RIGHT(Database[[#This Row],[KEYNOTE '#]],1),"")</f>
        <v/>
      </c>
      <c r="AG54" s="55">
        <v>52</v>
      </c>
      <c r="AH54" s="55">
        <f>IF(COUNTIF(Database[[#This Row],[BASE]:[INT. OTHER]],"g"),"INTERIOR",IF(COUNTIF(Database[[#This Row],[ROOF]:[EXT. OTHER]],"n"),"EXTERIOR",Database[[#This Row],[DIVISION '#]]))</f>
        <v>9</v>
      </c>
      <c r="AI54" s="55" t="str">
        <f>IF(OR(Database[[#This Row],[KEYTIER1]]="INTERIOR",Database[[#This Row],[KEYTIER1]]="EXTERIOR"),"",Database[[#This Row],[DIVISION NAME]])</f>
        <v>DIVISION 09 - FINISHES</v>
      </c>
      <c r="AJ54" s="55">
        <f>IF(Database[[#This Row],[KEYTIER1]]="INTERIOR","INT",IF(Database[[#This Row],[KEYTIER1]]="EXTERIOR","EXT",Database[[#This Row],[SECTION '#]]))</f>
        <v>92900</v>
      </c>
      <c r="AK54" s="55" t="str">
        <f>IF(OR(Database[[#This Row],[KEYTIER2]]="INT",Database[[#This Row],[KEYTIER2]]="EXT"),"",IF(Database[[#This Row],[SECTION NAME]]="","",Database[[#This Row],[SECTION NAME]]))</f>
        <v>SECTION 092900 - GYPSUM BOARD</v>
      </c>
    </row>
    <row r="55" spans="2:37" x14ac:dyDescent="0.25">
      <c r="B55" s="55" t="s">
        <v>36</v>
      </c>
      <c r="C55" s="55">
        <v>9</v>
      </c>
      <c r="D55" s="55" t="s">
        <v>67</v>
      </c>
      <c r="E55" s="55">
        <v>92900</v>
      </c>
      <c r="F55" s="58" t="s">
        <v>8381</v>
      </c>
      <c r="G55" s="77" t="s">
        <v>8384</v>
      </c>
      <c r="H55" s="58" t="s">
        <v>8385</v>
      </c>
      <c r="I55" s="69"/>
      <c r="J55" s="57"/>
      <c r="K55" s="57"/>
      <c r="L55" s="57"/>
      <c r="M55" s="57"/>
      <c r="N55" s="59"/>
      <c r="O55" s="71"/>
      <c r="P55" s="56"/>
      <c r="Q55" s="56"/>
      <c r="R55" s="56"/>
      <c r="S55" s="56"/>
      <c r="T55" s="60"/>
      <c r="U55" s="74"/>
      <c r="V55" s="55"/>
      <c r="W55" s="55"/>
      <c r="X55" s="55"/>
      <c r="Y55" s="55"/>
      <c r="Z55" s="55"/>
      <c r="AA55" s="55"/>
      <c r="AB55" s="55"/>
      <c r="AC55" s="55">
        <f>IF(COUNTIF($C$3:C55,C55)=1,1,IF(COUNTIF($E$3:E55,E55)=1,2,0))</f>
        <v>0</v>
      </c>
      <c r="AD55" s="55" t="str">
        <f>IF(ISNUMBER(SEARCH("-",Database[[#This Row],[KEYNOTE '#]])),LEFT(Database[[#This Row],[KEYNOTE '#]],FIND("-",Database[[#This Row],[KEYNOTE '#]])-1),Database[[#This Row],[KEYNOTE '#]])</f>
        <v>GWB</v>
      </c>
      <c r="AE5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55" s="55" t="str">
        <f>IF(AND(ISNUMBER(SEARCH("-",Database[[#This Row],[KEYNOTE '#]]))=TRUE,ISNUMBER(--RIGHT(Database[[#This Row],[KEYNOTE '#]]))=FALSE),RIGHT(Database[[#This Row],[KEYNOTE '#]],1),"")</f>
        <v/>
      </c>
      <c r="AG55" s="55">
        <v>53</v>
      </c>
      <c r="AH55" s="55">
        <f>IF(COUNTIF(Database[[#This Row],[BASE]:[INT. OTHER]],"g"),"INTERIOR",IF(COUNTIF(Database[[#This Row],[ROOF]:[EXT. OTHER]],"n"),"EXTERIOR",Database[[#This Row],[DIVISION '#]]))</f>
        <v>9</v>
      </c>
      <c r="AI55" s="55" t="str">
        <f>IF(OR(Database[[#This Row],[KEYTIER1]]="INTERIOR",Database[[#This Row],[KEYTIER1]]="EXTERIOR"),"",Database[[#This Row],[DIVISION NAME]])</f>
        <v>DIVISION 09 - FINISHES</v>
      </c>
      <c r="AJ55" s="55">
        <f>IF(Database[[#This Row],[KEYTIER1]]="INTERIOR","INT",IF(Database[[#This Row],[KEYTIER1]]="EXTERIOR","EXT",Database[[#This Row],[SECTION '#]]))</f>
        <v>92900</v>
      </c>
      <c r="AK55" s="55" t="str">
        <f>IF(OR(Database[[#This Row],[KEYTIER2]]="INT",Database[[#This Row],[KEYTIER2]]="EXT"),"",IF(Database[[#This Row],[SECTION NAME]]="","",Database[[#This Row],[SECTION NAME]]))</f>
        <v>SECTION 092900 - GYPSUM BOARD</v>
      </c>
    </row>
    <row r="56" spans="2:37" ht="30" x14ac:dyDescent="0.25">
      <c r="B56" s="55" t="s">
        <v>36</v>
      </c>
      <c r="C56" s="55">
        <v>9</v>
      </c>
      <c r="D56" s="55" t="s">
        <v>67</v>
      </c>
      <c r="E56" s="55">
        <v>93000</v>
      </c>
      <c r="F56" s="58" t="s">
        <v>8386</v>
      </c>
      <c r="G56" s="77" t="s">
        <v>8387</v>
      </c>
      <c r="H56" s="58" t="s">
        <v>8388</v>
      </c>
      <c r="I56" s="69"/>
      <c r="J56" s="57" t="s">
        <v>38</v>
      </c>
      <c r="K56" s="57"/>
      <c r="L56" s="57"/>
      <c r="M56" s="57"/>
      <c r="N56" s="59"/>
      <c r="O56" s="71"/>
      <c r="P56" s="56"/>
      <c r="Q56" s="56"/>
      <c r="R56" s="56"/>
      <c r="S56" s="56"/>
      <c r="T56" s="60"/>
      <c r="U56" s="74"/>
      <c r="V56" s="55"/>
      <c r="W56" s="55"/>
      <c r="X56" s="55"/>
      <c r="Y56" s="55"/>
      <c r="Z56" s="55"/>
      <c r="AA56" s="55"/>
      <c r="AB56" s="55"/>
      <c r="AC56" s="55">
        <f>IF(COUNTIF($C$3:C56,C56)=1,1,IF(COUNTIF($E$3:E56,E56)=1,2,0))</f>
        <v>2</v>
      </c>
      <c r="AD56" s="55" t="str">
        <f>IF(ISNUMBER(SEARCH("-",Database[[#This Row],[KEYNOTE '#]])),LEFT(Database[[#This Row],[KEYNOTE '#]],FIND("-",Database[[#This Row],[KEYNOTE '#]])-1),Database[[#This Row],[KEYNOTE '#]])</f>
        <v>TL</v>
      </c>
      <c r="AE5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6" s="55" t="str">
        <f>IF(AND(ISNUMBER(SEARCH("-",Database[[#This Row],[KEYNOTE '#]]))=TRUE,ISNUMBER(--RIGHT(Database[[#This Row],[KEYNOTE '#]]))=FALSE),RIGHT(Database[[#This Row],[KEYNOTE '#]],1),"")</f>
        <v/>
      </c>
      <c r="AG56" s="55">
        <v>54</v>
      </c>
      <c r="AH56" s="55" t="str">
        <f>IF(COUNTIF(Database[[#This Row],[BASE]:[INT. OTHER]],"g"),"INTERIOR",IF(COUNTIF(Database[[#This Row],[ROOF]:[EXT. OTHER]],"n"),"EXTERIOR",Database[[#This Row],[DIVISION '#]]))</f>
        <v>INTERIOR</v>
      </c>
      <c r="AI56" s="55" t="str">
        <f>IF(OR(Database[[#This Row],[KEYTIER1]]="INTERIOR",Database[[#This Row],[KEYTIER1]]="EXTERIOR"),"",Database[[#This Row],[DIVISION NAME]])</f>
        <v/>
      </c>
      <c r="AJ56" s="55" t="str">
        <f>IF(Database[[#This Row],[KEYTIER1]]="INTERIOR","INT",IF(Database[[#This Row],[KEYTIER1]]="EXTERIOR","EXT",Database[[#This Row],[SECTION '#]]))</f>
        <v>INT</v>
      </c>
      <c r="AK56" s="55" t="str">
        <f>IF(OR(Database[[#This Row],[KEYTIER2]]="INT",Database[[#This Row],[KEYTIER2]]="EXT"),"",IF(Database[[#This Row],[SECTION NAME]]="","",Database[[#This Row],[SECTION NAME]]))</f>
        <v/>
      </c>
    </row>
    <row r="57" spans="2:37" ht="30" x14ac:dyDescent="0.25">
      <c r="B57" s="55" t="s">
        <v>36</v>
      </c>
      <c r="C57" s="55">
        <v>9</v>
      </c>
      <c r="D57" s="55" t="s">
        <v>67</v>
      </c>
      <c r="E57" s="55">
        <v>93000</v>
      </c>
      <c r="F57" s="58" t="s">
        <v>8386</v>
      </c>
      <c r="G57" s="77" t="s">
        <v>8389</v>
      </c>
      <c r="H57" s="58" t="s">
        <v>8390</v>
      </c>
      <c r="I57" s="69"/>
      <c r="J57" s="57"/>
      <c r="K57" s="57"/>
      <c r="L57" s="57" t="s">
        <v>38</v>
      </c>
      <c r="M57" s="57"/>
      <c r="N57" s="59"/>
      <c r="O57" s="71"/>
      <c r="P57" s="56"/>
      <c r="Q57" s="56"/>
      <c r="R57" s="56"/>
      <c r="S57" s="56"/>
      <c r="T57" s="60"/>
      <c r="U57" s="74"/>
      <c r="V57" s="55"/>
      <c r="W57" s="55"/>
      <c r="X57" s="55"/>
      <c r="Y57" s="55"/>
      <c r="Z57" s="55"/>
      <c r="AA57" s="55"/>
      <c r="AB57" s="55"/>
      <c r="AC57" s="55">
        <f>IF(COUNTIF($C$3:C57,C57)=1,1,IF(COUNTIF($E$3:E57,E57)=1,2,0))</f>
        <v>0</v>
      </c>
      <c r="AD57" s="55" t="str">
        <f>IF(ISNUMBER(SEARCH("-",Database[[#This Row],[KEYNOTE '#]])),LEFT(Database[[#This Row],[KEYNOTE '#]],FIND("-",Database[[#This Row],[KEYNOTE '#]])-1),Database[[#This Row],[KEYNOTE '#]])</f>
        <v>TL</v>
      </c>
      <c r="AE5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57" s="55" t="str">
        <f>IF(AND(ISNUMBER(SEARCH("-",Database[[#This Row],[KEYNOTE '#]]))=TRUE,ISNUMBER(--RIGHT(Database[[#This Row],[KEYNOTE '#]]))=FALSE),RIGHT(Database[[#This Row],[KEYNOTE '#]],1),"")</f>
        <v/>
      </c>
      <c r="AG57" s="55">
        <v>55</v>
      </c>
      <c r="AH57" s="55" t="str">
        <f>IF(COUNTIF(Database[[#This Row],[BASE]:[INT. OTHER]],"g"),"INTERIOR",IF(COUNTIF(Database[[#This Row],[ROOF]:[EXT. OTHER]],"n"),"EXTERIOR",Database[[#This Row],[DIVISION '#]]))</f>
        <v>INTERIOR</v>
      </c>
      <c r="AI57" s="55" t="str">
        <f>IF(OR(Database[[#This Row],[KEYTIER1]]="INTERIOR",Database[[#This Row],[KEYTIER1]]="EXTERIOR"),"",Database[[#This Row],[DIVISION NAME]])</f>
        <v/>
      </c>
      <c r="AJ57" s="55" t="str">
        <f>IF(Database[[#This Row],[KEYTIER1]]="INTERIOR","INT",IF(Database[[#This Row],[KEYTIER1]]="EXTERIOR","EXT",Database[[#This Row],[SECTION '#]]))</f>
        <v>INT</v>
      </c>
      <c r="AK57" s="55" t="str">
        <f>IF(OR(Database[[#This Row],[KEYTIER2]]="INT",Database[[#This Row],[KEYTIER2]]="EXT"),"",IF(Database[[#This Row],[SECTION NAME]]="","",Database[[#This Row],[SECTION NAME]]))</f>
        <v/>
      </c>
    </row>
    <row r="58" spans="2:37" ht="30" x14ac:dyDescent="0.25">
      <c r="B58" s="55" t="s">
        <v>36</v>
      </c>
      <c r="C58" s="55">
        <v>9</v>
      </c>
      <c r="D58" s="55" t="s">
        <v>67</v>
      </c>
      <c r="E58" s="55">
        <v>95113</v>
      </c>
      <c r="F58" s="58" t="s">
        <v>8391</v>
      </c>
      <c r="G58" s="77" t="s">
        <v>8392</v>
      </c>
      <c r="H58" s="58" t="s">
        <v>8581</v>
      </c>
      <c r="I58" s="69"/>
      <c r="J58" s="57"/>
      <c r="K58" s="57" t="s">
        <v>38</v>
      </c>
      <c r="L58" s="57"/>
      <c r="M58" s="57"/>
      <c r="N58" s="59"/>
      <c r="O58" s="71"/>
      <c r="P58" s="56"/>
      <c r="Q58" s="56"/>
      <c r="R58" s="56"/>
      <c r="S58" s="56"/>
      <c r="T58" s="60"/>
      <c r="U58" s="74"/>
      <c r="V58" s="55"/>
      <c r="W58" s="55"/>
      <c r="X58" s="55"/>
      <c r="Y58" s="55"/>
      <c r="Z58" s="55"/>
      <c r="AA58" s="55"/>
      <c r="AB58" s="55"/>
      <c r="AC58" s="55">
        <f>IF(COUNTIF($C$3:C58,C58)=1,1,IF(COUNTIF($E$3:E58,E58)=1,2,0))</f>
        <v>2</v>
      </c>
      <c r="AD58" s="55" t="str">
        <f>IF(ISNUMBER(SEARCH("-",Database[[#This Row],[KEYNOTE '#]])),LEFT(Database[[#This Row],[KEYNOTE '#]],FIND("-",Database[[#This Row],[KEYNOTE '#]])-1),Database[[#This Row],[KEYNOTE '#]])</f>
        <v>ACP</v>
      </c>
      <c r="AE5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8" s="55" t="str">
        <f>IF(AND(ISNUMBER(SEARCH("-",Database[[#This Row],[KEYNOTE '#]]))=TRUE,ISNUMBER(--RIGHT(Database[[#This Row],[KEYNOTE '#]]))=FALSE),RIGHT(Database[[#This Row],[KEYNOTE '#]],1),"")</f>
        <v/>
      </c>
      <c r="AG58" s="55">
        <v>56</v>
      </c>
      <c r="AH58" s="55" t="str">
        <f>IF(COUNTIF(Database[[#This Row],[BASE]:[INT. OTHER]],"g"),"INTERIOR",IF(COUNTIF(Database[[#This Row],[ROOF]:[EXT. OTHER]],"n"),"EXTERIOR",Database[[#This Row],[DIVISION '#]]))</f>
        <v>INTERIOR</v>
      </c>
      <c r="AI58" s="55" t="str">
        <f>IF(OR(Database[[#This Row],[KEYTIER1]]="INTERIOR",Database[[#This Row],[KEYTIER1]]="EXTERIOR"),"",Database[[#This Row],[DIVISION NAME]])</f>
        <v/>
      </c>
      <c r="AJ58" s="55" t="str">
        <f>IF(Database[[#This Row],[KEYTIER1]]="INTERIOR","INT",IF(Database[[#This Row],[KEYTIER1]]="EXTERIOR","EXT",Database[[#This Row],[SECTION '#]]))</f>
        <v>INT</v>
      </c>
      <c r="AK58" s="55" t="str">
        <f>IF(OR(Database[[#This Row],[KEYTIER2]]="INT",Database[[#This Row],[KEYTIER2]]="EXT"),"",IF(Database[[#This Row],[SECTION NAME]]="","",Database[[#This Row],[SECTION NAME]]))</f>
        <v/>
      </c>
    </row>
    <row r="59" spans="2:37" ht="30" x14ac:dyDescent="0.25">
      <c r="B59" s="55" t="s">
        <v>36</v>
      </c>
      <c r="C59" s="55">
        <v>9</v>
      </c>
      <c r="D59" s="55" t="s">
        <v>67</v>
      </c>
      <c r="E59" s="55">
        <v>95123</v>
      </c>
      <c r="F59" s="58" t="s">
        <v>8393</v>
      </c>
      <c r="G59" s="77" t="s">
        <v>8394</v>
      </c>
      <c r="H59" s="58" t="s">
        <v>8395</v>
      </c>
      <c r="I59" s="69"/>
      <c r="J59" s="57"/>
      <c r="K59" s="57" t="s">
        <v>38</v>
      </c>
      <c r="L59" s="57"/>
      <c r="M59" s="57"/>
      <c r="N59" s="59"/>
      <c r="O59" s="71"/>
      <c r="P59" s="56"/>
      <c r="Q59" s="56"/>
      <c r="R59" s="56"/>
      <c r="S59" s="56"/>
      <c r="T59" s="60"/>
      <c r="U59" s="74"/>
      <c r="V59" s="55"/>
      <c r="W59" s="55"/>
      <c r="X59" s="55"/>
      <c r="Y59" s="55"/>
      <c r="Z59" s="55"/>
      <c r="AA59" s="55"/>
      <c r="AB59" s="55"/>
      <c r="AC59" s="55">
        <f>IF(COUNTIF($C$3:C59,C59)=1,1,IF(COUNTIF($E$3:E59,E59)=1,2,0))</f>
        <v>2</v>
      </c>
      <c r="AD59" s="55" t="str">
        <f>IF(ISNUMBER(SEARCH("-",Database[[#This Row],[KEYNOTE '#]])),LEFT(Database[[#This Row],[KEYNOTE '#]],FIND("-",Database[[#This Row],[KEYNOTE '#]])-1),Database[[#This Row],[KEYNOTE '#]])</f>
        <v>ACT</v>
      </c>
      <c r="AE5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59" s="55" t="str">
        <f>IF(AND(ISNUMBER(SEARCH("-",Database[[#This Row],[KEYNOTE '#]]))=TRUE,ISNUMBER(--RIGHT(Database[[#This Row],[KEYNOTE '#]]))=FALSE),RIGHT(Database[[#This Row],[KEYNOTE '#]],1),"")</f>
        <v/>
      </c>
      <c r="AG59" s="55">
        <v>57</v>
      </c>
      <c r="AH59" s="55" t="str">
        <f>IF(COUNTIF(Database[[#This Row],[BASE]:[INT. OTHER]],"g"),"INTERIOR",IF(COUNTIF(Database[[#This Row],[ROOF]:[EXT. OTHER]],"n"),"EXTERIOR",Database[[#This Row],[DIVISION '#]]))</f>
        <v>INTERIOR</v>
      </c>
      <c r="AI59" s="55" t="str">
        <f>IF(OR(Database[[#This Row],[KEYTIER1]]="INTERIOR",Database[[#This Row],[KEYTIER1]]="EXTERIOR"),"",Database[[#This Row],[DIVISION NAME]])</f>
        <v/>
      </c>
      <c r="AJ59" s="55" t="str">
        <f>IF(Database[[#This Row],[KEYTIER1]]="INTERIOR","INT",IF(Database[[#This Row],[KEYTIER1]]="EXTERIOR","EXT",Database[[#This Row],[SECTION '#]]))</f>
        <v>INT</v>
      </c>
      <c r="AK59" s="55" t="str">
        <f>IF(OR(Database[[#This Row],[KEYTIER2]]="INT",Database[[#This Row],[KEYTIER2]]="EXT"),"",IF(Database[[#This Row],[SECTION NAME]]="","",Database[[#This Row],[SECTION NAME]]))</f>
        <v/>
      </c>
    </row>
    <row r="60" spans="2:37" ht="30" x14ac:dyDescent="0.25">
      <c r="B60" s="55" t="s">
        <v>36</v>
      </c>
      <c r="C60" s="55">
        <v>9</v>
      </c>
      <c r="D60" s="55" t="s">
        <v>67</v>
      </c>
      <c r="E60" s="55">
        <v>95123</v>
      </c>
      <c r="F60" s="58" t="s">
        <v>8393</v>
      </c>
      <c r="G60" s="77" t="s">
        <v>8553</v>
      </c>
      <c r="H60" s="58" t="s">
        <v>8395</v>
      </c>
      <c r="I60" s="69"/>
      <c r="J60" s="57"/>
      <c r="K60" s="57" t="s">
        <v>38</v>
      </c>
      <c r="L60" s="57"/>
      <c r="M60" s="57"/>
      <c r="N60" s="59"/>
      <c r="O60" s="71"/>
      <c r="P60" s="56"/>
      <c r="Q60" s="56"/>
      <c r="R60" s="56"/>
      <c r="S60" s="56"/>
      <c r="T60" s="60"/>
      <c r="U60" s="74"/>
      <c r="V60" s="55"/>
      <c r="W60" s="55"/>
      <c r="X60" s="55"/>
      <c r="Y60" s="55"/>
      <c r="Z60" s="55"/>
      <c r="AA60" s="55"/>
      <c r="AB60" s="55"/>
      <c r="AC60" s="55">
        <f>IF(COUNTIF($C$3:C60,C60)=1,1,IF(COUNTIF($E$3:E60,E60)=1,2,0))</f>
        <v>0</v>
      </c>
      <c r="AD60" s="55" t="str">
        <f>IF(ISNUMBER(SEARCH("-",Database[[#This Row],[KEYNOTE '#]])),LEFT(Database[[#This Row],[KEYNOTE '#]],FIND("-",Database[[#This Row],[KEYNOTE '#]])-1),Database[[#This Row],[KEYNOTE '#]])</f>
        <v>ACT</v>
      </c>
      <c r="AE6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60" s="55" t="str">
        <f>IF(AND(ISNUMBER(SEARCH("-",Database[[#This Row],[KEYNOTE '#]]))=TRUE,ISNUMBER(--RIGHT(Database[[#This Row],[KEYNOTE '#]]))=FALSE),RIGHT(Database[[#This Row],[KEYNOTE '#]],1),"")</f>
        <v>A</v>
      </c>
      <c r="AG60" s="55">
        <v>58</v>
      </c>
      <c r="AH60" s="55" t="str">
        <f>IF(COUNTIF(Database[[#This Row],[BASE]:[INT. OTHER]],"g"),"INTERIOR",IF(COUNTIF(Database[[#This Row],[ROOF]:[EXT. OTHER]],"n"),"EXTERIOR",Database[[#This Row],[DIVISION '#]]))</f>
        <v>INTERIOR</v>
      </c>
      <c r="AI60" s="55" t="str">
        <f>IF(OR(Database[[#This Row],[KEYTIER1]]="INTERIOR",Database[[#This Row],[KEYTIER1]]="EXTERIOR"),"",Database[[#This Row],[DIVISION NAME]])</f>
        <v/>
      </c>
      <c r="AJ60" s="55" t="str">
        <f>IF(Database[[#This Row],[KEYTIER1]]="INTERIOR","INT",IF(Database[[#This Row],[KEYTIER1]]="EXTERIOR","EXT",Database[[#This Row],[SECTION '#]]))</f>
        <v>INT</v>
      </c>
      <c r="AK60" s="55" t="str">
        <f>IF(OR(Database[[#This Row],[KEYTIER2]]="INT",Database[[#This Row],[KEYTIER2]]="EXT"),"",IF(Database[[#This Row],[SECTION NAME]]="","",Database[[#This Row],[SECTION NAME]]))</f>
        <v/>
      </c>
    </row>
    <row r="61" spans="2:37" ht="30" x14ac:dyDescent="0.25">
      <c r="B61" s="55" t="s">
        <v>36</v>
      </c>
      <c r="C61" s="55">
        <v>9</v>
      </c>
      <c r="D61" s="55" t="s">
        <v>67</v>
      </c>
      <c r="E61" s="55">
        <v>95123</v>
      </c>
      <c r="F61" s="58" t="s">
        <v>8393</v>
      </c>
      <c r="G61" s="77" t="s">
        <v>8554</v>
      </c>
      <c r="H61" s="58" t="s">
        <v>8395</v>
      </c>
      <c r="I61" s="69"/>
      <c r="J61" s="57"/>
      <c r="K61" s="57" t="s">
        <v>38</v>
      </c>
      <c r="L61" s="57"/>
      <c r="M61" s="57"/>
      <c r="N61" s="59"/>
      <c r="O61" s="71"/>
      <c r="P61" s="56"/>
      <c r="Q61" s="56"/>
      <c r="R61" s="56"/>
      <c r="S61" s="56"/>
      <c r="T61" s="60"/>
      <c r="U61" s="74"/>
      <c r="V61" s="55"/>
      <c r="W61" s="55"/>
      <c r="X61" s="55"/>
      <c r="Y61" s="55"/>
      <c r="Z61" s="55"/>
      <c r="AA61" s="55"/>
      <c r="AB61" s="55"/>
      <c r="AC61" s="55">
        <f>IF(COUNTIF($C$3:C61,C61)=1,1,IF(COUNTIF($E$3:E61,E61)=1,2,0))</f>
        <v>0</v>
      </c>
      <c r="AD61" s="55" t="str">
        <f>IF(ISNUMBER(SEARCH("-",Database[[#This Row],[KEYNOTE '#]])),LEFT(Database[[#This Row],[KEYNOTE '#]],FIND("-",Database[[#This Row],[KEYNOTE '#]])-1),Database[[#This Row],[KEYNOTE '#]])</f>
        <v>ACT</v>
      </c>
      <c r="AE6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61" s="55" t="str">
        <f>IF(AND(ISNUMBER(SEARCH("-",Database[[#This Row],[KEYNOTE '#]]))=TRUE,ISNUMBER(--RIGHT(Database[[#This Row],[KEYNOTE '#]]))=FALSE),RIGHT(Database[[#This Row],[KEYNOTE '#]],1),"")</f>
        <v>B</v>
      </c>
      <c r="AG61" s="55">
        <v>59</v>
      </c>
      <c r="AH61" s="55" t="str">
        <f>IF(COUNTIF(Database[[#This Row],[BASE]:[INT. OTHER]],"g"),"INTERIOR",IF(COUNTIF(Database[[#This Row],[ROOF]:[EXT. OTHER]],"n"),"EXTERIOR",Database[[#This Row],[DIVISION '#]]))</f>
        <v>INTERIOR</v>
      </c>
      <c r="AI61" s="55" t="str">
        <f>IF(OR(Database[[#This Row],[KEYTIER1]]="INTERIOR",Database[[#This Row],[KEYTIER1]]="EXTERIOR"),"",Database[[#This Row],[DIVISION NAME]])</f>
        <v/>
      </c>
      <c r="AJ61" s="55" t="str">
        <f>IF(Database[[#This Row],[KEYTIER1]]="INTERIOR","INT",IF(Database[[#This Row],[KEYTIER1]]="EXTERIOR","EXT",Database[[#This Row],[SECTION '#]]))</f>
        <v>INT</v>
      </c>
      <c r="AK61" s="55" t="str">
        <f>IF(OR(Database[[#This Row],[KEYTIER2]]="INT",Database[[#This Row],[KEYTIER2]]="EXT"),"",IF(Database[[#This Row],[SECTION NAME]]="","",Database[[#This Row],[SECTION NAME]]))</f>
        <v/>
      </c>
    </row>
    <row r="62" spans="2:37" ht="30" x14ac:dyDescent="0.25">
      <c r="B62" s="55" t="s">
        <v>36</v>
      </c>
      <c r="C62" s="55">
        <v>9</v>
      </c>
      <c r="D62" s="55" t="s">
        <v>67</v>
      </c>
      <c r="E62" s="55">
        <v>95133</v>
      </c>
      <c r="F62" s="58" t="s">
        <v>8400</v>
      </c>
      <c r="G62" s="77" t="s">
        <v>8401</v>
      </c>
      <c r="H62" s="58" t="s">
        <v>8402</v>
      </c>
      <c r="I62" s="69"/>
      <c r="J62" s="57"/>
      <c r="K62" s="57" t="s">
        <v>38</v>
      </c>
      <c r="L62" s="57"/>
      <c r="M62" s="57"/>
      <c r="N62" s="59"/>
      <c r="O62" s="71"/>
      <c r="P62" s="56"/>
      <c r="Q62" s="56"/>
      <c r="R62" s="56"/>
      <c r="S62" s="56"/>
      <c r="T62" s="60"/>
      <c r="U62" s="74"/>
      <c r="V62" s="55"/>
      <c r="W62" s="55"/>
      <c r="X62" s="55"/>
      <c r="Y62" s="55"/>
      <c r="Z62" s="55"/>
      <c r="AA62" s="55"/>
      <c r="AB62" s="55"/>
      <c r="AC62" s="55">
        <f>IF(COUNTIF($C$3:C62,C62)=1,1,IF(COUNTIF($E$3:E62,E62)=1,2,0))</f>
        <v>2</v>
      </c>
      <c r="AD62" s="55" t="str">
        <f>IF(ISNUMBER(SEARCH("-",Database[[#This Row],[KEYNOTE '#]])),LEFT(Database[[#This Row],[KEYNOTE '#]],FIND("-",Database[[#This Row],[KEYNOTE '#]])-1),Database[[#This Row],[KEYNOTE '#]])</f>
        <v>MCP</v>
      </c>
      <c r="AE6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62" s="55" t="str">
        <f>IF(AND(ISNUMBER(SEARCH("-",Database[[#This Row],[KEYNOTE '#]]))=TRUE,ISNUMBER(--RIGHT(Database[[#This Row],[KEYNOTE '#]]))=FALSE),RIGHT(Database[[#This Row],[KEYNOTE '#]],1),"")</f>
        <v/>
      </c>
      <c r="AG62" s="55">
        <v>60</v>
      </c>
      <c r="AH62" s="55" t="str">
        <f>IF(COUNTIF(Database[[#This Row],[BASE]:[INT. OTHER]],"g"),"INTERIOR",IF(COUNTIF(Database[[#This Row],[ROOF]:[EXT. OTHER]],"n"),"EXTERIOR",Database[[#This Row],[DIVISION '#]]))</f>
        <v>INTERIOR</v>
      </c>
      <c r="AI62" s="55" t="str">
        <f>IF(OR(Database[[#This Row],[KEYTIER1]]="INTERIOR",Database[[#This Row],[KEYTIER1]]="EXTERIOR"),"",Database[[#This Row],[DIVISION NAME]])</f>
        <v/>
      </c>
      <c r="AJ62" s="55" t="str">
        <f>IF(Database[[#This Row],[KEYTIER1]]="INTERIOR","INT",IF(Database[[#This Row],[KEYTIER1]]="EXTERIOR","EXT",Database[[#This Row],[SECTION '#]]))</f>
        <v>INT</v>
      </c>
      <c r="AK62" s="55" t="str">
        <f>IF(OR(Database[[#This Row],[KEYTIER2]]="INT",Database[[#This Row],[KEYTIER2]]="EXT"),"",IF(Database[[#This Row],[SECTION NAME]]="","",Database[[#This Row],[SECTION NAME]]))</f>
        <v/>
      </c>
    </row>
    <row r="63" spans="2:37" ht="30" x14ac:dyDescent="0.25">
      <c r="B63" s="55" t="s">
        <v>36</v>
      </c>
      <c r="C63" s="55">
        <v>9</v>
      </c>
      <c r="D63" s="55" t="s">
        <v>67</v>
      </c>
      <c r="E63" s="55">
        <v>95133</v>
      </c>
      <c r="F63" s="58" t="s">
        <v>8400</v>
      </c>
      <c r="G63" s="77" t="s">
        <v>8574</v>
      </c>
      <c r="H63" s="58" t="s">
        <v>8402</v>
      </c>
      <c r="I63" s="69"/>
      <c r="J63" s="57"/>
      <c r="K63" s="57" t="s">
        <v>38</v>
      </c>
      <c r="L63" s="57"/>
      <c r="M63" s="57"/>
      <c r="N63" s="59"/>
      <c r="O63" s="71"/>
      <c r="P63" s="56"/>
      <c r="Q63" s="56"/>
      <c r="R63" s="56"/>
      <c r="S63" s="56"/>
      <c r="T63" s="60"/>
      <c r="U63" s="74"/>
      <c r="V63" s="55"/>
      <c r="W63" s="55"/>
      <c r="X63" s="55"/>
      <c r="Y63" s="55"/>
      <c r="Z63" s="55"/>
      <c r="AA63" s="55"/>
      <c r="AB63" s="55"/>
      <c r="AC63" s="55">
        <f>IF(COUNTIF($C$3:C63,C63)=1,1,IF(COUNTIF($E$3:E63,E63)=1,2,0))</f>
        <v>0</v>
      </c>
      <c r="AD63" s="55" t="str">
        <f>IF(ISNUMBER(SEARCH("-",Database[[#This Row],[KEYNOTE '#]])),LEFT(Database[[#This Row],[KEYNOTE '#]],FIND("-",Database[[#This Row],[KEYNOTE '#]])-1),Database[[#This Row],[KEYNOTE '#]])</f>
        <v>MCP</v>
      </c>
      <c r="AE6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63" s="55" t="str">
        <f>IF(AND(ISNUMBER(SEARCH("-",Database[[#This Row],[KEYNOTE '#]]))=TRUE,ISNUMBER(--RIGHT(Database[[#This Row],[KEYNOTE '#]]))=FALSE),RIGHT(Database[[#This Row],[KEYNOTE '#]],1),"")</f>
        <v>A</v>
      </c>
      <c r="AG63" s="55">
        <v>61</v>
      </c>
      <c r="AH63" s="55" t="str">
        <f>IF(COUNTIF(Database[[#This Row],[BASE]:[INT. OTHER]],"g"),"INTERIOR",IF(COUNTIF(Database[[#This Row],[ROOF]:[EXT. OTHER]],"n"),"EXTERIOR",Database[[#This Row],[DIVISION '#]]))</f>
        <v>INTERIOR</v>
      </c>
      <c r="AI63" s="55" t="str">
        <f>IF(OR(Database[[#This Row],[KEYTIER1]]="INTERIOR",Database[[#This Row],[KEYTIER1]]="EXTERIOR"),"",Database[[#This Row],[DIVISION NAME]])</f>
        <v/>
      </c>
      <c r="AJ63" s="55" t="str">
        <f>IF(Database[[#This Row],[KEYTIER1]]="INTERIOR","INT",IF(Database[[#This Row],[KEYTIER1]]="EXTERIOR","EXT",Database[[#This Row],[SECTION '#]]))</f>
        <v>INT</v>
      </c>
      <c r="AK63" s="55" t="str">
        <f>IF(OR(Database[[#This Row],[KEYTIER2]]="INT",Database[[#This Row],[KEYTIER2]]="EXT"),"",IF(Database[[#This Row],[SECTION NAME]]="","",Database[[#This Row],[SECTION NAME]]))</f>
        <v/>
      </c>
    </row>
    <row r="64" spans="2:37" ht="36" customHeight="1" x14ac:dyDescent="0.25">
      <c r="B64" s="55" t="s">
        <v>36</v>
      </c>
      <c r="C64" s="55">
        <v>9</v>
      </c>
      <c r="D64" s="55" t="s">
        <v>67</v>
      </c>
      <c r="E64" s="55">
        <v>95133</v>
      </c>
      <c r="F64" s="58" t="s">
        <v>8400</v>
      </c>
      <c r="G64" s="77" t="s">
        <v>8575</v>
      </c>
      <c r="H64" s="58" t="s">
        <v>8402</v>
      </c>
      <c r="I64" s="69"/>
      <c r="J64" s="57"/>
      <c r="K64" s="57" t="s">
        <v>38</v>
      </c>
      <c r="L64" s="57"/>
      <c r="M64" s="57"/>
      <c r="N64" s="59"/>
      <c r="O64" s="71"/>
      <c r="P64" s="56"/>
      <c r="Q64" s="56"/>
      <c r="R64" s="56"/>
      <c r="S64" s="56"/>
      <c r="T64" s="60"/>
      <c r="U64" s="74"/>
      <c r="V64" s="55"/>
      <c r="W64" s="55"/>
      <c r="X64" s="55"/>
      <c r="Y64" s="55"/>
      <c r="Z64" s="55"/>
      <c r="AA64" s="55"/>
      <c r="AB64" s="55"/>
      <c r="AC64" s="55">
        <f>IF(COUNTIF($C$3:C64,C64)=1,1,IF(COUNTIF($E$3:E64,E64)=1,2,0))</f>
        <v>0</v>
      </c>
      <c r="AD64" s="55" t="str">
        <f>IF(ISNUMBER(SEARCH("-",Database[[#This Row],[KEYNOTE '#]])),LEFT(Database[[#This Row],[KEYNOTE '#]],FIND("-",Database[[#This Row],[KEYNOTE '#]])-1),Database[[#This Row],[KEYNOTE '#]])</f>
        <v>MCP</v>
      </c>
      <c r="AE6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64" s="55" t="str">
        <f>IF(AND(ISNUMBER(SEARCH("-",Database[[#This Row],[KEYNOTE '#]]))=TRUE,ISNUMBER(--RIGHT(Database[[#This Row],[KEYNOTE '#]]))=FALSE),RIGHT(Database[[#This Row],[KEYNOTE '#]],1),"")</f>
        <v>B</v>
      </c>
      <c r="AG64" s="55">
        <v>62</v>
      </c>
      <c r="AH64" s="55" t="str">
        <f>IF(COUNTIF(Database[[#This Row],[BASE]:[INT. OTHER]],"g"),"INTERIOR",IF(COUNTIF(Database[[#This Row],[ROOF]:[EXT. OTHER]],"n"),"EXTERIOR",Database[[#This Row],[DIVISION '#]]))</f>
        <v>INTERIOR</v>
      </c>
      <c r="AI64" s="55" t="str">
        <f>IF(OR(Database[[#This Row],[KEYTIER1]]="INTERIOR",Database[[#This Row],[KEYTIER1]]="EXTERIOR"),"",Database[[#This Row],[DIVISION NAME]])</f>
        <v/>
      </c>
      <c r="AJ64" s="55" t="str">
        <f>IF(Database[[#This Row],[KEYTIER1]]="INTERIOR","INT",IF(Database[[#This Row],[KEYTIER1]]="EXTERIOR","EXT",Database[[#This Row],[SECTION '#]]))</f>
        <v>INT</v>
      </c>
      <c r="AK64" s="55" t="str">
        <f>IF(OR(Database[[#This Row],[KEYTIER2]]="INT",Database[[#This Row],[KEYTIER2]]="EXT"),"",IF(Database[[#This Row],[SECTION NAME]]="","",Database[[#This Row],[SECTION NAME]]))</f>
        <v/>
      </c>
    </row>
    <row r="65" spans="2:37" ht="40.9" customHeight="1" x14ac:dyDescent="0.25">
      <c r="B65" s="55" t="s">
        <v>36</v>
      </c>
      <c r="C65" s="55">
        <v>9</v>
      </c>
      <c r="D65" s="55" t="s">
        <v>67</v>
      </c>
      <c r="E65" s="55">
        <v>95133</v>
      </c>
      <c r="F65" s="58" t="s">
        <v>8400</v>
      </c>
      <c r="G65" s="77" t="s">
        <v>8403</v>
      </c>
      <c r="H65" s="58" t="s">
        <v>8592</v>
      </c>
      <c r="I65" s="69"/>
      <c r="J65" s="57"/>
      <c r="K65" s="57" t="s">
        <v>38</v>
      </c>
      <c r="L65" s="57"/>
      <c r="M65" s="57"/>
      <c r="N65" s="59"/>
      <c r="O65" s="71"/>
      <c r="P65" s="56"/>
      <c r="Q65" s="56"/>
      <c r="R65" s="56"/>
      <c r="S65" s="56"/>
      <c r="T65" s="60"/>
      <c r="U65" s="74"/>
      <c r="V65" s="55"/>
      <c r="W65" s="55"/>
      <c r="X65" s="55"/>
      <c r="Y65" s="55"/>
      <c r="Z65" s="55"/>
      <c r="AA65" s="55"/>
      <c r="AB65" s="55"/>
      <c r="AC65" s="55">
        <f>IF(COUNTIF($C$3:C65,C65)=1,1,IF(COUNTIF($E$3:E65,E65)=1,2,0))</f>
        <v>0</v>
      </c>
      <c r="AD65" s="55" t="str">
        <f>IF(ISNUMBER(SEARCH("-",Database[[#This Row],[KEYNOTE '#]])),LEFT(Database[[#This Row],[KEYNOTE '#]],FIND("-",Database[[#This Row],[KEYNOTE '#]])-1),Database[[#This Row],[KEYNOTE '#]])</f>
        <v>MCP</v>
      </c>
      <c r="AE6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65" s="55" t="str">
        <f>IF(AND(ISNUMBER(SEARCH("-",Database[[#This Row],[KEYNOTE '#]]))=TRUE,ISNUMBER(--RIGHT(Database[[#This Row],[KEYNOTE '#]]))=FALSE),RIGHT(Database[[#This Row],[KEYNOTE '#]],1),"")</f>
        <v/>
      </c>
      <c r="AG65" s="55">
        <v>63</v>
      </c>
      <c r="AH65" s="55" t="str">
        <f>IF(COUNTIF(Database[[#This Row],[BASE]:[INT. OTHER]],"g"),"INTERIOR",IF(COUNTIF(Database[[#This Row],[ROOF]:[EXT. OTHER]],"n"),"EXTERIOR",Database[[#This Row],[DIVISION '#]]))</f>
        <v>INTERIOR</v>
      </c>
      <c r="AI65" s="55" t="str">
        <f>IF(OR(Database[[#This Row],[KEYTIER1]]="INTERIOR",Database[[#This Row],[KEYTIER1]]="EXTERIOR"),"",Database[[#This Row],[DIVISION NAME]])</f>
        <v/>
      </c>
      <c r="AJ65" s="55" t="str">
        <f>IF(Database[[#This Row],[KEYTIER1]]="INTERIOR","INT",IF(Database[[#This Row],[KEYTIER1]]="EXTERIOR","EXT",Database[[#This Row],[SECTION '#]]))</f>
        <v>INT</v>
      </c>
      <c r="AK65" s="55" t="str">
        <f>IF(OR(Database[[#This Row],[KEYTIER2]]="INT",Database[[#This Row],[KEYTIER2]]="EXT"),"",IF(Database[[#This Row],[SECTION NAME]]="","",Database[[#This Row],[SECTION NAME]]))</f>
        <v/>
      </c>
    </row>
    <row r="66" spans="2:37" ht="37.9" customHeight="1" x14ac:dyDescent="0.25">
      <c r="B66" s="55" t="s">
        <v>36</v>
      </c>
      <c r="C66" s="55">
        <v>9</v>
      </c>
      <c r="D66" s="55" t="s">
        <v>67</v>
      </c>
      <c r="E66" s="55">
        <v>95133</v>
      </c>
      <c r="F66" s="58" t="s">
        <v>8400</v>
      </c>
      <c r="G66" s="77" t="s">
        <v>8576</v>
      </c>
      <c r="H66" s="58" t="s">
        <v>8592</v>
      </c>
      <c r="I66" s="69"/>
      <c r="J66" s="57"/>
      <c r="K66" s="57" t="s">
        <v>38</v>
      </c>
      <c r="L66" s="57"/>
      <c r="M66" s="57"/>
      <c r="N66" s="59"/>
      <c r="O66" s="71"/>
      <c r="P66" s="56"/>
      <c r="Q66" s="56"/>
      <c r="R66" s="56"/>
      <c r="S66" s="56"/>
      <c r="T66" s="60"/>
      <c r="U66" s="74"/>
      <c r="V66" s="55"/>
      <c r="W66" s="55"/>
      <c r="X66" s="55"/>
      <c r="Y66" s="55"/>
      <c r="Z66" s="55"/>
      <c r="AA66" s="55"/>
      <c r="AB66" s="55"/>
      <c r="AC66" s="55">
        <f>IF(COUNTIF($C$3:C66,C66)=1,1,IF(COUNTIF($E$3:E66,E66)=1,2,0))</f>
        <v>0</v>
      </c>
      <c r="AD66" s="55" t="str">
        <f>IF(ISNUMBER(SEARCH("-",Database[[#This Row],[KEYNOTE '#]])),LEFT(Database[[#This Row],[KEYNOTE '#]],FIND("-",Database[[#This Row],[KEYNOTE '#]])-1),Database[[#This Row],[KEYNOTE '#]])</f>
        <v>MCP</v>
      </c>
      <c r="AE6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66" s="55" t="str">
        <f>IF(AND(ISNUMBER(SEARCH("-",Database[[#This Row],[KEYNOTE '#]]))=TRUE,ISNUMBER(--RIGHT(Database[[#This Row],[KEYNOTE '#]]))=FALSE),RIGHT(Database[[#This Row],[KEYNOTE '#]],1),"")</f>
        <v>A</v>
      </c>
      <c r="AG66" s="55">
        <v>64</v>
      </c>
      <c r="AH66" s="55" t="str">
        <f>IF(COUNTIF(Database[[#This Row],[BASE]:[INT. OTHER]],"g"),"INTERIOR",IF(COUNTIF(Database[[#This Row],[ROOF]:[EXT. OTHER]],"n"),"EXTERIOR",Database[[#This Row],[DIVISION '#]]))</f>
        <v>INTERIOR</v>
      </c>
      <c r="AI66" s="55" t="str">
        <f>IF(OR(Database[[#This Row],[KEYTIER1]]="INTERIOR",Database[[#This Row],[KEYTIER1]]="EXTERIOR"),"",Database[[#This Row],[DIVISION NAME]])</f>
        <v/>
      </c>
      <c r="AJ66" s="55" t="str">
        <f>IF(Database[[#This Row],[KEYTIER1]]="INTERIOR","INT",IF(Database[[#This Row],[KEYTIER1]]="EXTERIOR","EXT",Database[[#This Row],[SECTION '#]]))</f>
        <v>INT</v>
      </c>
      <c r="AK66" s="55" t="str">
        <f>IF(OR(Database[[#This Row],[KEYTIER2]]="INT",Database[[#This Row],[KEYTIER2]]="EXT"),"",IF(Database[[#This Row],[SECTION NAME]]="","",Database[[#This Row],[SECTION NAME]]))</f>
        <v/>
      </c>
    </row>
    <row r="67" spans="2:37" ht="30" x14ac:dyDescent="0.25">
      <c r="B67" s="55" t="s">
        <v>36</v>
      </c>
      <c r="C67" s="55">
        <v>9</v>
      </c>
      <c r="D67" s="55" t="s">
        <v>67</v>
      </c>
      <c r="E67" s="55">
        <v>95133</v>
      </c>
      <c r="F67" s="58" t="s">
        <v>8400</v>
      </c>
      <c r="G67" s="77" t="s">
        <v>8577</v>
      </c>
      <c r="H67" s="58" t="s">
        <v>8592</v>
      </c>
      <c r="I67" s="69"/>
      <c r="J67" s="57"/>
      <c r="K67" s="57" t="s">
        <v>38</v>
      </c>
      <c r="L67" s="57"/>
      <c r="M67" s="57"/>
      <c r="N67" s="59"/>
      <c r="O67" s="71"/>
      <c r="P67" s="56"/>
      <c r="Q67" s="56"/>
      <c r="R67" s="56"/>
      <c r="S67" s="56"/>
      <c r="T67" s="60"/>
      <c r="U67" s="74"/>
      <c r="V67" s="55"/>
      <c r="W67" s="55"/>
      <c r="X67" s="55"/>
      <c r="Y67" s="55"/>
      <c r="Z67" s="55"/>
      <c r="AA67" s="55"/>
      <c r="AB67" s="55"/>
      <c r="AC67" s="55">
        <f>IF(COUNTIF($C$3:C67,C67)=1,1,IF(COUNTIF($E$3:E67,E67)=1,2,0))</f>
        <v>0</v>
      </c>
      <c r="AD67" s="55" t="str">
        <f>IF(ISNUMBER(SEARCH("-",Database[[#This Row],[KEYNOTE '#]])),LEFT(Database[[#This Row],[KEYNOTE '#]],FIND("-",Database[[#This Row],[KEYNOTE '#]])-1),Database[[#This Row],[KEYNOTE '#]])</f>
        <v>MCP</v>
      </c>
      <c r="AE6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67" s="55" t="str">
        <f>IF(AND(ISNUMBER(SEARCH("-",Database[[#This Row],[KEYNOTE '#]]))=TRUE,ISNUMBER(--RIGHT(Database[[#This Row],[KEYNOTE '#]]))=FALSE),RIGHT(Database[[#This Row],[KEYNOTE '#]],1),"")</f>
        <v>B</v>
      </c>
      <c r="AG67" s="55">
        <v>65</v>
      </c>
      <c r="AH67" s="55" t="str">
        <f>IF(COUNTIF(Database[[#This Row],[BASE]:[INT. OTHER]],"g"),"INTERIOR",IF(COUNTIF(Database[[#This Row],[ROOF]:[EXT. OTHER]],"n"),"EXTERIOR",Database[[#This Row],[DIVISION '#]]))</f>
        <v>INTERIOR</v>
      </c>
      <c r="AI67" s="55" t="str">
        <f>IF(OR(Database[[#This Row],[KEYTIER1]]="INTERIOR",Database[[#This Row],[KEYTIER1]]="EXTERIOR"),"",Database[[#This Row],[DIVISION NAME]])</f>
        <v/>
      </c>
      <c r="AJ67" s="55" t="str">
        <f>IF(Database[[#This Row],[KEYTIER1]]="INTERIOR","INT",IF(Database[[#This Row],[KEYTIER1]]="EXTERIOR","EXT",Database[[#This Row],[SECTION '#]]))</f>
        <v>INT</v>
      </c>
      <c r="AK67" s="55" t="str">
        <f>IF(OR(Database[[#This Row],[KEYTIER2]]="INT",Database[[#This Row],[KEYTIER2]]="EXT"),"",IF(Database[[#This Row],[SECTION NAME]]="","",Database[[#This Row],[SECTION NAME]]))</f>
        <v/>
      </c>
    </row>
    <row r="68" spans="2:37" ht="30" x14ac:dyDescent="0.25">
      <c r="B68" s="55" t="s">
        <v>36</v>
      </c>
      <c r="C68" s="55">
        <v>9</v>
      </c>
      <c r="D68" s="55" t="s">
        <v>67</v>
      </c>
      <c r="E68" s="55">
        <v>95423</v>
      </c>
      <c r="F68" s="58" t="s">
        <v>8595</v>
      </c>
      <c r="G68" s="77" t="s">
        <v>8578</v>
      </c>
      <c r="H68" s="58" t="s">
        <v>8593</v>
      </c>
      <c r="I68" s="69"/>
      <c r="J68" s="57"/>
      <c r="K68" s="57" t="s">
        <v>38</v>
      </c>
      <c r="L68" s="57"/>
      <c r="M68" s="57"/>
      <c r="N68" s="59"/>
      <c r="O68" s="71"/>
      <c r="P68" s="56"/>
      <c r="Q68" s="56"/>
      <c r="R68" s="56"/>
      <c r="S68" s="56"/>
      <c r="T68" s="60"/>
      <c r="U68" s="74"/>
      <c r="V68" s="55"/>
      <c r="W68" s="55"/>
      <c r="X68" s="55"/>
      <c r="Y68" s="55"/>
      <c r="Z68" s="55"/>
      <c r="AA68" s="55"/>
      <c r="AB68" s="55"/>
      <c r="AC68" s="55">
        <f>IF(COUNTIF($C$3:C68,C68)=1,1,IF(COUNTIF($E$3:E68,E68)=1,2,0))</f>
        <v>2</v>
      </c>
      <c r="AD68" s="55" t="str">
        <f>IF(ISNUMBER(SEARCH("-",Database[[#This Row],[KEYNOTE '#]])),LEFT(Database[[#This Row],[KEYNOTE '#]],FIND("-",Database[[#This Row],[KEYNOTE '#]])-1),Database[[#This Row],[KEYNOTE '#]])</f>
        <v>MCP</v>
      </c>
      <c r="AE6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3</v>
      </c>
      <c r="AF68" s="55" t="str">
        <f>IF(AND(ISNUMBER(SEARCH("-",Database[[#This Row],[KEYNOTE '#]]))=TRUE,ISNUMBER(--RIGHT(Database[[#This Row],[KEYNOTE '#]]))=FALSE),RIGHT(Database[[#This Row],[KEYNOTE '#]],1),"")</f>
        <v/>
      </c>
      <c r="AG68" s="55">
        <v>66</v>
      </c>
      <c r="AH68" s="55" t="str">
        <f>IF(COUNTIF(Database[[#This Row],[BASE]:[INT. OTHER]],"g"),"INTERIOR",IF(COUNTIF(Database[[#This Row],[ROOF]:[EXT. OTHER]],"n"),"EXTERIOR",Database[[#This Row],[DIVISION '#]]))</f>
        <v>INTERIOR</v>
      </c>
      <c r="AI68" s="55" t="str">
        <f>IF(OR(Database[[#This Row],[KEYTIER1]]="INTERIOR",Database[[#This Row],[KEYTIER1]]="EXTERIOR"),"",Database[[#This Row],[DIVISION NAME]])</f>
        <v/>
      </c>
      <c r="AJ68" s="55" t="str">
        <f>IF(Database[[#This Row],[KEYTIER1]]="INTERIOR","INT",IF(Database[[#This Row],[KEYTIER1]]="EXTERIOR","EXT",Database[[#This Row],[SECTION '#]]))</f>
        <v>INT</v>
      </c>
      <c r="AK68" s="55" t="str">
        <f>IF(OR(Database[[#This Row],[KEYTIER2]]="INT",Database[[#This Row],[KEYTIER2]]="EXT"),"",IF(Database[[#This Row],[SECTION NAME]]="","",Database[[#This Row],[SECTION NAME]]))</f>
        <v/>
      </c>
    </row>
    <row r="69" spans="2:37" ht="30" x14ac:dyDescent="0.25">
      <c r="B69" s="55" t="s">
        <v>36</v>
      </c>
      <c r="C69" s="55">
        <v>9</v>
      </c>
      <c r="D69" s="55" t="s">
        <v>67</v>
      </c>
      <c r="E69" s="55">
        <v>95423</v>
      </c>
      <c r="F69" s="58" t="s">
        <v>8595</v>
      </c>
      <c r="G69" s="77" t="s">
        <v>8579</v>
      </c>
      <c r="H69" s="58" t="s">
        <v>8593</v>
      </c>
      <c r="I69" s="69"/>
      <c r="J69" s="57"/>
      <c r="K69" s="57" t="s">
        <v>38</v>
      </c>
      <c r="L69" s="57"/>
      <c r="M69" s="57"/>
      <c r="N69" s="59"/>
      <c r="O69" s="71"/>
      <c r="P69" s="56"/>
      <c r="Q69" s="56"/>
      <c r="R69" s="56"/>
      <c r="S69" s="56"/>
      <c r="T69" s="60"/>
      <c r="U69" s="74"/>
      <c r="V69" s="55"/>
      <c r="W69" s="55"/>
      <c r="X69" s="55"/>
      <c r="Y69" s="55"/>
      <c r="Z69" s="55"/>
      <c r="AA69" s="55"/>
      <c r="AB69" s="55"/>
      <c r="AC69" s="55">
        <f>IF(COUNTIF($C$3:C69,C69)=1,1,IF(COUNTIF($E$3:E69,E69)=1,2,0))</f>
        <v>0</v>
      </c>
      <c r="AD69" s="55" t="str">
        <f>IF(ISNUMBER(SEARCH("-",Database[[#This Row],[KEYNOTE '#]])),LEFT(Database[[#This Row],[KEYNOTE '#]],FIND("-",Database[[#This Row],[KEYNOTE '#]])-1),Database[[#This Row],[KEYNOTE '#]])</f>
        <v>MCP</v>
      </c>
      <c r="AE6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3</v>
      </c>
      <c r="AF69" s="55" t="str">
        <f>IF(AND(ISNUMBER(SEARCH("-",Database[[#This Row],[KEYNOTE '#]]))=TRUE,ISNUMBER(--RIGHT(Database[[#This Row],[KEYNOTE '#]]))=FALSE),RIGHT(Database[[#This Row],[KEYNOTE '#]],1),"")</f>
        <v>A</v>
      </c>
      <c r="AG69" s="55">
        <v>67</v>
      </c>
      <c r="AH69" s="55" t="str">
        <f>IF(COUNTIF(Database[[#This Row],[BASE]:[INT. OTHER]],"g"),"INTERIOR",IF(COUNTIF(Database[[#This Row],[ROOF]:[EXT. OTHER]],"n"),"EXTERIOR",Database[[#This Row],[DIVISION '#]]))</f>
        <v>INTERIOR</v>
      </c>
      <c r="AI69" s="55" t="str">
        <f>IF(OR(Database[[#This Row],[KEYTIER1]]="INTERIOR",Database[[#This Row],[KEYTIER1]]="EXTERIOR"),"",Database[[#This Row],[DIVISION NAME]])</f>
        <v/>
      </c>
      <c r="AJ69" s="55" t="str">
        <f>IF(Database[[#This Row],[KEYTIER1]]="INTERIOR","INT",IF(Database[[#This Row],[KEYTIER1]]="EXTERIOR","EXT",Database[[#This Row],[SECTION '#]]))</f>
        <v>INT</v>
      </c>
      <c r="AK69" s="55" t="str">
        <f>IF(OR(Database[[#This Row],[KEYTIER2]]="INT",Database[[#This Row],[KEYTIER2]]="EXT"),"",IF(Database[[#This Row],[SECTION NAME]]="","",Database[[#This Row],[SECTION NAME]]))</f>
        <v/>
      </c>
    </row>
    <row r="70" spans="2:37" ht="30" x14ac:dyDescent="0.25">
      <c r="B70" s="55" t="s">
        <v>36</v>
      </c>
      <c r="C70" s="55">
        <v>9</v>
      </c>
      <c r="D70" s="55" t="s">
        <v>67</v>
      </c>
      <c r="E70" s="55">
        <v>95423</v>
      </c>
      <c r="F70" s="58" t="s">
        <v>8595</v>
      </c>
      <c r="G70" s="77" t="s">
        <v>8580</v>
      </c>
      <c r="H70" s="58" t="s">
        <v>8593</v>
      </c>
      <c r="I70" s="69"/>
      <c r="J70" s="57"/>
      <c r="K70" s="57" t="s">
        <v>38</v>
      </c>
      <c r="L70" s="57"/>
      <c r="M70" s="57"/>
      <c r="N70" s="59"/>
      <c r="O70" s="71"/>
      <c r="P70" s="56"/>
      <c r="Q70" s="56"/>
      <c r="R70" s="56"/>
      <c r="S70" s="56"/>
      <c r="T70" s="60"/>
      <c r="U70" s="74"/>
      <c r="V70" s="55"/>
      <c r="W70" s="55"/>
      <c r="X70" s="55"/>
      <c r="Y70" s="55"/>
      <c r="Z70" s="55"/>
      <c r="AA70" s="55"/>
      <c r="AB70" s="55"/>
      <c r="AC70" s="55">
        <f>IF(COUNTIF($C$3:C70,C70)=1,1,IF(COUNTIF($E$3:E70,E70)=1,2,0))</f>
        <v>0</v>
      </c>
      <c r="AD70" s="55" t="str">
        <f>IF(ISNUMBER(SEARCH("-",Database[[#This Row],[KEYNOTE '#]])),LEFT(Database[[#This Row],[KEYNOTE '#]],FIND("-",Database[[#This Row],[KEYNOTE '#]])-1),Database[[#This Row],[KEYNOTE '#]])</f>
        <v>MCP</v>
      </c>
      <c r="AE7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3</v>
      </c>
      <c r="AF70" s="55" t="str">
        <f>IF(AND(ISNUMBER(SEARCH("-",Database[[#This Row],[KEYNOTE '#]]))=TRUE,ISNUMBER(--RIGHT(Database[[#This Row],[KEYNOTE '#]]))=FALSE),RIGHT(Database[[#This Row],[KEYNOTE '#]],1),"")</f>
        <v>B</v>
      </c>
      <c r="AG70" s="55">
        <v>68</v>
      </c>
      <c r="AH70" s="55" t="str">
        <f>IF(COUNTIF(Database[[#This Row],[BASE]:[INT. OTHER]],"g"),"INTERIOR",IF(COUNTIF(Database[[#This Row],[ROOF]:[EXT. OTHER]],"n"),"EXTERIOR",Database[[#This Row],[DIVISION '#]]))</f>
        <v>INTERIOR</v>
      </c>
      <c r="AI70" s="55" t="str">
        <f>IF(OR(Database[[#This Row],[KEYTIER1]]="INTERIOR",Database[[#This Row],[KEYTIER1]]="EXTERIOR"),"",Database[[#This Row],[DIVISION NAME]])</f>
        <v/>
      </c>
      <c r="AJ70" s="55" t="str">
        <f>IF(Database[[#This Row],[KEYTIER1]]="INTERIOR","INT",IF(Database[[#This Row],[KEYTIER1]]="EXTERIOR","EXT",Database[[#This Row],[SECTION '#]]))</f>
        <v>INT</v>
      </c>
      <c r="AK70" s="55" t="str">
        <f>IF(OR(Database[[#This Row],[KEYTIER2]]="INT",Database[[#This Row],[KEYTIER2]]="EXT"),"",IF(Database[[#This Row],[SECTION NAME]]="","",Database[[#This Row],[SECTION NAME]]))</f>
        <v/>
      </c>
    </row>
    <row r="71" spans="2:37" ht="30" x14ac:dyDescent="0.25">
      <c r="B71" s="55" t="s">
        <v>36</v>
      </c>
      <c r="C71" s="55">
        <v>9</v>
      </c>
      <c r="D71" s="55" t="s">
        <v>67</v>
      </c>
      <c r="E71" s="55">
        <v>95426</v>
      </c>
      <c r="F71" s="58" t="s">
        <v>8591</v>
      </c>
      <c r="G71" s="77" t="s">
        <v>8396</v>
      </c>
      <c r="H71" s="58" t="s">
        <v>8399</v>
      </c>
      <c r="I71" s="69"/>
      <c r="J71" s="57"/>
      <c r="K71" s="57" t="s">
        <v>38</v>
      </c>
      <c r="L71" s="57"/>
      <c r="M71" s="57"/>
      <c r="N71" s="59"/>
      <c r="O71" s="71"/>
      <c r="P71" s="56"/>
      <c r="Q71" s="56"/>
      <c r="R71" s="56"/>
      <c r="S71" s="56"/>
      <c r="T71" s="60"/>
      <c r="U71" s="74"/>
      <c r="V71" s="55"/>
      <c r="W71" s="55"/>
      <c r="X71" s="55"/>
      <c r="Y71" s="55"/>
      <c r="Z71" s="55"/>
      <c r="AA71" s="55"/>
      <c r="AB71" s="55"/>
      <c r="AC71" s="55">
        <f>IF(COUNTIF($C$3:C71,C71)=1,1,IF(COUNTIF($E$3:E71,E71)=1,2,0))</f>
        <v>2</v>
      </c>
      <c r="AD71" s="55" t="str">
        <f>IF(ISNUMBER(SEARCH("-",Database[[#This Row],[KEYNOTE '#]])),LEFT(Database[[#This Row],[KEYNOTE '#]],FIND("-",Database[[#This Row],[KEYNOTE '#]])-1),Database[[#This Row],[KEYNOTE '#]])</f>
        <v>WCP</v>
      </c>
      <c r="AE7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71" s="55" t="str">
        <f>IF(AND(ISNUMBER(SEARCH("-",Database[[#This Row],[KEYNOTE '#]]))=TRUE,ISNUMBER(--RIGHT(Database[[#This Row],[KEYNOTE '#]]))=FALSE),RIGHT(Database[[#This Row],[KEYNOTE '#]],1),"")</f>
        <v/>
      </c>
      <c r="AG71" s="55">
        <v>69</v>
      </c>
      <c r="AH71" s="55" t="str">
        <f>IF(COUNTIF(Database[[#This Row],[BASE]:[INT. OTHER]],"g"),"INTERIOR",IF(COUNTIF(Database[[#This Row],[ROOF]:[EXT. OTHER]],"n"),"EXTERIOR",Database[[#This Row],[DIVISION '#]]))</f>
        <v>INTERIOR</v>
      </c>
      <c r="AI71" s="55" t="str">
        <f>IF(OR(Database[[#This Row],[KEYTIER1]]="INTERIOR",Database[[#This Row],[KEYTIER1]]="EXTERIOR"),"",Database[[#This Row],[DIVISION NAME]])</f>
        <v/>
      </c>
      <c r="AJ71" s="55" t="str">
        <f>IF(Database[[#This Row],[KEYTIER1]]="INTERIOR","INT",IF(Database[[#This Row],[KEYTIER1]]="EXTERIOR","EXT",Database[[#This Row],[SECTION '#]]))</f>
        <v>INT</v>
      </c>
      <c r="AK71" s="55" t="str">
        <f>IF(OR(Database[[#This Row],[KEYTIER2]]="INT",Database[[#This Row],[KEYTIER2]]="EXT"),"",IF(Database[[#This Row],[SECTION NAME]]="","",Database[[#This Row],[SECTION NAME]]))</f>
        <v/>
      </c>
    </row>
    <row r="72" spans="2:37" ht="30" x14ac:dyDescent="0.25">
      <c r="B72" s="55" t="s">
        <v>36</v>
      </c>
      <c r="C72" s="55">
        <v>9</v>
      </c>
      <c r="D72" s="55" t="s">
        <v>67</v>
      </c>
      <c r="E72" s="55">
        <v>95426</v>
      </c>
      <c r="F72" s="58" t="s">
        <v>8591</v>
      </c>
      <c r="G72" s="77" t="s">
        <v>8555</v>
      </c>
      <c r="H72" s="58" t="s">
        <v>8399</v>
      </c>
      <c r="I72" s="69"/>
      <c r="J72" s="57"/>
      <c r="K72" s="57" t="s">
        <v>38</v>
      </c>
      <c r="L72" s="57"/>
      <c r="M72" s="57"/>
      <c r="N72" s="59"/>
      <c r="O72" s="71"/>
      <c r="P72" s="56"/>
      <c r="Q72" s="56"/>
      <c r="R72" s="56"/>
      <c r="S72" s="56"/>
      <c r="T72" s="60"/>
      <c r="U72" s="74"/>
      <c r="V72" s="55"/>
      <c r="W72" s="55"/>
      <c r="X72" s="55"/>
      <c r="Y72" s="55"/>
      <c r="Z72" s="55"/>
      <c r="AA72" s="55"/>
      <c r="AB72" s="55"/>
      <c r="AC72" s="55">
        <f>IF(COUNTIF($C$3:C72,C72)=1,1,IF(COUNTIF($E$3:E72,E72)=1,2,0))</f>
        <v>0</v>
      </c>
      <c r="AD72" s="55" t="str">
        <f>IF(ISNUMBER(SEARCH("-",Database[[#This Row],[KEYNOTE '#]])),LEFT(Database[[#This Row],[KEYNOTE '#]],FIND("-",Database[[#This Row],[KEYNOTE '#]])-1),Database[[#This Row],[KEYNOTE '#]])</f>
        <v>WCP</v>
      </c>
      <c r="AE7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72" s="55" t="str">
        <f>IF(AND(ISNUMBER(SEARCH("-",Database[[#This Row],[KEYNOTE '#]]))=TRUE,ISNUMBER(--RIGHT(Database[[#This Row],[KEYNOTE '#]]))=FALSE),RIGHT(Database[[#This Row],[KEYNOTE '#]],1),"")</f>
        <v>A</v>
      </c>
      <c r="AG72" s="55">
        <v>70</v>
      </c>
      <c r="AH72" s="55" t="str">
        <f>IF(COUNTIF(Database[[#This Row],[BASE]:[INT. OTHER]],"g"),"INTERIOR",IF(COUNTIF(Database[[#This Row],[ROOF]:[EXT. OTHER]],"n"),"EXTERIOR",Database[[#This Row],[DIVISION '#]]))</f>
        <v>INTERIOR</v>
      </c>
      <c r="AI72" s="55" t="str">
        <f>IF(OR(Database[[#This Row],[KEYTIER1]]="INTERIOR",Database[[#This Row],[KEYTIER1]]="EXTERIOR"),"",Database[[#This Row],[DIVISION NAME]])</f>
        <v/>
      </c>
      <c r="AJ72" s="55" t="str">
        <f>IF(Database[[#This Row],[KEYTIER1]]="INTERIOR","INT",IF(Database[[#This Row],[KEYTIER1]]="EXTERIOR","EXT",Database[[#This Row],[SECTION '#]]))</f>
        <v>INT</v>
      </c>
      <c r="AK72" s="55" t="str">
        <f>IF(OR(Database[[#This Row],[KEYTIER2]]="INT",Database[[#This Row],[KEYTIER2]]="EXT"),"",IF(Database[[#This Row],[SECTION NAME]]="","",Database[[#This Row],[SECTION NAME]]))</f>
        <v/>
      </c>
    </row>
    <row r="73" spans="2:37" ht="30" x14ac:dyDescent="0.25">
      <c r="B73" s="55" t="s">
        <v>36</v>
      </c>
      <c r="C73" s="55">
        <v>9</v>
      </c>
      <c r="D73" s="55" t="s">
        <v>67</v>
      </c>
      <c r="E73" s="55">
        <v>95426</v>
      </c>
      <c r="F73" s="58" t="s">
        <v>8591</v>
      </c>
      <c r="G73" s="77" t="s">
        <v>8556</v>
      </c>
      <c r="H73" s="58" t="s">
        <v>8399</v>
      </c>
      <c r="I73" s="69"/>
      <c r="J73" s="57"/>
      <c r="K73" s="57" t="s">
        <v>38</v>
      </c>
      <c r="L73" s="57"/>
      <c r="M73" s="57"/>
      <c r="N73" s="59"/>
      <c r="O73" s="71"/>
      <c r="P73" s="56"/>
      <c r="Q73" s="56"/>
      <c r="R73" s="56"/>
      <c r="S73" s="56"/>
      <c r="T73" s="60"/>
      <c r="U73" s="74"/>
      <c r="V73" s="55"/>
      <c r="W73" s="55"/>
      <c r="X73" s="55"/>
      <c r="Y73" s="55"/>
      <c r="Z73" s="55"/>
      <c r="AA73" s="55"/>
      <c r="AB73" s="55"/>
      <c r="AC73" s="55">
        <f>IF(COUNTIF($C$3:C73,C73)=1,1,IF(COUNTIF($E$3:E73,E73)=1,2,0))</f>
        <v>0</v>
      </c>
      <c r="AD73" s="55" t="str">
        <f>IF(ISNUMBER(SEARCH("-",Database[[#This Row],[KEYNOTE '#]])),LEFT(Database[[#This Row],[KEYNOTE '#]],FIND("-",Database[[#This Row],[KEYNOTE '#]])-1),Database[[#This Row],[KEYNOTE '#]])</f>
        <v>WCP</v>
      </c>
      <c r="AE7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73" s="55" t="str">
        <f>IF(AND(ISNUMBER(SEARCH("-",Database[[#This Row],[KEYNOTE '#]]))=TRUE,ISNUMBER(--RIGHT(Database[[#This Row],[KEYNOTE '#]]))=FALSE),RIGHT(Database[[#This Row],[KEYNOTE '#]],1),"")</f>
        <v>B</v>
      </c>
      <c r="AG73" s="55">
        <v>71</v>
      </c>
      <c r="AH73" s="55" t="str">
        <f>IF(COUNTIF(Database[[#This Row],[BASE]:[INT. OTHER]],"g"),"INTERIOR",IF(COUNTIF(Database[[#This Row],[ROOF]:[EXT. OTHER]],"n"),"EXTERIOR",Database[[#This Row],[DIVISION '#]]))</f>
        <v>INTERIOR</v>
      </c>
      <c r="AI73" s="55" t="str">
        <f>IF(OR(Database[[#This Row],[KEYTIER1]]="INTERIOR",Database[[#This Row],[KEYTIER1]]="EXTERIOR"),"",Database[[#This Row],[DIVISION NAME]])</f>
        <v/>
      </c>
      <c r="AJ73" s="55" t="str">
        <f>IF(Database[[#This Row],[KEYTIER1]]="INTERIOR","INT",IF(Database[[#This Row],[KEYTIER1]]="EXTERIOR","EXT",Database[[#This Row],[SECTION '#]]))</f>
        <v>INT</v>
      </c>
      <c r="AK73" s="55" t="str">
        <f>IF(OR(Database[[#This Row],[KEYTIER2]]="INT",Database[[#This Row],[KEYTIER2]]="EXT"),"",IF(Database[[#This Row],[SECTION NAME]]="","",Database[[#This Row],[SECTION NAME]]))</f>
        <v/>
      </c>
    </row>
    <row r="74" spans="2:37" ht="30" x14ac:dyDescent="0.25">
      <c r="B74" s="55" t="s">
        <v>36</v>
      </c>
      <c r="C74" s="55">
        <v>9</v>
      </c>
      <c r="D74" s="55" t="s">
        <v>67</v>
      </c>
      <c r="E74" s="55">
        <v>95426</v>
      </c>
      <c r="F74" s="58" t="s">
        <v>8591</v>
      </c>
      <c r="G74" s="77" t="s">
        <v>8398</v>
      </c>
      <c r="H74" s="58" t="s">
        <v>8397</v>
      </c>
      <c r="I74" s="69"/>
      <c r="J74" s="57"/>
      <c r="K74" s="57" t="s">
        <v>38</v>
      </c>
      <c r="L74" s="57"/>
      <c r="M74" s="57"/>
      <c r="N74" s="59"/>
      <c r="O74" s="71"/>
      <c r="P74" s="56"/>
      <c r="Q74" s="56"/>
      <c r="R74" s="56"/>
      <c r="S74" s="56"/>
      <c r="T74" s="60"/>
      <c r="U74" s="74"/>
      <c r="V74" s="55"/>
      <c r="W74" s="55"/>
      <c r="X74" s="55"/>
      <c r="Y74" s="55"/>
      <c r="Z74" s="55"/>
      <c r="AA74" s="55"/>
      <c r="AB74" s="55"/>
      <c r="AC74" s="55">
        <f>IF(COUNTIF($C$3:C74,C74)=1,1,IF(COUNTIF($E$3:E74,E74)=1,2,0))</f>
        <v>0</v>
      </c>
      <c r="AD74" s="55" t="str">
        <f>IF(ISNUMBER(SEARCH("-",Database[[#This Row],[KEYNOTE '#]])),LEFT(Database[[#This Row],[KEYNOTE '#]],FIND("-",Database[[#This Row],[KEYNOTE '#]])-1),Database[[#This Row],[KEYNOTE '#]])</f>
        <v>WCP</v>
      </c>
      <c r="AE7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74" s="55" t="str">
        <f>IF(AND(ISNUMBER(SEARCH("-",Database[[#This Row],[KEYNOTE '#]]))=TRUE,ISNUMBER(--RIGHT(Database[[#This Row],[KEYNOTE '#]]))=FALSE),RIGHT(Database[[#This Row],[KEYNOTE '#]],1),"")</f>
        <v/>
      </c>
      <c r="AG74" s="55">
        <v>72</v>
      </c>
      <c r="AH74" s="55" t="str">
        <f>IF(COUNTIF(Database[[#This Row],[BASE]:[INT. OTHER]],"g"),"INTERIOR",IF(COUNTIF(Database[[#This Row],[ROOF]:[EXT. OTHER]],"n"),"EXTERIOR",Database[[#This Row],[DIVISION '#]]))</f>
        <v>INTERIOR</v>
      </c>
      <c r="AI74" s="55" t="str">
        <f>IF(OR(Database[[#This Row],[KEYTIER1]]="INTERIOR",Database[[#This Row],[KEYTIER1]]="EXTERIOR"),"",Database[[#This Row],[DIVISION NAME]])</f>
        <v/>
      </c>
      <c r="AJ74" s="55" t="str">
        <f>IF(Database[[#This Row],[KEYTIER1]]="INTERIOR","INT",IF(Database[[#This Row],[KEYTIER1]]="EXTERIOR","EXT",Database[[#This Row],[SECTION '#]]))</f>
        <v>INT</v>
      </c>
      <c r="AK74" s="55" t="str">
        <f>IF(OR(Database[[#This Row],[KEYTIER2]]="INT",Database[[#This Row],[KEYTIER2]]="EXT"),"",IF(Database[[#This Row],[SECTION NAME]]="","",Database[[#This Row],[SECTION NAME]]))</f>
        <v/>
      </c>
    </row>
    <row r="75" spans="2:37" ht="30" x14ac:dyDescent="0.25">
      <c r="B75" s="55" t="s">
        <v>36</v>
      </c>
      <c r="C75" s="55">
        <v>9</v>
      </c>
      <c r="D75" s="55" t="s">
        <v>67</v>
      </c>
      <c r="E75" s="55">
        <v>95426</v>
      </c>
      <c r="F75" s="58" t="s">
        <v>8591</v>
      </c>
      <c r="G75" s="77" t="s">
        <v>8557</v>
      </c>
      <c r="H75" s="58" t="s">
        <v>8397</v>
      </c>
      <c r="I75" s="69"/>
      <c r="J75" s="57"/>
      <c r="K75" s="57" t="s">
        <v>38</v>
      </c>
      <c r="L75" s="57"/>
      <c r="M75" s="57"/>
      <c r="N75" s="59"/>
      <c r="O75" s="71"/>
      <c r="P75" s="56"/>
      <c r="Q75" s="56"/>
      <c r="R75" s="56"/>
      <c r="S75" s="56"/>
      <c r="T75" s="60"/>
      <c r="U75" s="74"/>
      <c r="V75" s="55"/>
      <c r="W75" s="55"/>
      <c r="X75" s="55"/>
      <c r="Y75" s="55"/>
      <c r="Z75" s="55"/>
      <c r="AA75" s="55"/>
      <c r="AB75" s="55"/>
      <c r="AC75" s="55">
        <f>IF(COUNTIF($C$3:C75,C75)=1,1,IF(COUNTIF($E$3:E75,E75)=1,2,0))</f>
        <v>0</v>
      </c>
      <c r="AD75" s="55" t="str">
        <f>IF(ISNUMBER(SEARCH("-",Database[[#This Row],[KEYNOTE '#]])),LEFT(Database[[#This Row],[KEYNOTE '#]],FIND("-",Database[[#This Row],[KEYNOTE '#]])-1),Database[[#This Row],[KEYNOTE '#]])</f>
        <v>WCP</v>
      </c>
      <c r="AE7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75" s="55" t="str">
        <f>IF(AND(ISNUMBER(SEARCH("-",Database[[#This Row],[KEYNOTE '#]]))=TRUE,ISNUMBER(--RIGHT(Database[[#This Row],[KEYNOTE '#]]))=FALSE),RIGHT(Database[[#This Row],[KEYNOTE '#]],1),"")</f>
        <v>A</v>
      </c>
      <c r="AG75" s="55">
        <v>73</v>
      </c>
      <c r="AH75" s="55" t="str">
        <f>IF(COUNTIF(Database[[#This Row],[BASE]:[INT. OTHER]],"g"),"INTERIOR",IF(COUNTIF(Database[[#This Row],[ROOF]:[EXT. OTHER]],"n"),"EXTERIOR",Database[[#This Row],[DIVISION '#]]))</f>
        <v>INTERIOR</v>
      </c>
      <c r="AI75" s="55" t="str">
        <f>IF(OR(Database[[#This Row],[KEYTIER1]]="INTERIOR",Database[[#This Row],[KEYTIER1]]="EXTERIOR"),"",Database[[#This Row],[DIVISION NAME]])</f>
        <v/>
      </c>
      <c r="AJ75" s="55" t="str">
        <f>IF(Database[[#This Row],[KEYTIER1]]="INTERIOR","INT",IF(Database[[#This Row],[KEYTIER1]]="EXTERIOR","EXT",Database[[#This Row],[SECTION '#]]))</f>
        <v>INT</v>
      </c>
      <c r="AK75" s="55" t="str">
        <f>IF(OR(Database[[#This Row],[KEYTIER2]]="INT",Database[[#This Row],[KEYTIER2]]="EXT"),"",IF(Database[[#This Row],[SECTION NAME]]="","",Database[[#This Row],[SECTION NAME]]))</f>
        <v/>
      </c>
    </row>
    <row r="76" spans="2:37" ht="30" x14ac:dyDescent="0.25">
      <c r="B76" s="55" t="s">
        <v>36</v>
      </c>
      <c r="C76" s="55">
        <v>9</v>
      </c>
      <c r="D76" s="55" t="s">
        <v>67</v>
      </c>
      <c r="E76" s="55">
        <v>95426</v>
      </c>
      <c r="F76" s="58" t="s">
        <v>8591</v>
      </c>
      <c r="G76" s="77" t="s">
        <v>8558</v>
      </c>
      <c r="H76" s="58" t="s">
        <v>8397</v>
      </c>
      <c r="I76" s="69"/>
      <c r="J76" s="57"/>
      <c r="K76" s="57" t="s">
        <v>38</v>
      </c>
      <c r="L76" s="57"/>
      <c r="M76" s="57"/>
      <c r="N76" s="59"/>
      <c r="O76" s="71"/>
      <c r="P76" s="56"/>
      <c r="Q76" s="56"/>
      <c r="R76" s="56"/>
      <c r="S76" s="56"/>
      <c r="T76" s="60"/>
      <c r="U76" s="74"/>
      <c r="V76" s="55"/>
      <c r="W76" s="55"/>
      <c r="X76" s="55"/>
      <c r="Y76" s="55"/>
      <c r="Z76" s="55"/>
      <c r="AA76" s="55"/>
      <c r="AB76" s="55"/>
      <c r="AC76" s="55">
        <f>IF(COUNTIF($C$3:C76,C76)=1,1,IF(COUNTIF($E$3:E76,E76)=1,2,0))</f>
        <v>0</v>
      </c>
      <c r="AD76" s="55" t="str">
        <f>IF(ISNUMBER(SEARCH("-",Database[[#This Row],[KEYNOTE '#]])),LEFT(Database[[#This Row],[KEYNOTE '#]],FIND("-",Database[[#This Row],[KEYNOTE '#]])-1),Database[[#This Row],[KEYNOTE '#]])</f>
        <v>WCP</v>
      </c>
      <c r="AE7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76" s="55" t="str">
        <f>IF(AND(ISNUMBER(SEARCH("-",Database[[#This Row],[KEYNOTE '#]]))=TRUE,ISNUMBER(--RIGHT(Database[[#This Row],[KEYNOTE '#]]))=FALSE),RIGHT(Database[[#This Row],[KEYNOTE '#]],1),"")</f>
        <v>B</v>
      </c>
      <c r="AG76" s="55">
        <v>74</v>
      </c>
      <c r="AH76" s="55" t="str">
        <f>IF(COUNTIF(Database[[#This Row],[BASE]:[INT. OTHER]],"g"),"INTERIOR",IF(COUNTIF(Database[[#This Row],[ROOF]:[EXT. OTHER]],"n"),"EXTERIOR",Database[[#This Row],[DIVISION '#]]))</f>
        <v>INTERIOR</v>
      </c>
      <c r="AI76" s="55" t="str">
        <f>IF(OR(Database[[#This Row],[KEYTIER1]]="INTERIOR",Database[[#This Row],[KEYTIER1]]="EXTERIOR"),"",Database[[#This Row],[DIVISION NAME]])</f>
        <v/>
      </c>
      <c r="AJ76" s="55" t="str">
        <f>IF(Database[[#This Row],[KEYTIER1]]="INTERIOR","INT",IF(Database[[#This Row],[KEYTIER1]]="EXTERIOR","EXT",Database[[#This Row],[SECTION '#]]))</f>
        <v>INT</v>
      </c>
      <c r="AK76" s="55" t="str">
        <f>IF(OR(Database[[#This Row],[KEYTIER2]]="INT",Database[[#This Row],[KEYTIER2]]="EXT"),"",IF(Database[[#This Row],[SECTION NAME]]="","",Database[[#This Row],[SECTION NAME]]))</f>
        <v/>
      </c>
    </row>
    <row r="77" spans="2:37" ht="30" x14ac:dyDescent="0.25">
      <c r="B77" s="55" t="s">
        <v>36</v>
      </c>
      <c r="C77" s="55">
        <v>9</v>
      </c>
      <c r="D77" s="55" t="s">
        <v>67</v>
      </c>
      <c r="E77" s="55">
        <v>95436</v>
      </c>
      <c r="F77" s="58" t="s">
        <v>8594</v>
      </c>
      <c r="G77" s="77" t="s">
        <v>8585</v>
      </c>
      <c r="H77" s="58" t="s">
        <v>8568</v>
      </c>
      <c r="I77" s="69"/>
      <c r="J77" s="57"/>
      <c r="K77" s="57" t="s">
        <v>38</v>
      </c>
      <c r="L77" s="57"/>
      <c r="M77" s="57"/>
      <c r="N77" s="59"/>
      <c r="O77" s="71"/>
      <c r="P77" s="56"/>
      <c r="Q77" s="56"/>
      <c r="R77" s="56"/>
      <c r="S77" s="56"/>
      <c r="T77" s="60"/>
      <c r="U77" s="74"/>
      <c r="V77" s="55"/>
      <c r="W77" s="55"/>
      <c r="X77" s="55"/>
      <c r="Y77" s="55"/>
      <c r="Z77" s="55"/>
      <c r="AA77" s="55"/>
      <c r="AB77" s="55"/>
      <c r="AC77" s="55">
        <f>IF(COUNTIF($C$3:C77,C77)=1,1,IF(COUNTIF($E$3:E77,E77)=1,2,0))</f>
        <v>2</v>
      </c>
      <c r="AD77" s="55" t="str">
        <f>IF(ISNUMBER(SEARCH("-",Database[[#This Row],[KEYNOTE '#]])),LEFT(Database[[#This Row],[KEYNOTE '#]],FIND("-",Database[[#This Row],[KEYNOTE '#]])-1),Database[[#This Row],[KEYNOTE '#]])</f>
        <v>MCP</v>
      </c>
      <c r="AE7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4</v>
      </c>
      <c r="AF77" s="55" t="str">
        <f>IF(AND(ISNUMBER(SEARCH("-",Database[[#This Row],[KEYNOTE '#]]))=TRUE,ISNUMBER(--RIGHT(Database[[#This Row],[KEYNOTE '#]]))=FALSE),RIGHT(Database[[#This Row],[KEYNOTE '#]],1),"")</f>
        <v>A</v>
      </c>
      <c r="AG77" s="55">
        <v>75</v>
      </c>
      <c r="AH77" s="55" t="str">
        <f>IF(COUNTIF(Database[[#This Row],[BASE]:[INT. OTHER]],"g"),"INTERIOR",IF(COUNTIF(Database[[#This Row],[ROOF]:[EXT. OTHER]],"n"),"EXTERIOR",Database[[#This Row],[DIVISION '#]]))</f>
        <v>INTERIOR</v>
      </c>
      <c r="AI77" s="55" t="str">
        <f>IF(OR(Database[[#This Row],[KEYTIER1]]="INTERIOR",Database[[#This Row],[KEYTIER1]]="EXTERIOR"),"",Database[[#This Row],[DIVISION NAME]])</f>
        <v/>
      </c>
      <c r="AJ77" s="55" t="str">
        <f>IF(Database[[#This Row],[KEYTIER1]]="INTERIOR","INT",IF(Database[[#This Row],[KEYTIER1]]="EXTERIOR","EXT",Database[[#This Row],[SECTION '#]]))</f>
        <v>INT</v>
      </c>
      <c r="AK77" s="55" t="str">
        <f>IF(OR(Database[[#This Row],[KEYTIER2]]="INT",Database[[#This Row],[KEYTIER2]]="EXT"),"",IF(Database[[#This Row],[SECTION NAME]]="","",Database[[#This Row],[SECTION NAME]]))</f>
        <v/>
      </c>
    </row>
    <row r="78" spans="2:37" ht="30" x14ac:dyDescent="0.25">
      <c r="B78" s="55" t="s">
        <v>36</v>
      </c>
      <c r="C78" s="55">
        <v>9</v>
      </c>
      <c r="D78" s="55" t="s">
        <v>67</v>
      </c>
      <c r="E78" s="55">
        <v>95436</v>
      </c>
      <c r="F78" s="58" t="s">
        <v>8594</v>
      </c>
      <c r="G78" s="77" t="s">
        <v>8567</v>
      </c>
      <c r="H78" s="58" t="s">
        <v>8568</v>
      </c>
      <c r="I78" s="69"/>
      <c r="J78" s="57"/>
      <c r="K78" s="57" t="s">
        <v>38</v>
      </c>
      <c r="L78" s="57"/>
      <c r="M78" s="57"/>
      <c r="N78" s="59"/>
      <c r="O78" s="71"/>
      <c r="P78" s="56"/>
      <c r="Q78" s="56"/>
      <c r="R78" s="56"/>
      <c r="S78" s="56"/>
      <c r="T78" s="60"/>
      <c r="U78" s="74"/>
      <c r="V78" s="55"/>
      <c r="W78" s="55"/>
      <c r="X78" s="55"/>
      <c r="Y78" s="55"/>
      <c r="Z78" s="55"/>
      <c r="AA78" s="55"/>
      <c r="AB78" s="55"/>
      <c r="AC78" s="55">
        <f>IF(COUNTIF($C$3:C78,C78)=1,1,IF(COUNTIF($E$3:E78,E78)=1,2,0))</f>
        <v>0</v>
      </c>
      <c r="AD78" s="55" t="str">
        <f>IF(ISNUMBER(SEARCH("-",Database[[#This Row],[KEYNOTE '#]])),LEFT(Database[[#This Row],[KEYNOTE '#]],FIND("-",Database[[#This Row],[KEYNOTE '#]])-1),Database[[#This Row],[KEYNOTE '#]])</f>
        <v>MCP</v>
      </c>
      <c r="AE7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4</v>
      </c>
      <c r="AF78" s="55" t="str">
        <f>IF(AND(ISNUMBER(SEARCH("-",Database[[#This Row],[KEYNOTE '#]]))=TRUE,ISNUMBER(--RIGHT(Database[[#This Row],[KEYNOTE '#]]))=FALSE),RIGHT(Database[[#This Row],[KEYNOTE '#]],1),"")</f>
        <v>B</v>
      </c>
      <c r="AG78" s="55">
        <v>76</v>
      </c>
      <c r="AH78" s="55" t="str">
        <f>IF(COUNTIF(Database[[#This Row],[BASE]:[INT. OTHER]],"g"),"INTERIOR",IF(COUNTIF(Database[[#This Row],[ROOF]:[EXT. OTHER]],"n"),"EXTERIOR",Database[[#This Row],[DIVISION '#]]))</f>
        <v>INTERIOR</v>
      </c>
      <c r="AI78" s="55" t="str">
        <f>IF(OR(Database[[#This Row],[KEYTIER1]]="INTERIOR",Database[[#This Row],[KEYTIER1]]="EXTERIOR"),"",Database[[#This Row],[DIVISION NAME]])</f>
        <v/>
      </c>
      <c r="AJ78" s="55" t="str">
        <f>IF(Database[[#This Row],[KEYTIER1]]="INTERIOR","INT",IF(Database[[#This Row],[KEYTIER1]]="EXTERIOR","EXT",Database[[#This Row],[SECTION '#]]))</f>
        <v>INT</v>
      </c>
      <c r="AK78" s="55" t="str">
        <f>IF(OR(Database[[#This Row],[KEYTIER2]]="INT",Database[[#This Row],[KEYTIER2]]="EXT"),"",IF(Database[[#This Row],[SECTION NAME]]="","",Database[[#This Row],[SECTION NAME]]))</f>
        <v/>
      </c>
    </row>
    <row r="79" spans="2:37" ht="30" x14ac:dyDescent="0.25">
      <c r="B79" s="55" t="s">
        <v>36</v>
      </c>
      <c r="C79" s="55">
        <v>9</v>
      </c>
      <c r="D79" s="55" t="s">
        <v>67</v>
      </c>
      <c r="E79" s="55">
        <v>95446</v>
      </c>
      <c r="F79" s="58" t="s">
        <v>8582</v>
      </c>
      <c r="G79" s="77" t="s">
        <v>8563</v>
      </c>
      <c r="H79" s="58" t="s">
        <v>8564</v>
      </c>
      <c r="I79" s="69"/>
      <c r="J79" s="57"/>
      <c r="K79" s="57" t="s">
        <v>38</v>
      </c>
      <c r="L79" s="57"/>
      <c r="M79" s="57"/>
      <c r="N79" s="59"/>
      <c r="O79" s="71"/>
      <c r="P79" s="56"/>
      <c r="Q79" s="56"/>
      <c r="R79" s="56"/>
      <c r="S79" s="56"/>
      <c r="T79" s="60"/>
      <c r="U79" s="74"/>
      <c r="V79" s="55"/>
      <c r="W79" s="55"/>
      <c r="X79" s="55"/>
      <c r="Y79" s="55"/>
      <c r="Z79" s="55"/>
      <c r="AA79" s="55"/>
      <c r="AB79" s="55"/>
      <c r="AC79" s="55">
        <f>IF(COUNTIF($C$3:C79,C79)=1,1,IF(COUNTIF($E$3:E79,E79)=1,2,0))</f>
        <v>2</v>
      </c>
      <c r="AD79" s="55" t="str">
        <f>IF(ISNUMBER(SEARCH("-",Database[[#This Row],[KEYNOTE '#]])),LEFT(Database[[#This Row],[KEYNOTE '#]],FIND("-",Database[[#This Row],[KEYNOTE '#]])-1),Database[[#This Row],[KEYNOTE '#]])</f>
        <v>FCP</v>
      </c>
      <c r="AE7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79" s="55" t="str">
        <f>IF(AND(ISNUMBER(SEARCH("-",Database[[#This Row],[KEYNOTE '#]]))=TRUE,ISNUMBER(--RIGHT(Database[[#This Row],[KEYNOTE '#]]))=FALSE),RIGHT(Database[[#This Row],[KEYNOTE '#]],1),"")</f>
        <v/>
      </c>
      <c r="AG79" s="55">
        <v>77</v>
      </c>
      <c r="AH79" s="55" t="str">
        <f>IF(COUNTIF(Database[[#This Row],[BASE]:[INT. OTHER]],"g"),"INTERIOR",IF(COUNTIF(Database[[#This Row],[ROOF]:[EXT. OTHER]],"n"),"EXTERIOR",Database[[#This Row],[DIVISION '#]]))</f>
        <v>INTERIOR</v>
      </c>
      <c r="AI79" s="55" t="str">
        <f>IF(OR(Database[[#This Row],[KEYTIER1]]="INTERIOR",Database[[#This Row],[KEYTIER1]]="EXTERIOR"),"",Database[[#This Row],[DIVISION NAME]])</f>
        <v/>
      </c>
      <c r="AJ79" s="55" t="str">
        <f>IF(Database[[#This Row],[KEYTIER1]]="INTERIOR","INT",IF(Database[[#This Row],[KEYTIER1]]="EXTERIOR","EXT",Database[[#This Row],[SECTION '#]]))</f>
        <v>INT</v>
      </c>
      <c r="AK79" s="55" t="str">
        <f>IF(OR(Database[[#This Row],[KEYTIER2]]="INT",Database[[#This Row],[KEYTIER2]]="EXT"),"",IF(Database[[#This Row],[SECTION NAME]]="","",Database[[#This Row],[SECTION NAME]]))</f>
        <v/>
      </c>
    </row>
    <row r="80" spans="2:37" ht="30" x14ac:dyDescent="0.25">
      <c r="B80" s="55" t="s">
        <v>36</v>
      </c>
      <c r="C80" s="55">
        <v>9</v>
      </c>
      <c r="D80" s="55" t="s">
        <v>67</v>
      </c>
      <c r="E80" s="55">
        <v>96340</v>
      </c>
      <c r="F80" s="58" t="s">
        <v>8404</v>
      </c>
      <c r="G80" s="77" t="s">
        <v>8405</v>
      </c>
      <c r="H80" s="58" t="s">
        <v>8406</v>
      </c>
      <c r="I80" s="69"/>
      <c r="J80" s="57"/>
      <c r="K80" s="57"/>
      <c r="L80" s="57" t="s">
        <v>38</v>
      </c>
      <c r="M80" s="57"/>
      <c r="N80" s="59"/>
      <c r="O80" s="71"/>
      <c r="P80" s="56"/>
      <c r="Q80" s="56"/>
      <c r="R80" s="56"/>
      <c r="S80" s="56"/>
      <c r="T80" s="60"/>
      <c r="U80" s="74"/>
      <c r="V80" s="55"/>
      <c r="W80" s="55"/>
      <c r="X80" s="55"/>
      <c r="Y80" s="55"/>
      <c r="Z80" s="55"/>
      <c r="AA80" s="55"/>
      <c r="AB80" s="55"/>
      <c r="AC80" s="55">
        <f>IF(COUNTIF($C$3:C80,C80)=1,1,IF(COUNTIF($E$3:E80,E80)=1,2,0))</f>
        <v>2</v>
      </c>
      <c r="AD80" s="55" t="str">
        <f>IF(ISNUMBER(SEARCH("-",Database[[#This Row],[KEYNOTE '#]])),LEFT(Database[[#This Row],[KEYNOTE '#]],FIND("-",Database[[#This Row],[KEYNOTE '#]])-1),Database[[#This Row],[KEYNOTE '#]])</f>
        <v>STF</v>
      </c>
      <c r="AE8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0" s="55" t="str">
        <f>IF(AND(ISNUMBER(SEARCH("-",Database[[#This Row],[KEYNOTE '#]]))=TRUE,ISNUMBER(--RIGHT(Database[[#This Row],[KEYNOTE '#]]))=FALSE),RIGHT(Database[[#This Row],[KEYNOTE '#]],1),"")</f>
        <v/>
      </c>
      <c r="AG80" s="55">
        <v>78</v>
      </c>
      <c r="AH80" s="55" t="str">
        <f>IF(COUNTIF(Database[[#This Row],[BASE]:[INT. OTHER]],"g"),"INTERIOR",IF(COUNTIF(Database[[#This Row],[ROOF]:[EXT. OTHER]],"n"),"EXTERIOR",Database[[#This Row],[DIVISION '#]]))</f>
        <v>INTERIOR</v>
      </c>
      <c r="AI80" s="55" t="str">
        <f>IF(OR(Database[[#This Row],[KEYTIER1]]="INTERIOR",Database[[#This Row],[KEYTIER1]]="EXTERIOR"),"",Database[[#This Row],[DIVISION NAME]])</f>
        <v/>
      </c>
      <c r="AJ80" s="55" t="str">
        <f>IF(Database[[#This Row],[KEYTIER1]]="INTERIOR","INT",IF(Database[[#This Row],[KEYTIER1]]="EXTERIOR","EXT",Database[[#This Row],[SECTION '#]]))</f>
        <v>INT</v>
      </c>
      <c r="AK80" s="55" t="str">
        <f>IF(OR(Database[[#This Row],[KEYTIER2]]="INT",Database[[#This Row],[KEYTIER2]]="EXT"),"",IF(Database[[#This Row],[SECTION NAME]]="","",Database[[#This Row],[SECTION NAME]]))</f>
        <v/>
      </c>
    </row>
    <row r="81" spans="2:37" ht="30" x14ac:dyDescent="0.25">
      <c r="B81" s="55" t="s">
        <v>36</v>
      </c>
      <c r="C81" s="55">
        <v>9</v>
      </c>
      <c r="D81" s="55" t="s">
        <v>67</v>
      </c>
      <c r="E81" s="55">
        <v>96340</v>
      </c>
      <c r="F81" s="58" t="s">
        <v>8404</v>
      </c>
      <c r="G81" s="77" t="s">
        <v>8407</v>
      </c>
      <c r="H81" s="58" t="s">
        <v>8408</v>
      </c>
      <c r="I81" s="69"/>
      <c r="J81" s="57"/>
      <c r="K81" s="57"/>
      <c r="L81" s="57"/>
      <c r="M81" s="57"/>
      <c r="N81" s="59" t="s">
        <v>38</v>
      </c>
      <c r="O81" s="71"/>
      <c r="P81" s="56"/>
      <c r="Q81" s="56"/>
      <c r="R81" s="56"/>
      <c r="S81" s="56"/>
      <c r="T81" s="60"/>
      <c r="U81" s="74"/>
      <c r="V81" s="55"/>
      <c r="W81" s="55"/>
      <c r="X81" s="55"/>
      <c r="Y81" s="55"/>
      <c r="Z81" s="55"/>
      <c r="AA81" s="55"/>
      <c r="AB81" s="55"/>
      <c r="AC81" s="55">
        <f>IF(COUNTIF($C$3:C81,C81)=1,1,IF(COUNTIF($E$3:E81,E81)=1,2,0))</f>
        <v>0</v>
      </c>
      <c r="AD81" s="55" t="str">
        <f>IF(ISNUMBER(SEARCH("-",Database[[#This Row],[KEYNOTE '#]])),LEFT(Database[[#This Row],[KEYNOTE '#]],FIND("-",Database[[#This Row],[KEYNOTE '#]])-1),Database[[#This Row],[KEYNOTE '#]])</f>
        <v>STF</v>
      </c>
      <c r="AE8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81" s="55" t="str">
        <f>IF(AND(ISNUMBER(SEARCH("-",Database[[#This Row],[KEYNOTE '#]]))=TRUE,ISNUMBER(--RIGHT(Database[[#This Row],[KEYNOTE '#]]))=FALSE),RIGHT(Database[[#This Row],[KEYNOTE '#]],1),"")</f>
        <v/>
      </c>
      <c r="AG81" s="55">
        <v>79</v>
      </c>
      <c r="AH81" s="55" t="str">
        <f>IF(COUNTIF(Database[[#This Row],[BASE]:[INT. OTHER]],"g"),"INTERIOR",IF(COUNTIF(Database[[#This Row],[ROOF]:[EXT. OTHER]],"n"),"EXTERIOR",Database[[#This Row],[DIVISION '#]]))</f>
        <v>INTERIOR</v>
      </c>
      <c r="AI81" s="55" t="str">
        <f>IF(OR(Database[[#This Row],[KEYTIER1]]="INTERIOR",Database[[#This Row],[KEYTIER1]]="EXTERIOR"),"",Database[[#This Row],[DIVISION NAME]])</f>
        <v/>
      </c>
      <c r="AJ81" s="55" t="str">
        <f>IF(Database[[#This Row],[KEYTIER1]]="INTERIOR","INT",IF(Database[[#This Row],[KEYTIER1]]="EXTERIOR","EXT",Database[[#This Row],[SECTION '#]]))</f>
        <v>INT</v>
      </c>
      <c r="AK81" s="55" t="str">
        <f>IF(OR(Database[[#This Row],[KEYTIER2]]="INT",Database[[#This Row],[KEYTIER2]]="EXT"),"",IF(Database[[#This Row],[SECTION NAME]]="","",Database[[#This Row],[SECTION NAME]]))</f>
        <v/>
      </c>
    </row>
    <row r="82" spans="2:37" ht="30" x14ac:dyDescent="0.25">
      <c r="B82" s="55" t="s">
        <v>36</v>
      </c>
      <c r="C82" s="55">
        <v>9</v>
      </c>
      <c r="D82" s="55" t="s">
        <v>67</v>
      </c>
      <c r="E82" s="55">
        <v>96400</v>
      </c>
      <c r="F82" s="58" t="s">
        <v>8409</v>
      </c>
      <c r="G82" s="77" t="s">
        <v>8410</v>
      </c>
      <c r="H82" s="58" t="s">
        <v>8411</v>
      </c>
      <c r="I82" s="69"/>
      <c r="J82" s="57"/>
      <c r="K82" s="57"/>
      <c r="L82" s="57" t="s">
        <v>38</v>
      </c>
      <c r="M82" s="57"/>
      <c r="N82" s="59"/>
      <c r="O82" s="71"/>
      <c r="P82" s="56"/>
      <c r="Q82" s="56"/>
      <c r="R82" s="56"/>
      <c r="S82" s="56"/>
      <c r="T82" s="60"/>
      <c r="U82" s="74"/>
      <c r="V82" s="55"/>
      <c r="W82" s="55"/>
      <c r="X82" s="55"/>
      <c r="Y82" s="55"/>
      <c r="Z82" s="55"/>
      <c r="AA82" s="55"/>
      <c r="AB82" s="55"/>
      <c r="AC82" s="55">
        <f>IF(COUNTIF($C$3:C82,C82)=1,1,IF(COUNTIF($E$3:E82,E82)=1,2,0))</f>
        <v>2</v>
      </c>
      <c r="AD82" s="55" t="str">
        <f>IF(ISNUMBER(SEARCH("-",Database[[#This Row],[KEYNOTE '#]])),LEFT(Database[[#This Row],[KEYNOTE '#]],FIND("-",Database[[#This Row],[KEYNOTE '#]])-1),Database[[#This Row],[KEYNOTE '#]])</f>
        <v>WDF</v>
      </c>
      <c r="AE8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2" s="55" t="str">
        <f>IF(AND(ISNUMBER(SEARCH("-",Database[[#This Row],[KEYNOTE '#]]))=TRUE,ISNUMBER(--RIGHT(Database[[#This Row],[KEYNOTE '#]]))=FALSE),RIGHT(Database[[#This Row],[KEYNOTE '#]],1),"")</f>
        <v/>
      </c>
      <c r="AG82" s="55">
        <v>80</v>
      </c>
      <c r="AH82" s="55" t="str">
        <f>IF(COUNTIF(Database[[#This Row],[BASE]:[INT. OTHER]],"g"),"INTERIOR",IF(COUNTIF(Database[[#This Row],[ROOF]:[EXT. OTHER]],"n"),"EXTERIOR",Database[[#This Row],[DIVISION '#]]))</f>
        <v>INTERIOR</v>
      </c>
      <c r="AI82" s="55" t="str">
        <f>IF(OR(Database[[#This Row],[KEYTIER1]]="INTERIOR",Database[[#This Row],[KEYTIER1]]="EXTERIOR"),"",Database[[#This Row],[DIVISION NAME]])</f>
        <v/>
      </c>
      <c r="AJ82" s="55" t="str">
        <f>IF(Database[[#This Row],[KEYTIER1]]="INTERIOR","INT",IF(Database[[#This Row],[KEYTIER1]]="EXTERIOR","EXT",Database[[#This Row],[SECTION '#]]))</f>
        <v>INT</v>
      </c>
      <c r="AK82" s="55" t="str">
        <f>IF(OR(Database[[#This Row],[KEYTIER2]]="INT",Database[[#This Row],[KEYTIER2]]="EXT"),"",IF(Database[[#This Row],[SECTION NAME]]="","",Database[[#This Row],[SECTION NAME]]))</f>
        <v/>
      </c>
    </row>
    <row r="83" spans="2:37" ht="30" x14ac:dyDescent="0.25">
      <c r="B83" s="55" t="s">
        <v>36</v>
      </c>
      <c r="C83" s="55">
        <v>9</v>
      </c>
      <c r="D83" s="55" t="s">
        <v>67</v>
      </c>
      <c r="E83" s="55">
        <v>96400</v>
      </c>
      <c r="F83" s="58" t="s">
        <v>8409</v>
      </c>
      <c r="G83" s="77" t="s">
        <v>8412</v>
      </c>
      <c r="H83" s="58" t="s">
        <v>8413</v>
      </c>
      <c r="I83" s="69"/>
      <c r="J83" s="57"/>
      <c r="K83" s="57"/>
      <c r="L83" s="57" t="s">
        <v>38</v>
      </c>
      <c r="M83" s="57"/>
      <c r="N83" s="59"/>
      <c r="O83" s="71"/>
      <c r="P83" s="56"/>
      <c r="Q83" s="56"/>
      <c r="R83" s="56"/>
      <c r="S83" s="56"/>
      <c r="T83" s="60"/>
      <c r="U83" s="74"/>
      <c r="V83" s="55"/>
      <c r="W83" s="55"/>
      <c r="X83" s="55"/>
      <c r="Y83" s="55"/>
      <c r="Z83" s="55"/>
      <c r="AA83" s="55"/>
      <c r="AB83" s="55"/>
      <c r="AC83" s="55">
        <f>IF(COUNTIF($C$3:C83,C83)=1,1,IF(COUNTIF($E$3:E83,E83)=1,2,0))</f>
        <v>0</v>
      </c>
      <c r="AD83" s="55" t="str">
        <f>IF(ISNUMBER(SEARCH("-",Database[[#This Row],[KEYNOTE '#]])),LEFT(Database[[#This Row],[KEYNOTE '#]],FIND("-",Database[[#This Row],[KEYNOTE '#]])-1),Database[[#This Row],[KEYNOTE '#]])</f>
        <v>WDF</v>
      </c>
      <c r="AE8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83" s="55" t="str">
        <f>IF(AND(ISNUMBER(SEARCH("-",Database[[#This Row],[KEYNOTE '#]]))=TRUE,ISNUMBER(--RIGHT(Database[[#This Row],[KEYNOTE '#]]))=FALSE),RIGHT(Database[[#This Row],[KEYNOTE '#]],1),"")</f>
        <v/>
      </c>
      <c r="AG83" s="55">
        <v>81</v>
      </c>
      <c r="AH83" s="55" t="str">
        <f>IF(COUNTIF(Database[[#This Row],[BASE]:[INT. OTHER]],"g"),"INTERIOR",IF(COUNTIF(Database[[#This Row],[ROOF]:[EXT. OTHER]],"n"),"EXTERIOR",Database[[#This Row],[DIVISION '#]]))</f>
        <v>INTERIOR</v>
      </c>
      <c r="AI83" s="55" t="str">
        <f>IF(OR(Database[[#This Row],[KEYTIER1]]="INTERIOR",Database[[#This Row],[KEYTIER1]]="EXTERIOR"),"",Database[[#This Row],[DIVISION NAME]])</f>
        <v/>
      </c>
      <c r="AJ83" s="55" t="str">
        <f>IF(Database[[#This Row],[KEYTIER1]]="INTERIOR","INT",IF(Database[[#This Row],[KEYTIER1]]="EXTERIOR","EXT",Database[[#This Row],[SECTION '#]]))</f>
        <v>INT</v>
      </c>
      <c r="AK83" s="55" t="str">
        <f>IF(OR(Database[[#This Row],[KEYTIER2]]="INT",Database[[#This Row],[KEYTIER2]]="EXT"),"",IF(Database[[#This Row],[SECTION NAME]]="","",Database[[#This Row],[SECTION NAME]]))</f>
        <v/>
      </c>
    </row>
    <row r="84" spans="2:37" ht="30" x14ac:dyDescent="0.25">
      <c r="B84" s="55" t="s">
        <v>36</v>
      </c>
      <c r="C84" s="55">
        <v>9</v>
      </c>
      <c r="D84" s="55" t="s">
        <v>67</v>
      </c>
      <c r="E84" s="55">
        <v>96500</v>
      </c>
      <c r="F84" s="58" t="s">
        <v>8414</v>
      </c>
      <c r="G84" s="77" t="s">
        <v>8415</v>
      </c>
      <c r="H84" s="58" t="s">
        <v>8416</v>
      </c>
      <c r="I84" s="69"/>
      <c r="J84" s="57"/>
      <c r="K84" s="57"/>
      <c r="L84" s="57" t="s">
        <v>38</v>
      </c>
      <c r="M84" s="57"/>
      <c r="N84" s="59"/>
      <c r="O84" s="71"/>
      <c r="P84" s="56"/>
      <c r="Q84" s="56"/>
      <c r="R84" s="56"/>
      <c r="S84" s="56"/>
      <c r="T84" s="60"/>
      <c r="U84" s="74"/>
      <c r="V84" s="55"/>
      <c r="W84" s="55"/>
      <c r="X84" s="55"/>
      <c r="Y84" s="55"/>
      <c r="Z84" s="55"/>
      <c r="AA84" s="55"/>
      <c r="AB84" s="55"/>
      <c r="AC84" s="55">
        <f>IF(COUNTIF($C$3:C84,C84)=1,1,IF(COUNTIF($E$3:E84,E84)=1,2,0))</f>
        <v>2</v>
      </c>
      <c r="AD84" s="55" t="str">
        <f>IF(ISNUMBER(SEARCH("-",Database[[#This Row],[KEYNOTE '#]])),LEFT(Database[[#This Row],[KEYNOTE '#]],FIND("-",Database[[#This Row],[KEYNOTE '#]])-1),Database[[#This Row],[KEYNOTE '#]])</f>
        <v>RF</v>
      </c>
      <c r="AE8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4" s="55" t="str">
        <f>IF(AND(ISNUMBER(SEARCH("-",Database[[#This Row],[KEYNOTE '#]]))=TRUE,ISNUMBER(--RIGHT(Database[[#This Row],[KEYNOTE '#]]))=FALSE),RIGHT(Database[[#This Row],[KEYNOTE '#]],1),"")</f>
        <v/>
      </c>
      <c r="AG84" s="55">
        <v>82</v>
      </c>
      <c r="AH84" s="55" t="str">
        <f>IF(COUNTIF(Database[[#This Row],[BASE]:[INT. OTHER]],"g"),"INTERIOR",IF(COUNTIF(Database[[#This Row],[ROOF]:[EXT. OTHER]],"n"),"EXTERIOR",Database[[#This Row],[DIVISION '#]]))</f>
        <v>INTERIOR</v>
      </c>
      <c r="AI84" s="55" t="str">
        <f>IF(OR(Database[[#This Row],[KEYTIER1]]="INTERIOR",Database[[#This Row],[KEYTIER1]]="EXTERIOR"),"",Database[[#This Row],[DIVISION NAME]])</f>
        <v/>
      </c>
      <c r="AJ84" s="55" t="str">
        <f>IF(Database[[#This Row],[KEYTIER1]]="INTERIOR","INT",IF(Database[[#This Row],[KEYTIER1]]="EXTERIOR","EXT",Database[[#This Row],[SECTION '#]]))</f>
        <v>INT</v>
      </c>
      <c r="AK84" s="55" t="str">
        <f>IF(OR(Database[[#This Row],[KEYTIER2]]="INT",Database[[#This Row],[KEYTIER2]]="EXT"),"",IF(Database[[#This Row],[SECTION NAME]]="","",Database[[#This Row],[SECTION NAME]]))</f>
        <v/>
      </c>
    </row>
    <row r="85" spans="2:37" ht="30" x14ac:dyDescent="0.25">
      <c r="B85" s="55" t="s">
        <v>36</v>
      </c>
      <c r="C85" s="55">
        <v>9</v>
      </c>
      <c r="D85" s="55" t="s">
        <v>67</v>
      </c>
      <c r="E85" s="55">
        <v>96513</v>
      </c>
      <c r="F85" s="58" t="s">
        <v>8417</v>
      </c>
      <c r="G85" s="77" t="s">
        <v>8418</v>
      </c>
      <c r="H85" s="58" t="s">
        <v>8419</v>
      </c>
      <c r="I85" s="69" t="s">
        <v>38</v>
      </c>
      <c r="J85" s="57"/>
      <c r="K85" s="57"/>
      <c r="L85" s="57"/>
      <c r="M85" s="57"/>
      <c r="N85" s="59"/>
      <c r="O85" s="71"/>
      <c r="P85" s="56"/>
      <c r="Q85" s="56"/>
      <c r="R85" s="56"/>
      <c r="S85" s="56"/>
      <c r="T85" s="60"/>
      <c r="U85" s="74"/>
      <c r="V85" s="55"/>
      <c r="W85" s="55"/>
      <c r="X85" s="55"/>
      <c r="Y85" s="55"/>
      <c r="Z85" s="55"/>
      <c r="AA85" s="55"/>
      <c r="AB85" s="55"/>
      <c r="AC85" s="55">
        <f>IF(COUNTIF($C$3:C85,C85)=1,1,IF(COUNTIF($E$3:E85,E85)=1,2,0))</f>
        <v>2</v>
      </c>
      <c r="AD85" s="55" t="str">
        <f>IF(ISNUMBER(SEARCH("-",Database[[#This Row],[KEYNOTE '#]])),LEFT(Database[[#This Row],[KEYNOTE '#]],FIND("-",Database[[#This Row],[KEYNOTE '#]])-1),Database[[#This Row],[KEYNOTE '#]])</f>
        <v>RB</v>
      </c>
      <c r="AE8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5" s="55" t="str">
        <f>IF(AND(ISNUMBER(SEARCH("-",Database[[#This Row],[KEYNOTE '#]]))=TRUE,ISNUMBER(--RIGHT(Database[[#This Row],[KEYNOTE '#]]))=FALSE),RIGHT(Database[[#This Row],[KEYNOTE '#]],1),"")</f>
        <v/>
      </c>
      <c r="AG85" s="55">
        <v>83</v>
      </c>
      <c r="AH85" s="55" t="str">
        <f>IF(COUNTIF(Database[[#This Row],[BASE]:[INT. OTHER]],"g"),"INTERIOR",IF(COUNTIF(Database[[#This Row],[ROOF]:[EXT. OTHER]],"n"),"EXTERIOR",Database[[#This Row],[DIVISION '#]]))</f>
        <v>INTERIOR</v>
      </c>
      <c r="AI85" s="55" t="str">
        <f>IF(OR(Database[[#This Row],[KEYTIER1]]="INTERIOR",Database[[#This Row],[KEYTIER1]]="EXTERIOR"),"",Database[[#This Row],[DIVISION NAME]])</f>
        <v/>
      </c>
      <c r="AJ85" s="55" t="str">
        <f>IF(Database[[#This Row],[KEYTIER1]]="INTERIOR","INT",IF(Database[[#This Row],[KEYTIER1]]="EXTERIOR","EXT",Database[[#This Row],[SECTION '#]]))</f>
        <v>INT</v>
      </c>
      <c r="AK85" s="55" t="str">
        <f>IF(OR(Database[[#This Row],[KEYTIER2]]="INT",Database[[#This Row],[KEYTIER2]]="EXT"),"",IF(Database[[#This Row],[SECTION NAME]]="","",Database[[#This Row],[SECTION NAME]]))</f>
        <v/>
      </c>
    </row>
    <row r="86" spans="2:37" ht="30" x14ac:dyDescent="0.25">
      <c r="B86" s="55" t="s">
        <v>36</v>
      </c>
      <c r="C86" s="55">
        <v>9</v>
      </c>
      <c r="D86" s="55" t="s">
        <v>67</v>
      </c>
      <c r="E86" s="55">
        <v>96600</v>
      </c>
      <c r="F86" s="58" t="s">
        <v>8420</v>
      </c>
      <c r="G86" s="77" t="s">
        <v>8421</v>
      </c>
      <c r="H86" s="58" t="s">
        <v>8422</v>
      </c>
      <c r="I86" s="69"/>
      <c r="J86" s="57"/>
      <c r="K86" s="57"/>
      <c r="L86" s="57" t="s">
        <v>38</v>
      </c>
      <c r="M86" s="57"/>
      <c r="N86" s="59"/>
      <c r="O86" s="71"/>
      <c r="P86" s="56"/>
      <c r="Q86" s="56"/>
      <c r="R86" s="56"/>
      <c r="S86" s="56"/>
      <c r="T86" s="60"/>
      <c r="U86" s="74"/>
      <c r="V86" s="55"/>
      <c r="W86" s="55"/>
      <c r="X86" s="55"/>
      <c r="Y86" s="55"/>
      <c r="Z86" s="55"/>
      <c r="AA86" s="55"/>
      <c r="AB86" s="55"/>
      <c r="AC86" s="55">
        <f>IF(COUNTIF($C$3:C86,C86)=1,1,IF(COUNTIF($E$3:E86,E86)=1,2,0))</f>
        <v>2</v>
      </c>
      <c r="AD86" s="55" t="str">
        <f>IF(ISNUMBER(SEARCH("-",Database[[#This Row],[KEYNOTE '#]])),LEFT(Database[[#This Row],[KEYNOTE '#]],FIND("-",Database[[#This Row],[KEYNOTE '#]])-1),Database[[#This Row],[KEYNOTE '#]])</f>
        <v>TZ</v>
      </c>
      <c r="AE8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6" s="55" t="str">
        <f>IF(AND(ISNUMBER(SEARCH("-",Database[[#This Row],[KEYNOTE '#]]))=TRUE,ISNUMBER(--RIGHT(Database[[#This Row],[KEYNOTE '#]]))=FALSE),RIGHT(Database[[#This Row],[KEYNOTE '#]],1),"")</f>
        <v/>
      </c>
      <c r="AG86" s="55">
        <v>84</v>
      </c>
      <c r="AH86" s="55" t="str">
        <f>IF(COUNTIF(Database[[#This Row],[BASE]:[INT. OTHER]],"g"),"INTERIOR",IF(COUNTIF(Database[[#This Row],[ROOF]:[EXT. OTHER]],"n"),"EXTERIOR",Database[[#This Row],[DIVISION '#]]))</f>
        <v>INTERIOR</v>
      </c>
      <c r="AI86" s="55" t="str">
        <f>IF(OR(Database[[#This Row],[KEYTIER1]]="INTERIOR",Database[[#This Row],[KEYTIER1]]="EXTERIOR"),"",Database[[#This Row],[DIVISION NAME]])</f>
        <v/>
      </c>
      <c r="AJ86" s="55" t="str">
        <f>IF(Database[[#This Row],[KEYTIER1]]="INTERIOR","INT",IF(Database[[#This Row],[KEYTIER1]]="EXTERIOR","EXT",Database[[#This Row],[SECTION '#]]))</f>
        <v>INT</v>
      </c>
      <c r="AK86" s="55" t="str">
        <f>IF(OR(Database[[#This Row],[KEYTIER2]]="INT",Database[[#This Row],[KEYTIER2]]="EXT"),"",IF(Database[[#This Row],[SECTION NAME]]="","",Database[[#This Row],[SECTION NAME]]))</f>
        <v/>
      </c>
    </row>
    <row r="87" spans="2:37" ht="30" x14ac:dyDescent="0.25">
      <c r="B87" s="55" t="s">
        <v>36</v>
      </c>
      <c r="C87" s="55">
        <v>9</v>
      </c>
      <c r="D87" s="55" t="s">
        <v>67</v>
      </c>
      <c r="E87" s="55">
        <v>96600</v>
      </c>
      <c r="F87" s="58" t="s">
        <v>8420</v>
      </c>
      <c r="G87" s="77" t="s">
        <v>8423</v>
      </c>
      <c r="H87" s="58" t="s">
        <v>8424</v>
      </c>
      <c r="I87" s="69"/>
      <c r="J87" s="57"/>
      <c r="K87" s="57"/>
      <c r="L87" s="57" t="s">
        <v>38</v>
      </c>
      <c r="M87" s="57"/>
      <c r="N87" s="59"/>
      <c r="O87" s="71"/>
      <c r="P87" s="56"/>
      <c r="Q87" s="56"/>
      <c r="R87" s="56"/>
      <c r="S87" s="56"/>
      <c r="T87" s="60"/>
      <c r="U87" s="74"/>
      <c r="V87" s="55"/>
      <c r="W87" s="55"/>
      <c r="X87" s="55"/>
      <c r="Y87" s="55"/>
      <c r="Z87" s="55"/>
      <c r="AA87" s="55"/>
      <c r="AB87" s="55"/>
      <c r="AC87" s="55">
        <f>IF(COUNTIF($C$3:C87,C87)=1,1,IF(COUNTIF($E$3:E87,E87)=1,2,0))</f>
        <v>0</v>
      </c>
      <c r="AD87" s="55" t="str">
        <f>IF(ISNUMBER(SEARCH("-",Database[[#This Row],[KEYNOTE '#]])),LEFT(Database[[#This Row],[KEYNOTE '#]],FIND("-",Database[[#This Row],[KEYNOTE '#]])-1),Database[[#This Row],[KEYNOTE '#]])</f>
        <v>TZ</v>
      </c>
      <c r="AE8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87" s="55" t="str">
        <f>IF(AND(ISNUMBER(SEARCH("-",Database[[#This Row],[KEYNOTE '#]]))=TRUE,ISNUMBER(--RIGHT(Database[[#This Row],[KEYNOTE '#]]))=FALSE),RIGHT(Database[[#This Row],[KEYNOTE '#]],1),"")</f>
        <v/>
      </c>
      <c r="AG87" s="55">
        <v>85</v>
      </c>
      <c r="AH87" s="55" t="str">
        <f>IF(COUNTIF(Database[[#This Row],[BASE]:[INT. OTHER]],"g"),"INTERIOR",IF(COUNTIF(Database[[#This Row],[ROOF]:[EXT. OTHER]],"n"),"EXTERIOR",Database[[#This Row],[DIVISION '#]]))</f>
        <v>INTERIOR</v>
      </c>
      <c r="AI87" s="55" t="str">
        <f>IF(OR(Database[[#This Row],[KEYTIER1]]="INTERIOR",Database[[#This Row],[KEYTIER1]]="EXTERIOR"),"",Database[[#This Row],[DIVISION NAME]])</f>
        <v/>
      </c>
      <c r="AJ87" s="55" t="str">
        <f>IF(Database[[#This Row],[KEYTIER1]]="INTERIOR","INT",IF(Database[[#This Row],[KEYTIER1]]="EXTERIOR","EXT",Database[[#This Row],[SECTION '#]]))</f>
        <v>INT</v>
      </c>
      <c r="AK87" s="55" t="str">
        <f>IF(OR(Database[[#This Row],[KEYTIER2]]="INT",Database[[#This Row],[KEYTIER2]]="EXT"),"",IF(Database[[#This Row],[SECTION NAME]]="","",Database[[#This Row],[SECTION NAME]]))</f>
        <v/>
      </c>
    </row>
    <row r="88" spans="2:37" ht="30" x14ac:dyDescent="0.25">
      <c r="B88" s="55" t="s">
        <v>36</v>
      </c>
      <c r="C88" s="55">
        <v>9</v>
      </c>
      <c r="D88" s="55" t="s">
        <v>67</v>
      </c>
      <c r="E88" s="55">
        <v>96700</v>
      </c>
      <c r="F88" s="58" t="s">
        <v>8425</v>
      </c>
      <c r="G88" s="77" t="s">
        <v>8426</v>
      </c>
      <c r="H88" s="58" t="s">
        <v>8427</v>
      </c>
      <c r="I88" s="69"/>
      <c r="J88" s="57"/>
      <c r="K88" s="57"/>
      <c r="L88" s="57" t="s">
        <v>38</v>
      </c>
      <c r="M88" s="57"/>
      <c r="N88" s="59"/>
      <c r="O88" s="71"/>
      <c r="P88" s="56"/>
      <c r="Q88" s="56"/>
      <c r="R88" s="56"/>
      <c r="S88" s="56"/>
      <c r="T88" s="60"/>
      <c r="U88" s="74"/>
      <c r="V88" s="55"/>
      <c r="W88" s="55"/>
      <c r="X88" s="55"/>
      <c r="Y88" s="55"/>
      <c r="Z88" s="55"/>
      <c r="AA88" s="55"/>
      <c r="AB88" s="55"/>
      <c r="AC88" s="55">
        <f>IF(COUNTIF($C$3:C88,C88)=1,1,IF(COUNTIF($E$3:E88,E88)=1,2,0))</f>
        <v>2</v>
      </c>
      <c r="AD88" s="55" t="str">
        <f>IF(ISNUMBER(SEARCH("-",Database[[#This Row],[KEYNOTE '#]])),LEFT(Database[[#This Row],[KEYNOTE '#]],FIND("-",Database[[#This Row],[KEYNOTE '#]])-1),Database[[#This Row],[KEYNOTE '#]])</f>
        <v>RSF</v>
      </c>
      <c r="AE8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8" s="55" t="str">
        <f>IF(AND(ISNUMBER(SEARCH("-",Database[[#This Row],[KEYNOTE '#]]))=TRUE,ISNUMBER(--RIGHT(Database[[#This Row],[KEYNOTE '#]]))=FALSE),RIGHT(Database[[#This Row],[KEYNOTE '#]],1),"")</f>
        <v/>
      </c>
      <c r="AG88" s="55">
        <v>86</v>
      </c>
      <c r="AH88" s="55" t="str">
        <f>IF(COUNTIF(Database[[#This Row],[BASE]:[INT. OTHER]],"g"),"INTERIOR",IF(COUNTIF(Database[[#This Row],[ROOF]:[EXT. OTHER]],"n"),"EXTERIOR",Database[[#This Row],[DIVISION '#]]))</f>
        <v>INTERIOR</v>
      </c>
      <c r="AI88" s="55" t="str">
        <f>IF(OR(Database[[#This Row],[KEYTIER1]]="INTERIOR",Database[[#This Row],[KEYTIER1]]="EXTERIOR"),"",Database[[#This Row],[DIVISION NAME]])</f>
        <v/>
      </c>
      <c r="AJ88" s="55" t="str">
        <f>IF(Database[[#This Row],[KEYTIER1]]="INTERIOR","INT",IF(Database[[#This Row],[KEYTIER1]]="EXTERIOR","EXT",Database[[#This Row],[SECTION '#]]))</f>
        <v>INT</v>
      </c>
      <c r="AK88" s="55" t="str">
        <f>IF(OR(Database[[#This Row],[KEYTIER2]]="INT",Database[[#This Row],[KEYTIER2]]="EXT"),"",IF(Database[[#This Row],[SECTION NAME]]="","",Database[[#This Row],[SECTION NAME]]))</f>
        <v/>
      </c>
    </row>
    <row r="89" spans="2:37" ht="30" x14ac:dyDescent="0.25">
      <c r="B89" s="55" t="s">
        <v>36</v>
      </c>
      <c r="C89" s="55">
        <v>9</v>
      </c>
      <c r="D89" s="55" t="s">
        <v>67</v>
      </c>
      <c r="E89" s="55">
        <v>96813</v>
      </c>
      <c r="F89" s="58" t="s">
        <v>8428</v>
      </c>
      <c r="G89" s="77" t="s">
        <v>8429</v>
      </c>
      <c r="H89" s="58" t="s">
        <v>8430</v>
      </c>
      <c r="I89" s="69"/>
      <c r="J89" s="57"/>
      <c r="K89" s="57"/>
      <c r="L89" s="57" t="s">
        <v>38</v>
      </c>
      <c r="M89" s="57"/>
      <c r="N89" s="59"/>
      <c r="O89" s="71"/>
      <c r="P89" s="56"/>
      <c r="Q89" s="56"/>
      <c r="R89" s="56"/>
      <c r="S89" s="56"/>
      <c r="T89" s="60"/>
      <c r="U89" s="74"/>
      <c r="V89" s="55"/>
      <c r="W89" s="55"/>
      <c r="X89" s="55"/>
      <c r="Y89" s="55"/>
      <c r="Z89" s="55"/>
      <c r="AA89" s="55"/>
      <c r="AB89" s="55"/>
      <c r="AC89" s="55">
        <f>IF(COUNTIF($C$3:C89,C89)=1,1,IF(COUNTIF($E$3:E89,E89)=1,2,0))</f>
        <v>2</v>
      </c>
      <c r="AD89" s="55" t="str">
        <f>IF(ISNUMBER(SEARCH("-",Database[[#This Row],[KEYNOTE '#]])),LEFT(Database[[#This Row],[KEYNOTE '#]],FIND("-",Database[[#This Row],[KEYNOTE '#]])-1),Database[[#This Row],[KEYNOTE '#]])</f>
        <v>CPT</v>
      </c>
      <c r="AE8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89" s="55" t="str">
        <f>IF(AND(ISNUMBER(SEARCH("-",Database[[#This Row],[KEYNOTE '#]]))=TRUE,ISNUMBER(--RIGHT(Database[[#This Row],[KEYNOTE '#]]))=FALSE),RIGHT(Database[[#This Row],[KEYNOTE '#]],1),"")</f>
        <v/>
      </c>
      <c r="AG89" s="55">
        <v>87</v>
      </c>
      <c r="AH89" s="55" t="str">
        <f>IF(COUNTIF(Database[[#This Row],[BASE]:[INT. OTHER]],"g"),"INTERIOR",IF(COUNTIF(Database[[#This Row],[ROOF]:[EXT. OTHER]],"n"),"EXTERIOR",Database[[#This Row],[DIVISION '#]]))</f>
        <v>INTERIOR</v>
      </c>
      <c r="AI89" s="55" t="str">
        <f>IF(OR(Database[[#This Row],[KEYTIER1]]="INTERIOR",Database[[#This Row],[KEYTIER1]]="EXTERIOR"),"",Database[[#This Row],[DIVISION NAME]])</f>
        <v/>
      </c>
      <c r="AJ89" s="55" t="str">
        <f>IF(Database[[#This Row],[KEYTIER1]]="INTERIOR","INT",IF(Database[[#This Row],[KEYTIER1]]="EXTERIOR","EXT",Database[[#This Row],[SECTION '#]]))</f>
        <v>INT</v>
      </c>
      <c r="AK89" s="55" t="str">
        <f>IF(OR(Database[[#This Row],[KEYTIER2]]="INT",Database[[#This Row],[KEYTIER2]]="EXT"),"",IF(Database[[#This Row],[SECTION NAME]]="","",Database[[#This Row],[SECTION NAME]]))</f>
        <v/>
      </c>
    </row>
    <row r="90" spans="2:37" ht="30" x14ac:dyDescent="0.25">
      <c r="B90" s="55" t="s">
        <v>36</v>
      </c>
      <c r="C90" s="55">
        <v>9</v>
      </c>
      <c r="D90" s="55" t="s">
        <v>67</v>
      </c>
      <c r="E90" s="55">
        <v>96816</v>
      </c>
      <c r="F90" s="58" t="s">
        <v>8431</v>
      </c>
      <c r="G90" s="77" t="s">
        <v>8432</v>
      </c>
      <c r="H90" s="58" t="s">
        <v>8433</v>
      </c>
      <c r="I90" s="69"/>
      <c r="J90" s="57"/>
      <c r="K90" s="57"/>
      <c r="L90" s="57" t="s">
        <v>38</v>
      </c>
      <c r="M90" s="57"/>
      <c r="N90" s="59"/>
      <c r="O90" s="71"/>
      <c r="P90" s="56"/>
      <c r="Q90" s="56"/>
      <c r="R90" s="56"/>
      <c r="S90" s="56"/>
      <c r="T90" s="60"/>
      <c r="U90" s="74"/>
      <c r="V90" s="55"/>
      <c r="W90" s="55"/>
      <c r="X90" s="55"/>
      <c r="Y90" s="55"/>
      <c r="Z90" s="55"/>
      <c r="AA90" s="55"/>
      <c r="AB90" s="55"/>
      <c r="AC90" s="55">
        <f>IF(COUNTIF($C$3:C90,C90)=1,1,IF(COUNTIF($E$3:E90,E90)=1,2,0))</f>
        <v>2</v>
      </c>
      <c r="AD90" s="55" t="str">
        <f>IF(ISNUMBER(SEARCH("-",Database[[#This Row],[KEYNOTE '#]])),LEFT(Database[[#This Row],[KEYNOTE '#]],FIND("-",Database[[#This Row],[KEYNOTE '#]])-1),Database[[#This Row],[KEYNOTE '#]])</f>
        <v>CPT</v>
      </c>
      <c r="AE9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90" s="55" t="str">
        <f>IF(AND(ISNUMBER(SEARCH("-",Database[[#This Row],[KEYNOTE '#]]))=TRUE,ISNUMBER(--RIGHT(Database[[#This Row],[KEYNOTE '#]]))=FALSE),RIGHT(Database[[#This Row],[KEYNOTE '#]],1),"")</f>
        <v/>
      </c>
      <c r="AG90" s="55">
        <v>88</v>
      </c>
      <c r="AH90" s="55" t="str">
        <f>IF(COUNTIF(Database[[#This Row],[BASE]:[INT. OTHER]],"g"),"INTERIOR",IF(COUNTIF(Database[[#This Row],[ROOF]:[EXT. OTHER]],"n"),"EXTERIOR",Database[[#This Row],[DIVISION '#]]))</f>
        <v>INTERIOR</v>
      </c>
      <c r="AI90" s="55" t="str">
        <f>IF(OR(Database[[#This Row],[KEYTIER1]]="INTERIOR",Database[[#This Row],[KEYTIER1]]="EXTERIOR"),"",Database[[#This Row],[DIVISION NAME]])</f>
        <v/>
      </c>
      <c r="AJ90" s="55" t="str">
        <f>IF(Database[[#This Row],[KEYTIER1]]="INTERIOR","INT",IF(Database[[#This Row],[KEYTIER1]]="EXTERIOR","EXT",Database[[#This Row],[SECTION '#]]))</f>
        <v>INT</v>
      </c>
      <c r="AK90" s="55" t="str">
        <f>IF(OR(Database[[#This Row],[KEYTIER2]]="INT",Database[[#This Row],[KEYTIER2]]="EXT"),"",IF(Database[[#This Row],[SECTION NAME]]="","",Database[[#This Row],[SECTION NAME]]))</f>
        <v/>
      </c>
    </row>
    <row r="91" spans="2:37" ht="30" x14ac:dyDescent="0.25">
      <c r="B91" s="55" t="s">
        <v>36</v>
      </c>
      <c r="C91" s="55">
        <v>9</v>
      </c>
      <c r="D91" s="55" t="s">
        <v>67</v>
      </c>
      <c r="E91" s="55">
        <v>97200</v>
      </c>
      <c r="F91" s="58" t="s">
        <v>8434</v>
      </c>
      <c r="G91" s="77" t="s">
        <v>8435</v>
      </c>
      <c r="H91" s="58" t="s">
        <v>8436</v>
      </c>
      <c r="I91" s="69"/>
      <c r="J91" s="57" t="s">
        <v>38</v>
      </c>
      <c r="K91" s="57"/>
      <c r="L91" s="57"/>
      <c r="M91" s="57"/>
      <c r="N91" s="59"/>
      <c r="O91" s="71"/>
      <c r="P91" s="56"/>
      <c r="Q91" s="56"/>
      <c r="R91" s="56"/>
      <c r="S91" s="56"/>
      <c r="T91" s="60"/>
      <c r="U91" s="74"/>
      <c r="V91" s="55"/>
      <c r="W91" s="55"/>
      <c r="X91" s="55"/>
      <c r="Y91" s="55"/>
      <c r="Z91" s="55"/>
      <c r="AA91" s="55"/>
      <c r="AB91" s="55"/>
      <c r="AC91" s="55">
        <f>IF(COUNTIF($C$3:C91,C91)=1,1,IF(COUNTIF($E$3:E91,E91)=1,2,0))</f>
        <v>2</v>
      </c>
      <c r="AD91" s="55" t="str">
        <f>IF(ISNUMBER(SEARCH("-",Database[[#This Row],[KEYNOTE '#]])),LEFT(Database[[#This Row],[KEYNOTE '#]],FIND("-",Database[[#This Row],[KEYNOTE '#]])-1),Database[[#This Row],[KEYNOTE '#]])</f>
        <v>WC</v>
      </c>
      <c r="AE9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1" s="55" t="str">
        <f>IF(AND(ISNUMBER(SEARCH("-",Database[[#This Row],[KEYNOTE '#]]))=TRUE,ISNUMBER(--RIGHT(Database[[#This Row],[KEYNOTE '#]]))=FALSE),RIGHT(Database[[#This Row],[KEYNOTE '#]],1),"")</f>
        <v/>
      </c>
      <c r="AG91" s="55">
        <v>89</v>
      </c>
      <c r="AH91" s="55" t="str">
        <f>IF(COUNTIF(Database[[#This Row],[BASE]:[INT. OTHER]],"g"),"INTERIOR",IF(COUNTIF(Database[[#This Row],[ROOF]:[EXT. OTHER]],"n"),"EXTERIOR",Database[[#This Row],[DIVISION '#]]))</f>
        <v>INTERIOR</v>
      </c>
      <c r="AI91" s="55" t="str">
        <f>IF(OR(Database[[#This Row],[KEYTIER1]]="INTERIOR",Database[[#This Row],[KEYTIER1]]="EXTERIOR"),"",Database[[#This Row],[DIVISION NAME]])</f>
        <v/>
      </c>
      <c r="AJ91" s="55" t="str">
        <f>IF(Database[[#This Row],[KEYTIER1]]="INTERIOR","INT",IF(Database[[#This Row],[KEYTIER1]]="EXTERIOR","EXT",Database[[#This Row],[SECTION '#]]))</f>
        <v>INT</v>
      </c>
      <c r="AK91" s="55" t="str">
        <f>IF(OR(Database[[#This Row],[KEYTIER2]]="INT",Database[[#This Row],[KEYTIER2]]="EXT"),"",IF(Database[[#This Row],[SECTION NAME]]="","",Database[[#This Row],[SECTION NAME]]))</f>
        <v/>
      </c>
    </row>
    <row r="92" spans="2:37" ht="30" x14ac:dyDescent="0.25">
      <c r="B92" s="55" t="s">
        <v>36</v>
      </c>
      <c r="C92" s="55">
        <v>9</v>
      </c>
      <c r="D92" s="55" t="s">
        <v>67</v>
      </c>
      <c r="E92" s="55">
        <v>97500</v>
      </c>
      <c r="F92" s="58" t="s">
        <v>8437</v>
      </c>
      <c r="G92" s="77" t="s">
        <v>8438</v>
      </c>
      <c r="H92" s="58" t="s">
        <v>8439</v>
      </c>
      <c r="I92" s="69"/>
      <c r="J92" s="57" t="s">
        <v>38</v>
      </c>
      <c r="K92" s="57"/>
      <c r="L92" s="57"/>
      <c r="M92" s="57"/>
      <c r="N92" s="59"/>
      <c r="O92" s="71"/>
      <c r="P92" s="56"/>
      <c r="Q92" s="56"/>
      <c r="R92" s="56"/>
      <c r="S92" s="56"/>
      <c r="T92" s="60"/>
      <c r="U92" s="74"/>
      <c r="V92" s="55"/>
      <c r="W92" s="55"/>
      <c r="X92" s="55"/>
      <c r="Y92" s="55"/>
      <c r="Z92" s="55"/>
      <c r="AA92" s="55"/>
      <c r="AB92" s="55"/>
      <c r="AC92" s="55">
        <f>IF(COUNTIF($C$3:C92,C92)=1,1,IF(COUNTIF($E$3:E92,E92)=1,2,0))</f>
        <v>2</v>
      </c>
      <c r="AD92" s="55" t="str">
        <f>IF(ISNUMBER(SEARCH("-",Database[[#This Row],[KEYNOTE '#]])),LEFT(Database[[#This Row],[KEYNOTE '#]],FIND("-",Database[[#This Row],[KEYNOTE '#]])-1),Database[[#This Row],[KEYNOTE '#]])</f>
        <v>ST</v>
      </c>
      <c r="AE9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92" s="55" t="str">
        <f>IF(AND(ISNUMBER(SEARCH("-",Database[[#This Row],[KEYNOTE '#]]))=TRUE,ISNUMBER(--RIGHT(Database[[#This Row],[KEYNOTE '#]]))=FALSE),RIGHT(Database[[#This Row],[KEYNOTE '#]],1),"")</f>
        <v/>
      </c>
      <c r="AG92" s="55">
        <v>90</v>
      </c>
      <c r="AH92" s="55" t="str">
        <f>IF(COUNTIF(Database[[#This Row],[BASE]:[INT. OTHER]],"g"),"INTERIOR",IF(COUNTIF(Database[[#This Row],[ROOF]:[EXT. OTHER]],"n"),"EXTERIOR",Database[[#This Row],[DIVISION '#]]))</f>
        <v>INTERIOR</v>
      </c>
      <c r="AI92" s="55" t="str">
        <f>IF(OR(Database[[#This Row],[KEYTIER1]]="INTERIOR",Database[[#This Row],[KEYTIER1]]="EXTERIOR"),"",Database[[#This Row],[DIVISION NAME]])</f>
        <v/>
      </c>
      <c r="AJ92" s="55" t="str">
        <f>IF(Database[[#This Row],[KEYTIER1]]="INTERIOR","INT",IF(Database[[#This Row],[KEYTIER1]]="EXTERIOR","EXT",Database[[#This Row],[SECTION '#]]))</f>
        <v>INT</v>
      </c>
      <c r="AK92" s="55" t="str">
        <f>IF(OR(Database[[#This Row],[KEYTIER2]]="INT",Database[[#This Row],[KEYTIER2]]="EXT"),"",IF(Database[[#This Row],[SECTION NAME]]="","",Database[[#This Row],[SECTION NAME]]))</f>
        <v/>
      </c>
    </row>
    <row r="93" spans="2:37" ht="30" x14ac:dyDescent="0.25">
      <c r="B93" s="55" t="s">
        <v>36</v>
      </c>
      <c r="C93" s="55">
        <v>9</v>
      </c>
      <c r="D93" s="55" t="s">
        <v>67</v>
      </c>
      <c r="E93" s="55">
        <v>97700</v>
      </c>
      <c r="F93" s="58" t="s">
        <v>8589</v>
      </c>
      <c r="G93" s="77" t="s">
        <v>8565</v>
      </c>
      <c r="H93" s="58" t="s">
        <v>8566</v>
      </c>
      <c r="I93" s="69"/>
      <c r="J93" s="57"/>
      <c r="K93" s="57" t="s">
        <v>38</v>
      </c>
      <c r="L93" s="57"/>
      <c r="M93" s="57"/>
      <c r="N93" s="59"/>
      <c r="O93" s="71"/>
      <c r="P93" s="56"/>
      <c r="Q93" s="56"/>
      <c r="R93" s="56"/>
      <c r="S93" s="56"/>
      <c r="T93" s="60"/>
      <c r="U93" s="74"/>
      <c r="V93" s="55"/>
      <c r="W93" s="55"/>
      <c r="X93" s="55"/>
      <c r="Y93" s="55"/>
      <c r="Z93" s="55"/>
      <c r="AA93" s="55"/>
      <c r="AB93" s="55"/>
      <c r="AC93" s="55">
        <f>IF(COUNTIF($C$3:C93,C93)=1,1,IF(COUNTIF($E$3:E93,E93)=1,2,0))</f>
        <v>2</v>
      </c>
      <c r="AD93" s="55" t="str">
        <f>IF(ISNUMBER(SEARCH("-",Database[[#This Row],[KEYNOTE '#]])),LEFT(Database[[#This Row],[KEYNOTE '#]],FIND("-",Database[[#This Row],[KEYNOTE '#]])-1),Database[[#This Row],[KEYNOTE '#]])</f>
        <v>FRP</v>
      </c>
      <c r="AE9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3" s="55" t="str">
        <f>IF(AND(ISNUMBER(SEARCH("-",Database[[#This Row],[KEYNOTE '#]]))=TRUE,ISNUMBER(--RIGHT(Database[[#This Row],[KEYNOTE '#]]))=FALSE),RIGHT(Database[[#This Row],[KEYNOTE '#]],1),"")</f>
        <v/>
      </c>
      <c r="AG93" s="55">
        <v>91</v>
      </c>
      <c r="AH93" s="55" t="str">
        <f>IF(COUNTIF(Database[[#This Row],[BASE]:[INT. OTHER]],"g"),"INTERIOR",IF(COUNTIF(Database[[#This Row],[ROOF]:[EXT. OTHER]],"n"),"EXTERIOR",Database[[#This Row],[DIVISION '#]]))</f>
        <v>INTERIOR</v>
      </c>
      <c r="AI93" s="55" t="str">
        <f>IF(OR(Database[[#This Row],[KEYTIER1]]="INTERIOR",Database[[#This Row],[KEYTIER1]]="EXTERIOR"),"",Database[[#This Row],[DIVISION NAME]])</f>
        <v/>
      </c>
      <c r="AJ93" s="55" t="str">
        <f>IF(Database[[#This Row],[KEYTIER1]]="INTERIOR","INT",IF(Database[[#This Row],[KEYTIER1]]="EXTERIOR","EXT",Database[[#This Row],[SECTION '#]]))</f>
        <v>INT</v>
      </c>
      <c r="AK93" s="55" t="str">
        <f>IF(OR(Database[[#This Row],[KEYTIER2]]="INT",Database[[#This Row],[KEYTIER2]]="EXT"),"",IF(Database[[#This Row],[SECTION NAME]]="","",Database[[#This Row],[SECTION NAME]]))</f>
        <v/>
      </c>
    </row>
    <row r="94" spans="2:37" ht="30" x14ac:dyDescent="0.25">
      <c r="B94" s="55" t="s">
        <v>36</v>
      </c>
      <c r="C94" s="55">
        <v>9</v>
      </c>
      <c r="D94" s="55" t="s">
        <v>67</v>
      </c>
      <c r="E94" s="55">
        <v>97723</v>
      </c>
      <c r="F94" s="58" t="s">
        <v>8440</v>
      </c>
      <c r="G94" s="77" t="s">
        <v>8441</v>
      </c>
      <c r="H94" s="58" t="s">
        <v>8442</v>
      </c>
      <c r="I94" s="69"/>
      <c r="J94" s="57" t="s">
        <v>38</v>
      </c>
      <c r="K94" s="57"/>
      <c r="L94" s="57"/>
      <c r="M94" s="57"/>
      <c r="N94" s="59"/>
      <c r="O94" s="71"/>
      <c r="P94" s="56"/>
      <c r="Q94" s="56"/>
      <c r="R94" s="56"/>
      <c r="S94" s="56"/>
      <c r="T94" s="60"/>
      <c r="U94" s="74"/>
      <c r="V94" s="55"/>
      <c r="W94" s="55"/>
      <c r="X94" s="55"/>
      <c r="Y94" s="55"/>
      <c r="Z94" s="55"/>
      <c r="AA94" s="55"/>
      <c r="AB94" s="55"/>
      <c r="AC94" s="55">
        <f>IF(COUNTIF($C$3:C94,C94)=1,1,IF(COUNTIF($E$3:E94,E94)=1,2,0))</f>
        <v>2</v>
      </c>
      <c r="AD94" s="55" t="str">
        <f>IF(ISNUMBER(SEARCH("-",Database[[#This Row],[KEYNOTE '#]])),LEFT(Database[[#This Row],[KEYNOTE '#]],FIND("-",Database[[#This Row],[KEYNOTE '#]])-1),Database[[#This Row],[KEYNOTE '#]])</f>
        <v>FWP</v>
      </c>
      <c r="AE9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4" s="55" t="str">
        <f>IF(AND(ISNUMBER(SEARCH("-",Database[[#This Row],[KEYNOTE '#]]))=TRUE,ISNUMBER(--RIGHT(Database[[#This Row],[KEYNOTE '#]]))=FALSE),RIGHT(Database[[#This Row],[KEYNOTE '#]],1),"")</f>
        <v/>
      </c>
      <c r="AG94" s="55">
        <v>92</v>
      </c>
      <c r="AH94" s="55" t="str">
        <f>IF(COUNTIF(Database[[#This Row],[BASE]:[INT. OTHER]],"g"),"INTERIOR",IF(COUNTIF(Database[[#This Row],[ROOF]:[EXT. OTHER]],"n"),"EXTERIOR",Database[[#This Row],[DIVISION '#]]))</f>
        <v>INTERIOR</v>
      </c>
      <c r="AI94" s="55" t="str">
        <f>IF(OR(Database[[#This Row],[KEYTIER1]]="INTERIOR",Database[[#This Row],[KEYTIER1]]="EXTERIOR"),"",Database[[#This Row],[DIVISION NAME]])</f>
        <v/>
      </c>
      <c r="AJ94" s="55" t="str">
        <f>IF(Database[[#This Row],[KEYTIER1]]="INTERIOR","INT",IF(Database[[#This Row],[KEYTIER1]]="EXTERIOR","EXT",Database[[#This Row],[SECTION '#]]))</f>
        <v>INT</v>
      </c>
      <c r="AK94" s="55" t="str">
        <f>IF(OR(Database[[#This Row],[KEYTIER2]]="INT",Database[[#This Row],[KEYTIER2]]="EXT"),"",IF(Database[[#This Row],[SECTION NAME]]="","",Database[[#This Row],[SECTION NAME]]))</f>
        <v/>
      </c>
    </row>
    <row r="95" spans="2:37" ht="30" x14ac:dyDescent="0.25">
      <c r="B95" s="55" t="s">
        <v>36</v>
      </c>
      <c r="C95" s="55">
        <v>9</v>
      </c>
      <c r="D95" s="55" t="s">
        <v>67</v>
      </c>
      <c r="E95" s="55">
        <v>98000</v>
      </c>
      <c r="F95" s="58" t="s">
        <v>8443</v>
      </c>
      <c r="G95" s="77" t="s">
        <v>8444</v>
      </c>
      <c r="H95" s="58" t="s">
        <v>8445</v>
      </c>
      <c r="I95" s="69"/>
      <c r="J95" s="57"/>
      <c r="K95" s="57" t="s">
        <v>38</v>
      </c>
      <c r="L95" s="57"/>
      <c r="M95" s="57"/>
      <c r="N95" s="59"/>
      <c r="O95" s="71"/>
      <c r="P95" s="56"/>
      <c r="Q95" s="56"/>
      <c r="R95" s="56"/>
      <c r="S95" s="56"/>
      <c r="T95" s="60"/>
      <c r="U95" s="74"/>
      <c r="V95" s="55"/>
      <c r="W95" s="55"/>
      <c r="X95" s="55"/>
      <c r="Y95" s="55"/>
      <c r="Z95" s="55"/>
      <c r="AA95" s="55"/>
      <c r="AB95" s="55"/>
      <c r="AC95" s="55">
        <f>IF(COUNTIF($C$3:C95,C95)=1,1,IF(COUNTIF($E$3:E95,E95)=1,2,0))</f>
        <v>2</v>
      </c>
      <c r="AD95" s="55" t="str">
        <f>IF(ISNUMBER(SEARCH("-",Database[[#This Row],[KEYNOTE '#]])),LEFT(Database[[#This Row],[KEYNOTE '#]],FIND("-",Database[[#This Row],[KEYNOTE '#]])-1),Database[[#This Row],[KEYNOTE '#]])</f>
        <v>AT</v>
      </c>
      <c r="AE9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5" s="55" t="str">
        <f>IF(AND(ISNUMBER(SEARCH("-",Database[[#This Row],[KEYNOTE '#]]))=TRUE,ISNUMBER(--RIGHT(Database[[#This Row],[KEYNOTE '#]]))=FALSE),RIGHT(Database[[#This Row],[KEYNOTE '#]],1),"")</f>
        <v/>
      </c>
      <c r="AG95" s="55">
        <v>93</v>
      </c>
      <c r="AH95" s="55" t="str">
        <f>IF(COUNTIF(Database[[#This Row],[BASE]:[INT. OTHER]],"g"),"INTERIOR",IF(COUNTIF(Database[[#This Row],[ROOF]:[EXT. OTHER]],"n"),"EXTERIOR",Database[[#This Row],[DIVISION '#]]))</f>
        <v>INTERIOR</v>
      </c>
      <c r="AI95" s="55" t="str">
        <f>IF(OR(Database[[#This Row],[KEYTIER1]]="INTERIOR",Database[[#This Row],[KEYTIER1]]="EXTERIOR"),"",Database[[#This Row],[DIVISION NAME]])</f>
        <v/>
      </c>
      <c r="AJ95" s="55" t="str">
        <f>IF(Database[[#This Row],[KEYTIER1]]="INTERIOR","INT",IF(Database[[#This Row],[KEYTIER1]]="EXTERIOR","EXT",Database[[#This Row],[SECTION '#]]))</f>
        <v>INT</v>
      </c>
      <c r="AK95" s="55" t="str">
        <f>IF(OR(Database[[#This Row],[KEYTIER2]]="INT",Database[[#This Row],[KEYTIER2]]="EXT"),"",IF(Database[[#This Row],[SECTION NAME]]="","",Database[[#This Row],[SECTION NAME]]))</f>
        <v/>
      </c>
    </row>
    <row r="96" spans="2:37" ht="30" x14ac:dyDescent="0.25">
      <c r="B96" s="55" t="s">
        <v>36</v>
      </c>
      <c r="C96" s="55">
        <v>9</v>
      </c>
      <c r="D96" s="55" t="s">
        <v>67</v>
      </c>
      <c r="E96" s="55">
        <v>98316</v>
      </c>
      <c r="F96" s="58" t="s">
        <v>8587</v>
      </c>
      <c r="G96" s="77" t="s">
        <v>8573</v>
      </c>
      <c r="H96" s="58" t="s">
        <v>8586</v>
      </c>
      <c r="I96" s="69"/>
      <c r="J96" s="57"/>
      <c r="K96" s="57" t="s">
        <v>38</v>
      </c>
      <c r="L96" s="57"/>
      <c r="M96" s="57"/>
      <c r="N96" s="59"/>
      <c r="O96" s="71"/>
      <c r="P96" s="56"/>
      <c r="Q96" s="56"/>
      <c r="R96" s="56"/>
      <c r="S96" s="56"/>
      <c r="T96" s="60"/>
      <c r="U96" s="74"/>
      <c r="V96" s="55"/>
      <c r="W96" s="55"/>
      <c r="X96" s="55"/>
      <c r="Y96" s="55"/>
      <c r="Z96" s="55"/>
      <c r="AA96" s="55"/>
      <c r="AB96" s="55"/>
      <c r="AC96" s="55">
        <f>IF(COUNTIF($C$3:C96,C96)=1,1,IF(COUNTIF($E$3:E96,E96)=1,2,0))</f>
        <v>2</v>
      </c>
      <c r="AD96" s="55" t="str">
        <f>IF(ISNUMBER(SEARCH("-",Database[[#This Row],[KEYNOTE '#]])),LEFT(Database[[#This Row],[KEYNOTE '#]],FIND("-",Database[[#This Row],[KEYNOTE '#]])-1),Database[[#This Row],[KEYNOTE '#]])</f>
        <v>SAT</v>
      </c>
      <c r="AE9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6" s="55" t="str">
        <f>IF(AND(ISNUMBER(SEARCH("-",Database[[#This Row],[KEYNOTE '#]]))=TRUE,ISNUMBER(--RIGHT(Database[[#This Row],[KEYNOTE '#]]))=FALSE),RIGHT(Database[[#This Row],[KEYNOTE '#]],1),"")</f>
        <v/>
      </c>
      <c r="AG96" s="55">
        <v>94</v>
      </c>
      <c r="AH96" s="55" t="str">
        <f>IF(COUNTIF(Database[[#This Row],[BASE]:[INT. OTHER]],"g"),"INTERIOR",IF(COUNTIF(Database[[#This Row],[ROOF]:[EXT. OTHER]],"n"),"EXTERIOR",Database[[#This Row],[DIVISION '#]]))</f>
        <v>INTERIOR</v>
      </c>
      <c r="AI96" s="55" t="str">
        <f>IF(OR(Database[[#This Row],[KEYTIER1]]="INTERIOR",Database[[#This Row],[KEYTIER1]]="EXTERIOR"),"",Database[[#This Row],[DIVISION NAME]])</f>
        <v/>
      </c>
      <c r="AJ96" s="55" t="str">
        <f>IF(Database[[#This Row],[KEYTIER1]]="INTERIOR","INT",IF(Database[[#This Row],[KEYTIER1]]="EXTERIOR","EXT",Database[[#This Row],[SECTION '#]]))</f>
        <v>INT</v>
      </c>
      <c r="AK96" s="55" t="str">
        <f>IF(OR(Database[[#This Row],[KEYTIER2]]="INT",Database[[#This Row],[KEYTIER2]]="EXT"),"",IF(Database[[#This Row],[SECTION NAME]]="","",Database[[#This Row],[SECTION NAME]]))</f>
        <v/>
      </c>
    </row>
    <row r="97" spans="2:37" ht="30" x14ac:dyDescent="0.25">
      <c r="B97" s="55" t="s">
        <v>36</v>
      </c>
      <c r="C97" s="55">
        <v>9</v>
      </c>
      <c r="D97" s="55" t="s">
        <v>67</v>
      </c>
      <c r="E97" s="55">
        <v>98443</v>
      </c>
      <c r="F97" s="58" t="s">
        <v>8446</v>
      </c>
      <c r="G97" s="77" t="s">
        <v>8447</v>
      </c>
      <c r="H97" s="58" t="s">
        <v>8448</v>
      </c>
      <c r="I97" s="69"/>
      <c r="J97" s="57"/>
      <c r="K97" s="57" t="s">
        <v>38</v>
      </c>
      <c r="L97" s="57"/>
      <c r="M97" s="57"/>
      <c r="N97" s="59"/>
      <c r="O97" s="71"/>
      <c r="P97" s="56"/>
      <c r="Q97" s="56"/>
      <c r="R97" s="56"/>
      <c r="S97" s="56"/>
      <c r="T97" s="60"/>
      <c r="U97" s="74"/>
      <c r="V97" s="55"/>
      <c r="W97" s="55"/>
      <c r="X97" s="55"/>
      <c r="Y97" s="55"/>
      <c r="Z97" s="55"/>
      <c r="AA97" s="55"/>
      <c r="AB97" s="55"/>
      <c r="AC97" s="55">
        <f>IF(COUNTIF($C$3:C97,C97)=1,1,IF(COUNTIF($E$3:E97,E97)=1,2,0))</f>
        <v>2</v>
      </c>
      <c r="AD97" s="55" t="str">
        <f>IF(ISNUMBER(SEARCH("-",Database[[#This Row],[KEYNOTE '#]])),LEFT(Database[[#This Row],[KEYNOTE '#]],FIND("-",Database[[#This Row],[KEYNOTE '#]])-1),Database[[#This Row],[KEYNOTE '#]])</f>
        <v>WG</v>
      </c>
      <c r="AE9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2</v>
      </c>
      <c r="AF97" s="55" t="str">
        <f>IF(AND(ISNUMBER(SEARCH("-",Database[[#This Row],[KEYNOTE '#]]))=TRUE,ISNUMBER(--RIGHT(Database[[#This Row],[KEYNOTE '#]]))=FALSE),RIGHT(Database[[#This Row],[KEYNOTE '#]],1),"")</f>
        <v/>
      </c>
      <c r="AG97" s="55">
        <v>95</v>
      </c>
      <c r="AH97" s="55" t="str">
        <f>IF(COUNTIF(Database[[#This Row],[BASE]:[INT. OTHER]],"g"),"INTERIOR",IF(COUNTIF(Database[[#This Row],[ROOF]:[EXT. OTHER]],"n"),"EXTERIOR",Database[[#This Row],[DIVISION '#]]))</f>
        <v>INTERIOR</v>
      </c>
      <c r="AI97" s="55" t="str">
        <f>IF(OR(Database[[#This Row],[KEYTIER1]]="INTERIOR",Database[[#This Row],[KEYTIER1]]="EXTERIOR"),"",Database[[#This Row],[DIVISION NAME]])</f>
        <v/>
      </c>
      <c r="AJ97" s="55" t="str">
        <f>IF(Database[[#This Row],[KEYTIER1]]="INTERIOR","INT",IF(Database[[#This Row],[KEYTIER1]]="EXTERIOR","EXT",Database[[#This Row],[SECTION '#]]))</f>
        <v>INT</v>
      </c>
      <c r="AK97" s="55" t="str">
        <f>IF(OR(Database[[#This Row],[KEYTIER2]]="INT",Database[[#This Row],[KEYTIER2]]="EXT"),"",IF(Database[[#This Row],[SECTION NAME]]="","",Database[[#This Row],[SECTION NAME]]))</f>
        <v/>
      </c>
    </row>
    <row r="98" spans="2:37" ht="30" x14ac:dyDescent="0.25">
      <c r="B98" s="55" t="s">
        <v>36</v>
      </c>
      <c r="C98" s="55">
        <v>9</v>
      </c>
      <c r="D98" s="55" t="s">
        <v>67</v>
      </c>
      <c r="E98" s="55">
        <v>99100</v>
      </c>
      <c r="F98" s="58" t="s">
        <v>8449</v>
      </c>
      <c r="G98" s="77" t="s">
        <v>8450</v>
      </c>
      <c r="H98" s="58" t="s">
        <v>8451</v>
      </c>
      <c r="I98" s="69"/>
      <c r="J98" s="57" t="s">
        <v>38</v>
      </c>
      <c r="K98" s="57"/>
      <c r="L98" s="57"/>
      <c r="M98" s="57"/>
      <c r="N98" s="59"/>
      <c r="O98" s="71"/>
      <c r="P98" s="56"/>
      <c r="Q98" s="56"/>
      <c r="R98" s="56"/>
      <c r="S98" s="56"/>
      <c r="T98" s="60"/>
      <c r="U98" s="74"/>
      <c r="V98" s="55"/>
      <c r="W98" s="55"/>
      <c r="X98" s="55"/>
      <c r="Y98" s="55"/>
      <c r="Z98" s="55"/>
      <c r="AA98" s="55"/>
      <c r="AB98" s="55"/>
      <c r="AC98" s="55">
        <f>IF(COUNTIF($C$3:C98,C98)=1,1,IF(COUNTIF($E$3:E98,E98)=1,2,0))</f>
        <v>2</v>
      </c>
      <c r="AD98" s="55" t="str">
        <f>IF(ISNUMBER(SEARCH("-",Database[[#This Row],[KEYNOTE '#]])),LEFT(Database[[#This Row],[KEYNOTE '#]],FIND("-",Database[[#This Row],[KEYNOTE '#]])-1),Database[[#This Row],[KEYNOTE '#]])</f>
        <v>PT</v>
      </c>
      <c r="AE9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8" s="55" t="str">
        <f>IF(AND(ISNUMBER(SEARCH("-",Database[[#This Row],[KEYNOTE '#]]))=TRUE,ISNUMBER(--RIGHT(Database[[#This Row],[KEYNOTE '#]]))=FALSE),RIGHT(Database[[#This Row],[KEYNOTE '#]],1),"")</f>
        <v/>
      </c>
      <c r="AG98" s="55">
        <v>96</v>
      </c>
      <c r="AH98" s="55" t="str">
        <f>IF(COUNTIF(Database[[#This Row],[BASE]:[INT. OTHER]],"g"),"INTERIOR",IF(COUNTIF(Database[[#This Row],[ROOF]:[EXT. OTHER]],"n"),"EXTERIOR",Database[[#This Row],[DIVISION '#]]))</f>
        <v>INTERIOR</v>
      </c>
      <c r="AI98" s="55" t="str">
        <f>IF(OR(Database[[#This Row],[KEYTIER1]]="INTERIOR",Database[[#This Row],[KEYTIER1]]="EXTERIOR"),"",Database[[#This Row],[DIVISION NAME]])</f>
        <v/>
      </c>
      <c r="AJ98" s="55" t="str">
        <f>IF(Database[[#This Row],[KEYTIER1]]="INTERIOR","INT",IF(Database[[#This Row],[KEYTIER1]]="EXTERIOR","EXT",Database[[#This Row],[SECTION '#]]))</f>
        <v>INT</v>
      </c>
      <c r="AK98" s="55" t="str">
        <f>IF(OR(Database[[#This Row],[KEYTIER2]]="INT",Database[[#This Row],[KEYTIER2]]="EXT"),"",IF(Database[[#This Row],[SECTION NAME]]="","",Database[[#This Row],[SECTION NAME]]))</f>
        <v/>
      </c>
    </row>
    <row r="99" spans="2:37" ht="30" x14ac:dyDescent="0.25">
      <c r="B99" s="55" t="s">
        <v>36</v>
      </c>
      <c r="C99" s="55">
        <v>9</v>
      </c>
      <c r="D99" s="55" t="s">
        <v>67</v>
      </c>
      <c r="E99" s="55">
        <v>99300</v>
      </c>
      <c r="F99" s="58" t="s">
        <v>8452</v>
      </c>
      <c r="G99" s="77" t="s">
        <v>8453</v>
      </c>
      <c r="H99" s="58" t="s">
        <v>8454</v>
      </c>
      <c r="I99" s="69"/>
      <c r="J99" s="57"/>
      <c r="K99" s="57"/>
      <c r="L99" s="57"/>
      <c r="M99" s="57"/>
      <c r="N99" s="59" t="s">
        <v>38</v>
      </c>
      <c r="O99" s="71"/>
      <c r="P99" s="56"/>
      <c r="Q99" s="56"/>
      <c r="R99" s="56"/>
      <c r="S99" s="56"/>
      <c r="T99" s="60"/>
      <c r="U99" s="74"/>
      <c r="V99" s="55"/>
      <c r="W99" s="55"/>
      <c r="X99" s="55"/>
      <c r="Y99" s="55"/>
      <c r="Z99" s="55"/>
      <c r="AA99" s="55"/>
      <c r="AB99" s="55"/>
      <c r="AC99" s="55">
        <f>IF(COUNTIF($C$3:C99,C99)=1,1,IF(COUNTIF($E$3:E99,E99)=1,2,0))</f>
        <v>2</v>
      </c>
      <c r="AD99" s="55" t="str">
        <f>IF(ISNUMBER(SEARCH("-",Database[[#This Row],[KEYNOTE '#]])),LEFT(Database[[#This Row],[KEYNOTE '#]],FIND("-",Database[[#This Row],[KEYNOTE '#]])-1),Database[[#This Row],[KEYNOTE '#]])</f>
        <v>SF</v>
      </c>
      <c r="AE9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99" s="55" t="str">
        <f>IF(AND(ISNUMBER(SEARCH("-",Database[[#This Row],[KEYNOTE '#]]))=TRUE,ISNUMBER(--RIGHT(Database[[#This Row],[KEYNOTE '#]]))=FALSE),RIGHT(Database[[#This Row],[KEYNOTE '#]],1),"")</f>
        <v/>
      </c>
      <c r="AG99" s="55">
        <v>97</v>
      </c>
      <c r="AH99" s="55" t="str">
        <f>IF(COUNTIF(Database[[#This Row],[BASE]:[INT. OTHER]],"g"),"INTERIOR",IF(COUNTIF(Database[[#This Row],[ROOF]:[EXT. OTHER]],"n"),"EXTERIOR",Database[[#This Row],[DIVISION '#]]))</f>
        <v>INTERIOR</v>
      </c>
      <c r="AI99" s="55" t="str">
        <f>IF(OR(Database[[#This Row],[KEYTIER1]]="INTERIOR",Database[[#This Row],[KEYTIER1]]="EXTERIOR"),"",Database[[#This Row],[DIVISION NAME]])</f>
        <v/>
      </c>
      <c r="AJ99" s="55" t="str">
        <f>IF(Database[[#This Row],[KEYTIER1]]="INTERIOR","INT",IF(Database[[#This Row],[KEYTIER1]]="EXTERIOR","EXT",Database[[#This Row],[SECTION '#]]))</f>
        <v>INT</v>
      </c>
      <c r="AK99" s="55" t="str">
        <f>IF(OR(Database[[#This Row],[KEYTIER2]]="INT",Database[[#This Row],[KEYTIER2]]="EXT"),"",IF(Database[[#This Row],[SECTION NAME]]="","",Database[[#This Row],[SECTION NAME]]))</f>
        <v/>
      </c>
    </row>
    <row r="100" spans="2:37" ht="30" x14ac:dyDescent="0.25">
      <c r="B100" s="55" t="s">
        <v>36</v>
      </c>
      <c r="C100" s="55">
        <v>9</v>
      </c>
      <c r="D100" s="55" t="s">
        <v>67</v>
      </c>
      <c r="E100" s="55">
        <v>99600</v>
      </c>
      <c r="F100" s="58" t="s">
        <v>8455</v>
      </c>
      <c r="G100" s="77" t="s">
        <v>8456</v>
      </c>
      <c r="H100" s="58" t="s">
        <v>8457</v>
      </c>
      <c r="I100" s="69"/>
      <c r="J100" s="57"/>
      <c r="K100" s="57"/>
      <c r="L100" s="57"/>
      <c r="M100" s="57"/>
      <c r="N100" s="59" t="s">
        <v>38</v>
      </c>
      <c r="O100" s="71"/>
      <c r="P100" s="56"/>
      <c r="Q100" s="56"/>
      <c r="R100" s="56"/>
      <c r="S100" s="56"/>
      <c r="T100" s="60"/>
      <c r="U100" s="74"/>
      <c r="V100" s="55"/>
      <c r="W100" s="55"/>
      <c r="X100" s="55"/>
      <c r="Y100" s="55"/>
      <c r="Z100" s="55"/>
      <c r="AA100" s="55"/>
      <c r="AB100" s="55"/>
      <c r="AC100" s="55">
        <f>IF(COUNTIF($C$3:C100,C100)=1,1,IF(COUNTIF($E$3:E100,E100)=1,2,0))</f>
        <v>2</v>
      </c>
      <c r="AD100" s="55" t="str">
        <f>IF(ISNUMBER(SEARCH("-",Database[[#This Row],[KEYNOTE '#]])),LEFT(Database[[#This Row],[KEYNOTE '#]],FIND("-",Database[[#This Row],[KEYNOTE '#]])-1),Database[[#This Row],[KEYNOTE '#]])</f>
        <v>CTG</v>
      </c>
      <c r="AE10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0" s="55" t="str">
        <f>IF(AND(ISNUMBER(SEARCH("-",Database[[#This Row],[KEYNOTE '#]]))=TRUE,ISNUMBER(--RIGHT(Database[[#This Row],[KEYNOTE '#]]))=FALSE),RIGHT(Database[[#This Row],[KEYNOTE '#]],1),"")</f>
        <v/>
      </c>
      <c r="AG100" s="55">
        <v>98</v>
      </c>
      <c r="AH100" s="55" t="str">
        <f>IF(COUNTIF(Database[[#This Row],[BASE]:[INT. OTHER]],"g"),"INTERIOR",IF(COUNTIF(Database[[#This Row],[ROOF]:[EXT. OTHER]],"n"),"EXTERIOR",Database[[#This Row],[DIVISION '#]]))</f>
        <v>INTERIOR</v>
      </c>
      <c r="AI100" s="55" t="str">
        <f>IF(OR(Database[[#This Row],[KEYTIER1]]="INTERIOR",Database[[#This Row],[KEYTIER1]]="EXTERIOR"),"",Database[[#This Row],[DIVISION NAME]])</f>
        <v/>
      </c>
      <c r="AJ100" s="55" t="str">
        <f>IF(Database[[#This Row],[KEYTIER1]]="INTERIOR","INT",IF(Database[[#This Row],[KEYTIER1]]="EXTERIOR","EXT",Database[[#This Row],[SECTION '#]]))</f>
        <v>INT</v>
      </c>
      <c r="AK100" s="55" t="str">
        <f>IF(OR(Database[[#This Row],[KEYTIER2]]="INT",Database[[#This Row],[KEYTIER2]]="EXT"),"",IF(Database[[#This Row],[SECTION NAME]]="","",Database[[#This Row],[SECTION NAME]]))</f>
        <v/>
      </c>
    </row>
    <row r="101" spans="2:37" x14ac:dyDescent="0.25">
      <c r="B101" s="55" t="s">
        <v>36</v>
      </c>
      <c r="C101" s="55">
        <v>10</v>
      </c>
      <c r="D101" s="55" t="s">
        <v>69</v>
      </c>
      <c r="E101" s="55">
        <v>101123</v>
      </c>
      <c r="F101" s="58" t="s">
        <v>8458</v>
      </c>
      <c r="G101" s="77" t="s">
        <v>8459</v>
      </c>
      <c r="H101" s="58" t="s">
        <v>8460</v>
      </c>
      <c r="I101" s="69"/>
      <c r="J101" s="57"/>
      <c r="K101" s="57"/>
      <c r="L101" s="57"/>
      <c r="M101" s="57"/>
      <c r="N101" s="59"/>
      <c r="O101" s="71"/>
      <c r="P101" s="56"/>
      <c r="Q101" s="56"/>
      <c r="R101" s="56"/>
      <c r="S101" s="56"/>
      <c r="T101" s="60"/>
      <c r="U101" s="74"/>
      <c r="V101" s="55"/>
      <c r="W101" s="55"/>
      <c r="X101" s="55"/>
      <c r="Y101" s="55"/>
      <c r="Z101" s="55"/>
      <c r="AA101" s="55"/>
      <c r="AB101" s="55"/>
      <c r="AC101" s="55">
        <f>IF(COUNTIF($C$3:C101,C101)=1,1,IF(COUNTIF($E$3:E101,E101)=1,2,0))</f>
        <v>1</v>
      </c>
      <c r="AD101" s="55" t="str">
        <f>IF(ISNUMBER(SEARCH("-",Database[[#This Row],[KEYNOTE '#]])),LEFT(Database[[#This Row],[KEYNOTE '#]],FIND("-",Database[[#This Row],[KEYNOTE '#]])-1),Database[[#This Row],[KEYNOTE '#]])</f>
        <v>MB</v>
      </c>
      <c r="AE10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1" s="55" t="str">
        <f>IF(AND(ISNUMBER(SEARCH("-",Database[[#This Row],[KEYNOTE '#]]))=TRUE,ISNUMBER(--RIGHT(Database[[#This Row],[KEYNOTE '#]]))=FALSE),RIGHT(Database[[#This Row],[KEYNOTE '#]],1),"")</f>
        <v/>
      </c>
      <c r="AG101" s="55">
        <v>99</v>
      </c>
      <c r="AH101" s="55">
        <f>IF(COUNTIF(Database[[#This Row],[BASE]:[INT. OTHER]],"g"),"INTERIOR",IF(COUNTIF(Database[[#This Row],[ROOF]:[EXT. OTHER]],"n"),"EXTERIOR",Database[[#This Row],[DIVISION '#]]))</f>
        <v>10</v>
      </c>
      <c r="AI101" s="55" t="str">
        <f>IF(OR(Database[[#This Row],[KEYTIER1]]="INTERIOR",Database[[#This Row],[KEYTIER1]]="EXTERIOR"),"",Database[[#This Row],[DIVISION NAME]])</f>
        <v>DIVISION 10 - SPECIALTIES</v>
      </c>
      <c r="AJ101" s="55">
        <f>IF(Database[[#This Row],[KEYTIER1]]="INTERIOR","INT",IF(Database[[#This Row],[KEYTIER1]]="EXTERIOR","EXT",Database[[#This Row],[SECTION '#]]))</f>
        <v>101123</v>
      </c>
      <c r="AK101" s="55" t="str">
        <f>IF(OR(Database[[#This Row],[KEYTIER2]]="INT",Database[[#This Row],[KEYTIER2]]="EXT"),"",IF(Database[[#This Row],[SECTION NAME]]="","",Database[[#This Row],[SECTION NAME]]))</f>
        <v>SECTION 101123 - TACKBOARDS</v>
      </c>
    </row>
    <row r="102" spans="2:37" ht="30" x14ac:dyDescent="0.25">
      <c r="B102" s="55" t="s">
        <v>36</v>
      </c>
      <c r="C102" s="55">
        <v>10</v>
      </c>
      <c r="D102" s="55" t="s">
        <v>69</v>
      </c>
      <c r="E102" s="55">
        <v>101123</v>
      </c>
      <c r="F102" s="58" t="s">
        <v>8458</v>
      </c>
      <c r="G102" s="77" t="s">
        <v>8461</v>
      </c>
      <c r="H102" s="58" t="s">
        <v>8462</v>
      </c>
      <c r="I102" s="69"/>
      <c r="J102" s="57"/>
      <c r="K102" s="57"/>
      <c r="L102" s="57"/>
      <c r="M102" s="57"/>
      <c r="N102" s="59"/>
      <c r="O102" s="71"/>
      <c r="P102" s="56"/>
      <c r="Q102" s="56"/>
      <c r="R102" s="56"/>
      <c r="S102" s="56"/>
      <c r="T102" s="60"/>
      <c r="U102" s="74"/>
      <c r="V102" s="55"/>
      <c r="W102" s="55"/>
      <c r="X102" s="55"/>
      <c r="Y102" s="55"/>
      <c r="Z102" s="55"/>
      <c r="AA102" s="55"/>
      <c r="AB102" s="55"/>
      <c r="AC102" s="55">
        <f>IF(COUNTIF($C$3:C102,C102)=1,1,IF(COUNTIF($E$3:E102,E102)=1,2,0))</f>
        <v>0</v>
      </c>
      <c r="AD102" s="55" t="str">
        <f>IF(ISNUMBER(SEARCH("-",Database[[#This Row],[KEYNOTE '#]])),LEFT(Database[[#This Row],[KEYNOTE '#]],FIND("-",Database[[#This Row],[KEYNOTE '#]])-1),Database[[#This Row],[KEYNOTE '#]])</f>
        <v>MBP</v>
      </c>
      <c r="AE10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2" s="55" t="str">
        <f>IF(AND(ISNUMBER(SEARCH("-",Database[[#This Row],[KEYNOTE '#]]))=TRUE,ISNUMBER(--RIGHT(Database[[#This Row],[KEYNOTE '#]]))=FALSE),RIGHT(Database[[#This Row],[KEYNOTE '#]],1),"")</f>
        <v/>
      </c>
      <c r="AG102" s="55">
        <v>100</v>
      </c>
      <c r="AH102" s="55">
        <f>IF(COUNTIF(Database[[#This Row],[BASE]:[INT. OTHER]],"g"),"INTERIOR",IF(COUNTIF(Database[[#This Row],[ROOF]:[EXT. OTHER]],"n"),"EXTERIOR",Database[[#This Row],[DIVISION '#]]))</f>
        <v>10</v>
      </c>
      <c r="AI102" s="55" t="str">
        <f>IF(OR(Database[[#This Row],[KEYTIER1]]="INTERIOR",Database[[#This Row],[KEYTIER1]]="EXTERIOR"),"",Database[[#This Row],[DIVISION NAME]])</f>
        <v>DIVISION 10 - SPECIALTIES</v>
      </c>
      <c r="AJ102" s="55">
        <f>IF(Database[[#This Row],[KEYTIER1]]="INTERIOR","INT",IF(Database[[#This Row],[KEYTIER1]]="EXTERIOR","EXT",Database[[#This Row],[SECTION '#]]))</f>
        <v>101123</v>
      </c>
      <c r="AK102" s="55" t="str">
        <f>IF(OR(Database[[#This Row],[KEYTIER2]]="INT",Database[[#This Row],[KEYTIER2]]="EXT"),"",IF(Database[[#This Row],[SECTION NAME]]="","",Database[[#This Row],[SECTION NAME]]))</f>
        <v>SECTION 101123 - TACKBOARDS</v>
      </c>
    </row>
    <row r="103" spans="2:37" x14ac:dyDescent="0.25">
      <c r="B103" s="55" t="s">
        <v>36</v>
      </c>
      <c r="C103" s="55">
        <v>10</v>
      </c>
      <c r="D103" s="55" t="s">
        <v>69</v>
      </c>
      <c r="E103" s="55">
        <v>101123</v>
      </c>
      <c r="F103" s="58" t="s">
        <v>8458</v>
      </c>
      <c r="G103" s="77" t="s">
        <v>8463</v>
      </c>
      <c r="H103" s="58" t="s">
        <v>8464</v>
      </c>
      <c r="I103" s="69"/>
      <c r="J103" s="57"/>
      <c r="K103" s="57"/>
      <c r="L103" s="57"/>
      <c r="M103" s="57"/>
      <c r="N103" s="59"/>
      <c r="O103" s="71"/>
      <c r="P103" s="56"/>
      <c r="Q103" s="56"/>
      <c r="R103" s="56"/>
      <c r="S103" s="56"/>
      <c r="T103" s="60"/>
      <c r="U103" s="74"/>
      <c r="V103" s="55"/>
      <c r="W103" s="55"/>
      <c r="X103" s="55"/>
      <c r="Y103" s="55"/>
      <c r="Z103" s="55"/>
      <c r="AA103" s="55"/>
      <c r="AB103" s="55"/>
      <c r="AC103" s="55">
        <f>IF(COUNTIF($C$3:C103,C103)=1,1,IF(COUNTIF($E$3:E103,E103)=1,2,0))</f>
        <v>0</v>
      </c>
      <c r="AD103" s="55" t="str">
        <f>IF(ISNUMBER(SEARCH("-",Database[[#This Row],[KEYNOTE '#]])),LEFT(Database[[#This Row],[KEYNOTE '#]],FIND("-",Database[[#This Row],[KEYNOTE '#]])-1),Database[[#This Row],[KEYNOTE '#]])</f>
        <v>TB</v>
      </c>
      <c r="AE10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3" s="55" t="str">
        <f>IF(AND(ISNUMBER(SEARCH("-",Database[[#This Row],[KEYNOTE '#]]))=TRUE,ISNUMBER(--RIGHT(Database[[#This Row],[KEYNOTE '#]]))=FALSE),RIGHT(Database[[#This Row],[KEYNOTE '#]],1),"")</f>
        <v/>
      </c>
      <c r="AG103" s="55">
        <v>101</v>
      </c>
      <c r="AH103" s="55">
        <f>IF(COUNTIF(Database[[#This Row],[BASE]:[INT. OTHER]],"g"),"INTERIOR",IF(COUNTIF(Database[[#This Row],[ROOF]:[EXT. OTHER]],"n"),"EXTERIOR",Database[[#This Row],[DIVISION '#]]))</f>
        <v>10</v>
      </c>
      <c r="AI103" s="55" t="str">
        <f>IF(OR(Database[[#This Row],[KEYTIER1]]="INTERIOR",Database[[#This Row],[KEYTIER1]]="EXTERIOR"),"",Database[[#This Row],[DIVISION NAME]])</f>
        <v>DIVISION 10 - SPECIALTIES</v>
      </c>
      <c r="AJ103" s="55">
        <f>IF(Database[[#This Row],[KEYTIER1]]="INTERIOR","INT",IF(Database[[#This Row],[KEYTIER1]]="EXTERIOR","EXT",Database[[#This Row],[SECTION '#]]))</f>
        <v>101123</v>
      </c>
      <c r="AK103" s="55" t="str">
        <f>IF(OR(Database[[#This Row],[KEYTIER2]]="INT",Database[[#This Row],[KEYTIER2]]="EXT"),"",IF(Database[[#This Row],[SECTION NAME]]="","",Database[[#This Row],[SECTION NAME]]))</f>
        <v>SECTION 101123 - TACKBOARDS</v>
      </c>
    </row>
    <row r="104" spans="2:37" x14ac:dyDescent="0.25">
      <c r="B104" s="55" t="s">
        <v>36</v>
      </c>
      <c r="C104" s="55">
        <v>10</v>
      </c>
      <c r="D104" s="55" t="s">
        <v>69</v>
      </c>
      <c r="E104" s="55">
        <v>101423</v>
      </c>
      <c r="F104" s="58" t="s">
        <v>8465</v>
      </c>
      <c r="G104" s="77" t="s">
        <v>8466</v>
      </c>
      <c r="H104" s="58" t="s">
        <v>8467</v>
      </c>
      <c r="I104" s="69"/>
      <c r="J104" s="57"/>
      <c r="K104" s="57"/>
      <c r="L104" s="57"/>
      <c r="M104" s="57"/>
      <c r="N104" s="59"/>
      <c r="O104" s="71"/>
      <c r="P104" s="56"/>
      <c r="Q104" s="56"/>
      <c r="R104" s="56"/>
      <c r="S104" s="56"/>
      <c r="T104" s="60"/>
      <c r="U104" s="74"/>
      <c r="V104" s="55"/>
      <c r="W104" s="55"/>
      <c r="X104" s="55"/>
      <c r="Y104" s="55"/>
      <c r="Z104" s="55"/>
      <c r="AA104" s="55"/>
      <c r="AB104" s="55"/>
      <c r="AC104" s="55">
        <f>IF(COUNTIF($C$3:C104,C104)=1,1,IF(COUNTIF($E$3:E104,E104)=1,2,0))</f>
        <v>2</v>
      </c>
      <c r="AD104" s="55" t="str">
        <f>IF(ISNUMBER(SEARCH("-",Database[[#This Row],[KEYNOTE '#]])),LEFT(Database[[#This Row],[KEYNOTE '#]],FIND("-",Database[[#This Row],[KEYNOTE '#]])-1),Database[[#This Row],[KEYNOTE '#]])</f>
        <v>PS</v>
      </c>
      <c r="AE10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4" s="55" t="str">
        <f>IF(AND(ISNUMBER(SEARCH("-",Database[[#This Row],[KEYNOTE '#]]))=TRUE,ISNUMBER(--RIGHT(Database[[#This Row],[KEYNOTE '#]]))=FALSE),RIGHT(Database[[#This Row],[KEYNOTE '#]],1),"")</f>
        <v/>
      </c>
      <c r="AG104" s="55">
        <v>102</v>
      </c>
      <c r="AH104" s="55">
        <f>IF(COUNTIF(Database[[#This Row],[BASE]:[INT. OTHER]],"g"),"INTERIOR",IF(COUNTIF(Database[[#This Row],[ROOF]:[EXT. OTHER]],"n"),"EXTERIOR",Database[[#This Row],[DIVISION '#]]))</f>
        <v>10</v>
      </c>
      <c r="AI104" s="55" t="str">
        <f>IF(OR(Database[[#This Row],[KEYTIER1]]="INTERIOR",Database[[#This Row],[KEYTIER1]]="EXTERIOR"),"",Database[[#This Row],[DIVISION NAME]])</f>
        <v>DIVISION 10 - SPECIALTIES</v>
      </c>
      <c r="AJ104" s="55">
        <f>IF(Database[[#This Row],[KEYTIER1]]="INTERIOR","INT",IF(Database[[#This Row],[KEYTIER1]]="EXTERIOR","EXT",Database[[#This Row],[SECTION '#]]))</f>
        <v>101423</v>
      </c>
      <c r="AK104" s="55" t="str">
        <f>IF(OR(Database[[#This Row],[KEYTIER2]]="INT",Database[[#This Row],[KEYTIER2]]="EXT"),"",IF(Database[[#This Row],[SECTION NAME]]="","",Database[[#This Row],[SECTION NAME]]))</f>
        <v>SECTION 101423 - PANEL SIGNAGE</v>
      </c>
    </row>
    <row r="105" spans="2:37" x14ac:dyDescent="0.25">
      <c r="B105" s="55" t="s">
        <v>36</v>
      </c>
      <c r="C105" s="55">
        <v>10</v>
      </c>
      <c r="D105" s="55" t="s">
        <v>69</v>
      </c>
      <c r="E105" s="55">
        <v>102100</v>
      </c>
      <c r="F105" s="58" t="s">
        <v>8468</v>
      </c>
      <c r="G105" s="77" t="s">
        <v>8469</v>
      </c>
      <c r="H105" s="58" t="s">
        <v>8470</v>
      </c>
      <c r="I105" s="69"/>
      <c r="J105" s="57"/>
      <c r="K105" s="57"/>
      <c r="L105" s="57"/>
      <c r="M105" s="57"/>
      <c r="N105" s="59"/>
      <c r="O105" s="71"/>
      <c r="P105" s="56"/>
      <c r="Q105" s="56"/>
      <c r="R105" s="56"/>
      <c r="S105" s="56"/>
      <c r="T105" s="60"/>
      <c r="U105" s="74"/>
      <c r="V105" s="55"/>
      <c r="W105" s="55"/>
      <c r="X105" s="55"/>
      <c r="Y105" s="55"/>
      <c r="Z105" s="55"/>
      <c r="AA105" s="55"/>
      <c r="AB105" s="55"/>
      <c r="AC105" s="55">
        <f>IF(COUNTIF($C$3:C105,C105)=1,1,IF(COUNTIF($E$3:E105,E105)=1,2,0))</f>
        <v>2</v>
      </c>
      <c r="AD105" s="55" t="str">
        <f>IF(ISNUMBER(SEARCH("-",Database[[#This Row],[KEYNOTE '#]])),LEFT(Database[[#This Row],[KEYNOTE '#]],FIND("-",Database[[#This Row],[KEYNOTE '#]])-1),Database[[#This Row],[KEYNOTE '#]])</f>
        <v>TP</v>
      </c>
      <c r="AE10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5" s="55" t="str">
        <f>IF(AND(ISNUMBER(SEARCH("-",Database[[#This Row],[KEYNOTE '#]]))=TRUE,ISNUMBER(--RIGHT(Database[[#This Row],[KEYNOTE '#]]))=FALSE),RIGHT(Database[[#This Row],[KEYNOTE '#]],1),"")</f>
        <v/>
      </c>
      <c r="AG105" s="55">
        <v>103</v>
      </c>
      <c r="AH105" s="55">
        <f>IF(COUNTIF(Database[[#This Row],[BASE]:[INT. OTHER]],"g"),"INTERIOR",IF(COUNTIF(Database[[#This Row],[ROOF]:[EXT. OTHER]],"n"),"EXTERIOR",Database[[#This Row],[DIVISION '#]]))</f>
        <v>10</v>
      </c>
      <c r="AI105" s="55" t="str">
        <f>IF(OR(Database[[#This Row],[KEYTIER1]]="INTERIOR",Database[[#This Row],[KEYTIER1]]="EXTERIOR"),"",Database[[#This Row],[DIVISION NAME]])</f>
        <v>DIVISION 10 - SPECIALTIES</v>
      </c>
      <c r="AJ105" s="55">
        <f>IF(Database[[#This Row],[KEYTIER1]]="INTERIOR","INT",IF(Database[[#This Row],[KEYTIER1]]="EXTERIOR","EXT",Database[[#This Row],[SECTION '#]]))</f>
        <v>102100</v>
      </c>
      <c r="AK105" s="55" t="str">
        <f>IF(OR(Database[[#This Row],[KEYTIER2]]="INT",Database[[#This Row],[KEYTIER2]]="EXT"),"",IF(Database[[#This Row],[SECTION NAME]]="","",Database[[#This Row],[SECTION NAME]]))</f>
        <v>SECTION 102100 - TOILET PARTITIONS</v>
      </c>
    </row>
    <row r="106" spans="2:37" ht="30" x14ac:dyDescent="0.25">
      <c r="B106" s="55" t="s">
        <v>36</v>
      </c>
      <c r="C106" s="55">
        <v>10</v>
      </c>
      <c r="D106" s="55" t="s">
        <v>69</v>
      </c>
      <c r="E106" s="55">
        <v>102800</v>
      </c>
      <c r="F106" s="58" t="s">
        <v>8471</v>
      </c>
      <c r="G106" s="77" t="s">
        <v>8472</v>
      </c>
      <c r="H106" s="58" t="s">
        <v>8473</v>
      </c>
      <c r="I106" s="69"/>
      <c r="J106" s="57"/>
      <c r="K106" s="57"/>
      <c r="L106" s="57"/>
      <c r="M106" s="57"/>
      <c r="N106" s="59"/>
      <c r="O106" s="71"/>
      <c r="P106" s="56"/>
      <c r="Q106" s="56"/>
      <c r="R106" s="56"/>
      <c r="S106" s="56"/>
      <c r="T106" s="60"/>
      <c r="U106" s="74"/>
      <c r="V106" s="55"/>
      <c r="W106" s="55"/>
      <c r="X106" s="55"/>
      <c r="Y106" s="55"/>
      <c r="Z106" s="55"/>
      <c r="AA106" s="55"/>
      <c r="AB106" s="55"/>
      <c r="AC106" s="55">
        <f>IF(COUNTIF($C$3:C106,C106)=1,1,IF(COUNTIF($E$3:E106,E106)=1,2,0))</f>
        <v>2</v>
      </c>
      <c r="AD106" s="55" t="str">
        <f>IF(ISNUMBER(SEARCH("-",Database[[#This Row],[KEYNOTE '#]])),LEFT(Database[[#This Row],[KEYNOTE '#]],FIND("-",Database[[#This Row],[KEYNOTE '#]])-1),Database[[#This Row],[KEYNOTE '#]])</f>
        <v>TA</v>
      </c>
      <c r="AE10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6" s="55" t="str">
        <f>IF(AND(ISNUMBER(SEARCH("-",Database[[#This Row],[KEYNOTE '#]]))=TRUE,ISNUMBER(--RIGHT(Database[[#This Row],[KEYNOTE '#]]))=FALSE),RIGHT(Database[[#This Row],[KEYNOTE '#]],1),"")</f>
        <v/>
      </c>
      <c r="AG106" s="55">
        <v>104</v>
      </c>
      <c r="AH106" s="55">
        <f>IF(COUNTIF(Database[[#This Row],[BASE]:[INT. OTHER]],"g"),"INTERIOR",IF(COUNTIF(Database[[#This Row],[ROOF]:[EXT. OTHER]],"n"),"EXTERIOR",Database[[#This Row],[DIVISION '#]]))</f>
        <v>10</v>
      </c>
      <c r="AI106" s="55" t="str">
        <f>IF(OR(Database[[#This Row],[KEYTIER1]]="INTERIOR",Database[[#This Row],[KEYTIER1]]="EXTERIOR"),"",Database[[#This Row],[DIVISION NAME]])</f>
        <v>DIVISION 10 - SPECIALTIES</v>
      </c>
      <c r="AJ106" s="55">
        <f>IF(Database[[#This Row],[KEYTIER1]]="INTERIOR","INT",IF(Database[[#This Row],[KEYTIER1]]="EXTERIOR","EXT",Database[[#This Row],[SECTION '#]]))</f>
        <v>102800</v>
      </c>
      <c r="AK106" s="55" t="str">
        <f>IF(OR(Database[[#This Row],[KEYTIER2]]="INT",Database[[#This Row],[KEYTIER2]]="EXT"),"",IF(Database[[#This Row],[SECTION NAME]]="","",Database[[#This Row],[SECTION NAME]]))</f>
        <v>SECTION 102800 - TOILET, BATH, AND LAUNDRY ACCESSORIES</v>
      </c>
    </row>
    <row r="107" spans="2:37" ht="30" x14ac:dyDescent="0.25">
      <c r="B107" s="55" t="s">
        <v>36</v>
      </c>
      <c r="C107" s="55">
        <v>10</v>
      </c>
      <c r="D107" s="55" t="s">
        <v>69</v>
      </c>
      <c r="E107" s="55">
        <v>104413</v>
      </c>
      <c r="F107" s="58" t="s">
        <v>8474</v>
      </c>
      <c r="G107" s="77" t="s">
        <v>8475</v>
      </c>
      <c r="H107" s="58" t="s">
        <v>8476</v>
      </c>
      <c r="I107" s="69"/>
      <c r="J107" s="57"/>
      <c r="K107" s="57"/>
      <c r="L107" s="57"/>
      <c r="M107" s="57"/>
      <c r="N107" s="59"/>
      <c r="O107" s="71"/>
      <c r="P107" s="56"/>
      <c r="Q107" s="56"/>
      <c r="R107" s="56"/>
      <c r="S107" s="56"/>
      <c r="T107" s="60"/>
      <c r="U107" s="74"/>
      <c r="V107" s="55"/>
      <c r="W107" s="55"/>
      <c r="X107" s="55"/>
      <c r="Y107" s="55"/>
      <c r="Z107" s="55"/>
      <c r="AA107" s="55"/>
      <c r="AB107" s="55"/>
      <c r="AC107" s="55">
        <f>IF(COUNTIF($C$3:C107,C107)=1,1,IF(COUNTIF($E$3:E107,E107)=1,2,0))</f>
        <v>2</v>
      </c>
      <c r="AD107" s="55" t="str">
        <f>IF(ISNUMBER(SEARCH("-",Database[[#This Row],[KEYNOTE '#]])),LEFT(Database[[#This Row],[KEYNOTE '#]],FIND("-",Database[[#This Row],[KEYNOTE '#]])-1),Database[[#This Row],[KEYNOTE '#]])</f>
        <v>FE</v>
      </c>
      <c r="AE10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7" s="55" t="str">
        <f>IF(AND(ISNUMBER(SEARCH("-",Database[[#This Row],[KEYNOTE '#]]))=TRUE,ISNUMBER(--RIGHT(Database[[#This Row],[KEYNOTE '#]]))=FALSE),RIGHT(Database[[#This Row],[KEYNOTE '#]],1),"")</f>
        <v/>
      </c>
      <c r="AG107" s="55">
        <v>105</v>
      </c>
      <c r="AH107" s="55">
        <f>IF(COUNTIF(Database[[#This Row],[BASE]:[INT. OTHER]],"g"),"INTERIOR",IF(COUNTIF(Database[[#This Row],[ROOF]:[EXT. OTHER]],"n"),"EXTERIOR",Database[[#This Row],[DIVISION '#]]))</f>
        <v>10</v>
      </c>
      <c r="AI107" s="55" t="str">
        <f>IF(OR(Database[[#This Row],[KEYTIER1]]="INTERIOR",Database[[#This Row],[KEYTIER1]]="EXTERIOR"),"",Database[[#This Row],[DIVISION NAME]])</f>
        <v>DIVISION 10 - SPECIALTIES</v>
      </c>
      <c r="AJ107" s="55">
        <f>IF(Database[[#This Row],[KEYTIER1]]="INTERIOR","INT",IF(Database[[#This Row],[KEYTIER1]]="EXTERIOR","EXT",Database[[#This Row],[SECTION '#]]))</f>
        <v>104413</v>
      </c>
      <c r="AK107" s="55" t="str">
        <f>IF(OR(Database[[#This Row],[KEYTIER2]]="INT",Database[[#This Row],[KEYTIER2]]="EXT"),"",IF(Database[[#This Row],[SECTION NAME]]="","",Database[[#This Row],[SECTION NAME]]))</f>
        <v>SECTION 104413 - FIRE PROTECTION CABINETS</v>
      </c>
    </row>
    <row r="108" spans="2:37" ht="30" x14ac:dyDescent="0.25">
      <c r="B108" s="55" t="s">
        <v>36</v>
      </c>
      <c r="C108" s="55">
        <v>12</v>
      </c>
      <c r="D108" s="55" t="s">
        <v>70</v>
      </c>
      <c r="E108" s="55">
        <v>122200</v>
      </c>
      <c r="F108" s="58" t="s">
        <v>8477</v>
      </c>
      <c r="G108" s="77" t="s">
        <v>8478</v>
      </c>
      <c r="H108" s="58" t="s">
        <v>8479</v>
      </c>
      <c r="I108" s="69"/>
      <c r="J108" s="57"/>
      <c r="K108" s="57"/>
      <c r="L108" s="57"/>
      <c r="M108" s="57"/>
      <c r="N108" s="59"/>
      <c r="O108" s="71"/>
      <c r="P108" s="56"/>
      <c r="Q108" s="56"/>
      <c r="R108" s="56"/>
      <c r="S108" s="56"/>
      <c r="T108" s="60"/>
      <c r="U108" s="74"/>
      <c r="V108" s="55"/>
      <c r="W108" s="55"/>
      <c r="X108" s="55"/>
      <c r="Y108" s="55"/>
      <c r="Z108" s="55"/>
      <c r="AA108" s="55"/>
      <c r="AB108" s="55"/>
      <c r="AC108" s="55">
        <f>IF(COUNTIF($C$3:C108,C108)=1,1,IF(COUNTIF($E$3:E108,E108)=1,2,0))</f>
        <v>1</v>
      </c>
      <c r="AD108" s="55" t="str">
        <f>IF(ISNUMBER(SEARCH("-",Database[[#This Row],[KEYNOTE '#]])),LEFT(Database[[#This Row],[KEYNOTE '#]],FIND("-",Database[[#This Row],[KEYNOTE '#]])-1),Database[[#This Row],[KEYNOTE '#]])</f>
        <v>DRO</v>
      </c>
      <c r="AE10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8" s="55" t="str">
        <f>IF(AND(ISNUMBER(SEARCH("-",Database[[#This Row],[KEYNOTE '#]]))=TRUE,ISNUMBER(--RIGHT(Database[[#This Row],[KEYNOTE '#]]))=FALSE),RIGHT(Database[[#This Row],[KEYNOTE '#]],1),"")</f>
        <v/>
      </c>
      <c r="AG108" s="55">
        <v>106</v>
      </c>
      <c r="AH108" s="55">
        <f>IF(COUNTIF(Database[[#This Row],[BASE]:[INT. OTHER]],"g"),"INTERIOR",IF(COUNTIF(Database[[#This Row],[ROOF]:[EXT. OTHER]],"n"),"EXTERIOR",Database[[#This Row],[DIVISION '#]]))</f>
        <v>12</v>
      </c>
      <c r="AI108" s="55" t="str">
        <f>IF(OR(Database[[#This Row],[KEYTIER1]]="INTERIOR",Database[[#This Row],[KEYTIER1]]="EXTERIOR"),"",Database[[#This Row],[DIVISION NAME]])</f>
        <v>DIVISION 12 - FURNISHINGS</v>
      </c>
      <c r="AJ108" s="55">
        <f>IF(Database[[#This Row],[KEYTIER1]]="INTERIOR","INT",IF(Database[[#This Row],[KEYTIER1]]="EXTERIOR","EXT",Database[[#This Row],[SECTION '#]]))</f>
        <v>122200</v>
      </c>
      <c r="AK108" s="55" t="str">
        <f>IF(OR(Database[[#This Row],[KEYTIER2]]="INT",Database[[#This Row],[KEYTIER2]]="EXT"),"",IF(Database[[#This Row],[SECTION NAME]]="","",Database[[#This Row],[SECTION NAME]]))</f>
        <v>SECTION 122200 - DRAPERIES</v>
      </c>
    </row>
    <row r="109" spans="2:37" ht="30" x14ac:dyDescent="0.25">
      <c r="B109" s="55" t="s">
        <v>36</v>
      </c>
      <c r="C109" s="55">
        <v>12</v>
      </c>
      <c r="D109" s="55" t="s">
        <v>70</v>
      </c>
      <c r="E109" s="55">
        <v>122413</v>
      </c>
      <c r="F109" s="58" t="s">
        <v>8480</v>
      </c>
      <c r="G109" s="77" t="s">
        <v>8481</v>
      </c>
      <c r="H109" s="58" t="s">
        <v>8482</v>
      </c>
      <c r="I109" s="69"/>
      <c r="J109" s="57"/>
      <c r="K109" s="57"/>
      <c r="L109" s="57"/>
      <c r="M109" s="57"/>
      <c r="N109" s="59"/>
      <c r="O109" s="71"/>
      <c r="P109" s="56"/>
      <c r="Q109" s="56"/>
      <c r="R109" s="56"/>
      <c r="S109" s="56"/>
      <c r="T109" s="60"/>
      <c r="U109" s="74"/>
      <c r="V109" s="55"/>
      <c r="W109" s="55"/>
      <c r="X109" s="55"/>
      <c r="Y109" s="55"/>
      <c r="Z109" s="55"/>
      <c r="AA109" s="55"/>
      <c r="AB109" s="55"/>
      <c r="AC109" s="55">
        <f>IF(COUNTIF($C$3:C109,C109)=1,1,IF(COUNTIF($E$3:E109,E109)=1,2,0))</f>
        <v>2</v>
      </c>
      <c r="AD109" s="55" t="str">
        <f>IF(ISNUMBER(SEARCH("-",Database[[#This Row],[KEYNOTE '#]])),LEFT(Database[[#This Row],[KEYNOTE '#]],FIND("-",Database[[#This Row],[KEYNOTE '#]])-1),Database[[#This Row],[KEYNOTE '#]])</f>
        <v>RS</v>
      </c>
      <c r="AE10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09" s="55" t="str">
        <f>IF(AND(ISNUMBER(SEARCH("-",Database[[#This Row],[KEYNOTE '#]]))=TRUE,ISNUMBER(--RIGHT(Database[[#This Row],[KEYNOTE '#]]))=FALSE),RIGHT(Database[[#This Row],[KEYNOTE '#]],1),"")</f>
        <v/>
      </c>
      <c r="AG109" s="55">
        <v>107</v>
      </c>
      <c r="AH109" s="55">
        <f>IF(COUNTIF(Database[[#This Row],[BASE]:[INT. OTHER]],"g"),"INTERIOR",IF(COUNTIF(Database[[#This Row],[ROOF]:[EXT. OTHER]],"n"),"EXTERIOR",Database[[#This Row],[DIVISION '#]]))</f>
        <v>12</v>
      </c>
      <c r="AI109" s="55" t="str">
        <f>IF(OR(Database[[#This Row],[KEYTIER1]]="INTERIOR",Database[[#This Row],[KEYTIER1]]="EXTERIOR"),"",Database[[#This Row],[DIVISION NAME]])</f>
        <v>DIVISION 12 - FURNISHINGS</v>
      </c>
      <c r="AJ109" s="55">
        <f>IF(Database[[#This Row],[KEYTIER1]]="INTERIOR","INT",IF(Database[[#This Row],[KEYTIER1]]="EXTERIOR","EXT",Database[[#This Row],[SECTION '#]]))</f>
        <v>122413</v>
      </c>
      <c r="AK109" s="55" t="str">
        <f>IF(OR(Database[[#This Row],[KEYTIER2]]="INT",Database[[#This Row],[KEYTIER2]]="EXT"),"",IF(Database[[#This Row],[SECTION NAME]]="","",Database[[#This Row],[SECTION NAME]]))</f>
        <v>SECTION 122413 - ROLLER WINDOW SHADES</v>
      </c>
    </row>
    <row r="110" spans="2:37" ht="30" x14ac:dyDescent="0.25">
      <c r="B110" s="55" t="s">
        <v>36</v>
      </c>
      <c r="C110" s="55">
        <v>12</v>
      </c>
      <c r="D110" s="55" t="s">
        <v>70</v>
      </c>
      <c r="E110" s="55">
        <v>123640</v>
      </c>
      <c r="F110" s="58" t="s">
        <v>8483</v>
      </c>
      <c r="G110" s="77" t="s">
        <v>8484</v>
      </c>
      <c r="H110" s="58" t="s">
        <v>8485</v>
      </c>
      <c r="I110" s="69"/>
      <c r="J110" s="57"/>
      <c r="K110" s="57"/>
      <c r="L110" s="57"/>
      <c r="M110" s="57" t="s">
        <v>38</v>
      </c>
      <c r="N110" s="59"/>
      <c r="O110" s="71"/>
      <c r="P110" s="56"/>
      <c r="Q110" s="56"/>
      <c r="R110" s="56"/>
      <c r="S110" s="56"/>
      <c r="T110" s="60"/>
      <c r="U110" s="74"/>
      <c r="V110" s="55"/>
      <c r="W110" s="55"/>
      <c r="X110" s="55"/>
      <c r="Y110" s="55"/>
      <c r="Z110" s="55"/>
      <c r="AA110" s="55"/>
      <c r="AB110" s="55"/>
      <c r="AC110" s="55">
        <f>IF(COUNTIF($C$3:C110,C110)=1,1,IF(COUNTIF($E$3:E110,E110)=1,2,0))</f>
        <v>2</v>
      </c>
      <c r="AD110" s="55" t="str">
        <f>IF(ISNUMBER(SEARCH("-",Database[[#This Row],[KEYNOTE '#]])),LEFT(Database[[#This Row],[KEYNOTE '#]],FIND("-",Database[[#This Row],[KEYNOTE '#]])-1),Database[[#This Row],[KEYNOTE '#]])</f>
        <v>STC</v>
      </c>
      <c r="AE11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10" s="55" t="str">
        <f>IF(AND(ISNUMBER(SEARCH("-",Database[[#This Row],[KEYNOTE '#]]))=TRUE,ISNUMBER(--RIGHT(Database[[#This Row],[KEYNOTE '#]]))=FALSE),RIGHT(Database[[#This Row],[KEYNOTE '#]],1),"")</f>
        <v/>
      </c>
      <c r="AG110" s="55">
        <v>108</v>
      </c>
      <c r="AH110" s="55" t="str">
        <f>IF(COUNTIF(Database[[#This Row],[BASE]:[INT. OTHER]],"g"),"INTERIOR",IF(COUNTIF(Database[[#This Row],[ROOF]:[EXT. OTHER]],"n"),"EXTERIOR",Database[[#This Row],[DIVISION '#]]))</f>
        <v>INTERIOR</v>
      </c>
      <c r="AI110" s="55" t="str">
        <f>IF(OR(Database[[#This Row],[KEYTIER1]]="INTERIOR",Database[[#This Row],[KEYTIER1]]="EXTERIOR"),"",Database[[#This Row],[DIVISION NAME]])</f>
        <v/>
      </c>
      <c r="AJ110" s="55" t="str">
        <f>IF(Database[[#This Row],[KEYTIER1]]="INTERIOR","INT",IF(Database[[#This Row],[KEYTIER1]]="EXTERIOR","EXT",Database[[#This Row],[SECTION '#]]))</f>
        <v>INT</v>
      </c>
      <c r="AK110" s="55" t="str">
        <f>IF(OR(Database[[#This Row],[KEYTIER2]]="INT",Database[[#This Row],[KEYTIER2]]="EXT"),"",IF(Database[[#This Row],[SECTION NAME]]="","",Database[[#This Row],[SECTION NAME]]))</f>
        <v/>
      </c>
    </row>
    <row r="111" spans="2:37" ht="30" x14ac:dyDescent="0.25">
      <c r="B111" s="55" t="s">
        <v>36</v>
      </c>
      <c r="C111" s="55">
        <v>12</v>
      </c>
      <c r="D111" s="55" t="s">
        <v>70</v>
      </c>
      <c r="E111" s="55">
        <v>123661</v>
      </c>
      <c r="F111" s="58" t="s">
        <v>8486</v>
      </c>
      <c r="G111" s="77" t="s">
        <v>8487</v>
      </c>
      <c r="H111" s="58" t="s">
        <v>8488</v>
      </c>
      <c r="I111" s="69"/>
      <c r="J111" s="57"/>
      <c r="K111" s="57"/>
      <c r="L111" s="57"/>
      <c r="M111" s="57" t="s">
        <v>38</v>
      </c>
      <c r="N111" s="59"/>
      <c r="O111" s="71"/>
      <c r="P111" s="56"/>
      <c r="Q111" s="56"/>
      <c r="R111" s="56"/>
      <c r="S111" s="56"/>
      <c r="T111" s="60"/>
      <c r="U111" s="74"/>
      <c r="V111" s="55"/>
      <c r="W111" s="55"/>
      <c r="X111" s="55"/>
      <c r="Y111" s="55"/>
      <c r="Z111" s="55"/>
      <c r="AA111" s="55"/>
      <c r="AB111" s="55"/>
      <c r="AC111" s="55">
        <f>IF(COUNTIF($C$3:C111,C111)=1,1,IF(COUNTIF($E$3:E111,E111)=1,2,0))</f>
        <v>2</v>
      </c>
      <c r="AD111" s="55" t="str">
        <f>IF(ISNUMBER(SEARCH("-",Database[[#This Row],[KEYNOTE '#]])),LEFT(Database[[#This Row],[KEYNOTE '#]],FIND("-",Database[[#This Row],[KEYNOTE '#]])-1),Database[[#This Row],[KEYNOTE '#]])</f>
        <v>SSC</v>
      </c>
      <c r="AE11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1</v>
      </c>
      <c r="AF111" s="55" t="str">
        <f>IF(AND(ISNUMBER(SEARCH("-",Database[[#This Row],[KEYNOTE '#]]))=TRUE,ISNUMBER(--RIGHT(Database[[#This Row],[KEYNOTE '#]]))=FALSE),RIGHT(Database[[#This Row],[KEYNOTE '#]],1),"")</f>
        <v/>
      </c>
      <c r="AG111" s="55">
        <v>109</v>
      </c>
      <c r="AH111" s="55" t="str">
        <f>IF(COUNTIF(Database[[#This Row],[BASE]:[INT. OTHER]],"g"),"INTERIOR",IF(COUNTIF(Database[[#This Row],[ROOF]:[EXT. OTHER]],"n"),"EXTERIOR",Database[[#This Row],[DIVISION '#]]))</f>
        <v>INTERIOR</v>
      </c>
      <c r="AI111" s="55" t="str">
        <f>IF(OR(Database[[#This Row],[KEYTIER1]]="INTERIOR",Database[[#This Row],[KEYTIER1]]="EXTERIOR"),"",Database[[#This Row],[DIVISION NAME]])</f>
        <v/>
      </c>
      <c r="AJ111" s="55" t="str">
        <f>IF(Database[[#This Row],[KEYTIER1]]="INTERIOR","INT",IF(Database[[#This Row],[KEYTIER1]]="EXTERIOR","EXT",Database[[#This Row],[SECTION '#]]))</f>
        <v>INT</v>
      </c>
      <c r="AK111" s="55" t="str">
        <f>IF(OR(Database[[#This Row],[KEYTIER2]]="INT",Database[[#This Row],[KEYTIER2]]="EXT"),"",IF(Database[[#This Row],[SECTION NAME]]="","",Database[[#This Row],[SECTION NAME]]))</f>
        <v/>
      </c>
    </row>
    <row r="112" spans="2:37" ht="30" x14ac:dyDescent="0.25">
      <c r="B112" s="55" t="s">
        <v>36</v>
      </c>
      <c r="C112" s="55">
        <v>12</v>
      </c>
      <c r="D112" s="55" t="s">
        <v>70</v>
      </c>
      <c r="E112" s="55">
        <v>124813</v>
      </c>
      <c r="F112" s="58" t="s">
        <v>8489</v>
      </c>
      <c r="G112" s="77" t="s">
        <v>8490</v>
      </c>
      <c r="H112" s="58" t="s">
        <v>8491</v>
      </c>
      <c r="I112" s="69"/>
      <c r="J112" s="57"/>
      <c r="K112" s="57"/>
      <c r="L112" s="57"/>
      <c r="M112" s="57"/>
      <c r="N112" s="59"/>
      <c r="O112" s="71"/>
      <c r="P112" s="56"/>
      <c r="Q112" s="56"/>
      <c r="R112" s="56"/>
      <c r="S112" s="56"/>
      <c r="T112" s="60" t="s">
        <v>40</v>
      </c>
      <c r="U112" s="74"/>
      <c r="V112" s="55"/>
      <c r="W112" s="55"/>
      <c r="X112" s="55"/>
      <c r="Y112" s="55"/>
      <c r="Z112" s="55"/>
      <c r="AA112" s="55"/>
      <c r="AB112" s="55"/>
      <c r="AC112" s="55">
        <f>IF(COUNTIF($C$3:C112,C112)=1,1,IF(COUNTIF($E$3:E112,E112)=1,2,0))</f>
        <v>2</v>
      </c>
      <c r="AD112" s="55" t="str">
        <f>IF(ISNUMBER(SEARCH("-",Database[[#This Row],[KEYNOTE '#]])),LEFT(Database[[#This Row],[KEYNOTE '#]],FIND("-",Database[[#This Row],[KEYNOTE '#]])-1),Database[[#This Row],[KEYNOTE '#]])</f>
        <v>EM</v>
      </c>
      <c r="AE11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>50</v>
      </c>
      <c r="AF112" s="55" t="str">
        <f>IF(AND(ISNUMBER(SEARCH("-",Database[[#This Row],[KEYNOTE '#]]))=TRUE,ISNUMBER(--RIGHT(Database[[#This Row],[KEYNOTE '#]]))=FALSE),RIGHT(Database[[#This Row],[KEYNOTE '#]],1),"")</f>
        <v/>
      </c>
      <c r="AG112" s="55">
        <v>110</v>
      </c>
      <c r="AH112" s="55" t="str">
        <f>IF(COUNTIF(Database[[#This Row],[BASE]:[INT. OTHER]],"g"),"INTERIOR",IF(COUNTIF(Database[[#This Row],[ROOF]:[EXT. OTHER]],"n"),"EXTERIOR",Database[[#This Row],[DIVISION '#]]))</f>
        <v>EXTERIOR</v>
      </c>
      <c r="AI112" s="55" t="str">
        <f>IF(OR(Database[[#This Row],[KEYTIER1]]="INTERIOR",Database[[#This Row],[KEYTIER1]]="EXTERIOR"),"",Database[[#This Row],[DIVISION NAME]])</f>
        <v/>
      </c>
      <c r="AJ112" s="55" t="str">
        <f>IF(Database[[#This Row],[KEYTIER1]]="INTERIOR","INT",IF(Database[[#This Row],[KEYTIER1]]="EXTERIOR","EXT",Database[[#This Row],[SECTION '#]]))</f>
        <v>EXT</v>
      </c>
      <c r="AK112" s="55" t="str">
        <f>IF(OR(Database[[#This Row],[KEYTIER2]]="INT",Database[[#This Row],[KEYTIER2]]="EXT"),"",IF(Database[[#This Row],[SECTION NAME]]="","",Database[[#This Row],[SECTION NAME]]))</f>
        <v/>
      </c>
    </row>
    <row r="113" spans="2:37" ht="30" x14ac:dyDescent="0.25">
      <c r="B113" s="55" t="s">
        <v>71</v>
      </c>
      <c r="C113" s="55" t="s">
        <v>72</v>
      </c>
      <c r="D113" s="55" t="s">
        <v>73</v>
      </c>
      <c r="E113" s="55" t="s">
        <v>74</v>
      </c>
      <c r="F113" s="58"/>
      <c r="G113" s="77">
        <v>101</v>
      </c>
      <c r="H113" s="58"/>
      <c r="I113" s="69"/>
      <c r="J113" s="57"/>
      <c r="K113" s="57"/>
      <c r="L113" s="57"/>
      <c r="M113" s="57"/>
      <c r="N113" s="59"/>
      <c r="O113" s="71"/>
      <c r="P113" s="56"/>
      <c r="Q113" s="56"/>
      <c r="R113" s="56"/>
      <c r="S113" s="56"/>
      <c r="T113" s="60"/>
      <c r="U113" s="74"/>
      <c r="V113" s="55"/>
      <c r="W113" s="55"/>
      <c r="X113" s="55"/>
      <c r="Y113" s="55"/>
      <c r="Z113" s="55"/>
      <c r="AA113" s="55"/>
      <c r="AB113" s="55"/>
      <c r="AC113" s="55">
        <f>IF(COUNTIF($C$3:C113,C113)=1,1,IF(COUNTIF($E$3:E113,E113)=1,2,0))</f>
        <v>1</v>
      </c>
      <c r="AD113" s="55">
        <f>IF(ISNUMBER(SEARCH("-",Database[[#This Row],[KEYNOTE '#]])),LEFT(Database[[#This Row],[KEYNOTE '#]],FIND("-",Database[[#This Row],[KEYNOTE '#]])-1),Database[[#This Row],[KEYNOTE '#]])</f>
        <v>101</v>
      </c>
      <c r="AE11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3" s="55" t="str">
        <f>IF(AND(ISNUMBER(SEARCH("-",Database[[#This Row],[KEYNOTE '#]]))=TRUE,ISNUMBER(--RIGHT(Database[[#This Row],[KEYNOTE '#]]))=FALSE),RIGHT(Database[[#This Row],[KEYNOTE '#]],1),"")</f>
        <v/>
      </c>
      <c r="AG113" s="55">
        <v>111</v>
      </c>
      <c r="AH113" s="55" t="str">
        <f>IF(COUNTIF(Database[[#This Row],[BASE]:[INT. OTHER]],"g"),"INTERIOR",IF(COUNTIF(Database[[#This Row],[ROOF]:[EXT. OTHER]],"n"),"EXTERIOR",Database[[#This Row],[DIVISION '#]]))</f>
        <v>ARCH NOTES</v>
      </c>
      <c r="AI113" s="55" t="str">
        <f>IF(OR(Database[[#This Row],[KEYTIER1]]="INTERIOR",Database[[#This Row],[KEYTIER1]]="EXTERIOR"),"",Database[[#This Row],[DIVISION NAME]])</f>
        <v>BY CATEGORY</v>
      </c>
      <c r="AJ113" s="55" t="str">
        <f>IF(Database[[#This Row],[KEYTIER1]]="INTERIOR","INT",IF(Database[[#This Row],[KEYTIER1]]="EXTERIOR","EXT",Database[[#This Row],[SECTION '#]]))</f>
        <v>CASEWORK/MILLWORK</v>
      </c>
      <c r="AK113" s="55" t="str">
        <f>IF(OR(Database[[#This Row],[KEYTIER2]]="INT",Database[[#This Row],[KEYTIER2]]="EXT"),"",IF(Database[[#This Row],[SECTION NAME]]="","",Database[[#This Row],[SECTION NAME]]))</f>
        <v/>
      </c>
    </row>
    <row r="114" spans="2:37" ht="30" x14ac:dyDescent="0.25">
      <c r="B114" s="55" t="s">
        <v>71</v>
      </c>
      <c r="C114" s="55" t="s">
        <v>72</v>
      </c>
      <c r="D114" s="55" t="s">
        <v>73</v>
      </c>
      <c r="E114" s="55" t="s">
        <v>74</v>
      </c>
      <c r="F114" s="58"/>
      <c r="G114" s="77">
        <v>102</v>
      </c>
      <c r="H114" s="58"/>
      <c r="I114" s="69"/>
      <c r="J114" s="57"/>
      <c r="K114" s="57"/>
      <c r="L114" s="57"/>
      <c r="M114" s="57"/>
      <c r="N114" s="59"/>
      <c r="O114" s="71"/>
      <c r="P114" s="56"/>
      <c r="Q114" s="56"/>
      <c r="R114" s="56"/>
      <c r="S114" s="56"/>
      <c r="T114" s="60"/>
      <c r="U114" s="74"/>
      <c r="V114" s="55"/>
      <c r="W114" s="55"/>
      <c r="X114" s="55"/>
      <c r="Y114" s="55"/>
      <c r="Z114" s="55"/>
      <c r="AA114" s="55"/>
      <c r="AB114" s="55"/>
      <c r="AC114" s="55">
        <f>IF(COUNTIF($C$3:C114,C114)=1,1,IF(COUNTIF($E$3:E114,E114)=1,2,0))</f>
        <v>0</v>
      </c>
      <c r="AD114" s="55">
        <f>IF(ISNUMBER(SEARCH("-",Database[[#This Row],[KEYNOTE '#]])),LEFT(Database[[#This Row],[KEYNOTE '#]],FIND("-",Database[[#This Row],[KEYNOTE '#]])-1),Database[[#This Row],[KEYNOTE '#]])</f>
        <v>102</v>
      </c>
      <c r="AE11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4" s="55" t="str">
        <f>IF(AND(ISNUMBER(SEARCH("-",Database[[#This Row],[KEYNOTE '#]]))=TRUE,ISNUMBER(--RIGHT(Database[[#This Row],[KEYNOTE '#]]))=FALSE),RIGHT(Database[[#This Row],[KEYNOTE '#]],1),"")</f>
        <v/>
      </c>
      <c r="AG114" s="55">
        <v>112</v>
      </c>
      <c r="AH114" s="55" t="str">
        <f>IF(COUNTIF(Database[[#This Row],[BASE]:[INT. OTHER]],"g"),"INTERIOR",IF(COUNTIF(Database[[#This Row],[ROOF]:[EXT. OTHER]],"n"),"EXTERIOR",Database[[#This Row],[DIVISION '#]]))</f>
        <v>ARCH NOTES</v>
      </c>
      <c r="AI114" s="55" t="str">
        <f>IF(OR(Database[[#This Row],[KEYTIER1]]="INTERIOR",Database[[#This Row],[KEYTIER1]]="EXTERIOR"),"",Database[[#This Row],[DIVISION NAME]])</f>
        <v>BY CATEGORY</v>
      </c>
      <c r="AJ114" s="55" t="str">
        <f>IF(Database[[#This Row],[KEYTIER1]]="INTERIOR","INT",IF(Database[[#This Row],[KEYTIER1]]="EXTERIOR","EXT",Database[[#This Row],[SECTION '#]]))</f>
        <v>CASEWORK/MILLWORK</v>
      </c>
      <c r="AK114" s="55" t="str">
        <f>IF(OR(Database[[#This Row],[KEYTIER2]]="INT",Database[[#This Row],[KEYTIER2]]="EXT"),"",IF(Database[[#This Row],[SECTION NAME]]="","",Database[[#This Row],[SECTION NAME]]))</f>
        <v/>
      </c>
    </row>
    <row r="115" spans="2:37" ht="30" x14ac:dyDescent="0.25">
      <c r="B115" s="55" t="s">
        <v>71</v>
      </c>
      <c r="C115" s="55" t="s">
        <v>72</v>
      </c>
      <c r="D115" s="55" t="s">
        <v>73</v>
      </c>
      <c r="E115" s="55" t="s">
        <v>74</v>
      </c>
      <c r="F115" s="58"/>
      <c r="G115" s="77">
        <v>103</v>
      </c>
      <c r="H115" s="58"/>
      <c r="I115" s="69"/>
      <c r="J115" s="57"/>
      <c r="K115" s="57"/>
      <c r="L115" s="57"/>
      <c r="M115" s="57"/>
      <c r="N115" s="59"/>
      <c r="O115" s="71"/>
      <c r="P115" s="56"/>
      <c r="Q115" s="56"/>
      <c r="R115" s="56"/>
      <c r="S115" s="56"/>
      <c r="T115" s="60"/>
      <c r="U115" s="74"/>
      <c r="V115" s="55"/>
      <c r="W115" s="55"/>
      <c r="X115" s="55"/>
      <c r="Y115" s="55"/>
      <c r="Z115" s="55"/>
      <c r="AA115" s="55"/>
      <c r="AB115" s="55"/>
      <c r="AC115" s="55">
        <f>IF(COUNTIF($C$3:C115,C115)=1,1,IF(COUNTIF($E$3:E115,E115)=1,2,0))</f>
        <v>0</v>
      </c>
      <c r="AD115" s="55">
        <f>IF(ISNUMBER(SEARCH("-",Database[[#This Row],[KEYNOTE '#]])),LEFT(Database[[#This Row],[KEYNOTE '#]],FIND("-",Database[[#This Row],[KEYNOTE '#]])-1),Database[[#This Row],[KEYNOTE '#]])</f>
        <v>103</v>
      </c>
      <c r="AE11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5" s="55" t="str">
        <f>IF(AND(ISNUMBER(SEARCH("-",Database[[#This Row],[KEYNOTE '#]]))=TRUE,ISNUMBER(--RIGHT(Database[[#This Row],[KEYNOTE '#]]))=FALSE),RIGHT(Database[[#This Row],[KEYNOTE '#]],1),"")</f>
        <v/>
      </c>
      <c r="AG115" s="55">
        <v>113</v>
      </c>
      <c r="AH115" s="55" t="str">
        <f>IF(COUNTIF(Database[[#This Row],[BASE]:[INT. OTHER]],"g"),"INTERIOR",IF(COUNTIF(Database[[#This Row],[ROOF]:[EXT. OTHER]],"n"),"EXTERIOR",Database[[#This Row],[DIVISION '#]]))</f>
        <v>ARCH NOTES</v>
      </c>
      <c r="AI115" s="55" t="str">
        <f>IF(OR(Database[[#This Row],[KEYTIER1]]="INTERIOR",Database[[#This Row],[KEYTIER1]]="EXTERIOR"),"",Database[[#This Row],[DIVISION NAME]])</f>
        <v>BY CATEGORY</v>
      </c>
      <c r="AJ115" s="55" t="str">
        <f>IF(Database[[#This Row],[KEYTIER1]]="INTERIOR","INT",IF(Database[[#This Row],[KEYTIER1]]="EXTERIOR","EXT",Database[[#This Row],[SECTION '#]]))</f>
        <v>CASEWORK/MILLWORK</v>
      </c>
      <c r="AK115" s="55" t="str">
        <f>IF(OR(Database[[#This Row],[KEYTIER2]]="INT",Database[[#This Row],[KEYTIER2]]="EXT"),"",IF(Database[[#This Row],[SECTION NAME]]="","",Database[[#This Row],[SECTION NAME]]))</f>
        <v/>
      </c>
    </row>
    <row r="116" spans="2:37" ht="30" x14ac:dyDescent="0.25">
      <c r="B116" s="55" t="s">
        <v>71</v>
      </c>
      <c r="C116" s="55" t="s">
        <v>72</v>
      </c>
      <c r="D116" s="55" t="s">
        <v>73</v>
      </c>
      <c r="E116" s="55" t="s">
        <v>78</v>
      </c>
      <c r="F116" s="58"/>
      <c r="G116" s="77">
        <v>201</v>
      </c>
      <c r="H116" s="58"/>
      <c r="I116" s="69"/>
      <c r="J116" s="57"/>
      <c r="K116" s="57"/>
      <c r="L116" s="57"/>
      <c r="M116" s="57"/>
      <c r="N116" s="59"/>
      <c r="O116" s="71"/>
      <c r="P116" s="56"/>
      <c r="Q116" s="56"/>
      <c r="R116" s="56"/>
      <c r="S116" s="56"/>
      <c r="T116" s="60"/>
      <c r="U116" s="74"/>
      <c r="V116" s="55"/>
      <c r="W116" s="55"/>
      <c r="X116" s="55"/>
      <c r="Y116" s="55"/>
      <c r="Z116" s="55"/>
      <c r="AA116" s="55"/>
      <c r="AB116" s="55"/>
      <c r="AC116" s="55">
        <f>IF(COUNTIF($C$3:C116,C116)=1,1,IF(COUNTIF($E$3:E116,E116)=1,2,0))</f>
        <v>2</v>
      </c>
      <c r="AD116" s="55">
        <f>IF(ISNUMBER(SEARCH("-",Database[[#This Row],[KEYNOTE '#]])),LEFT(Database[[#This Row],[KEYNOTE '#]],FIND("-",Database[[#This Row],[KEYNOTE '#]])-1),Database[[#This Row],[KEYNOTE '#]])</f>
        <v>201</v>
      </c>
      <c r="AE11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6" s="55" t="str">
        <f>IF(AND(ISNUMBER(SEARCH("-",Database[[#This Row],[KEYNOTE '#]]))=TRUE,ISNUMBER(--RIGHT(Database[[#This Row],[KEYNOTE '#]]))=FALSE),RIGHT(Database[[#This Row],[KEYNOTE '#]],1),"")</f>
        <v/>
      </c>
      <c r="AG116" s="55">
        <v>114</v>
      </c>
      <c r="AH116" s="55" t="str">
        <f>IF(COUNTIF(Database[[#This Row],[BASE]:[INT. OTHER]],"g"),"INTERIOR",IF(COUNTIF(Database[[#This Row],[ROOF]:[EXT. OTHER]],"n"),"EXTERIOR",Database[[#This Row],[DIVISION '#]]))</f>
        <v>ARCH NOTES</v>
      </c>
      <c r="AI116" s="55" t="str">
        <f>IF(OR(Database[[#This Row],[KEYTIER1]]="INTERIOR",Database[[#This Row],[KEYTIER1]]="EXTERIOR"),"",Database[[#This Row],[DIVISION NAME]])</f>
        <v>BY CATEGORY</v>
      </c>
      <c r="AJ116" s="55" t="str">
        <f>IF(Database[[#This Row],[KEYTIER1]]="INTERIOR","INT",IF(Database[[#This Row],[KEYTIER1]]="EXTERIOR","EXT",Database[[#This Row],[SECTION '#]]))</f>
        <v>CURTAINWALL</v>
      </c>
      <c r="AK116" s="55" t="str">
        <f>IF(OR(Database[[#This Row],[KEYTIER2]]="INT",Database[[#This Row],[KEYTIER2]]="EXT"),"",IF(Database[[#This Row],[SECTION NAME]]="","",Database[[#This Row],[SECTION NAME]]))</f>
        <v/>
      </c>
    </row>
    <row r="117" spans="2:37" ht="30" x14ac:dyDescent="0.25">
      <c r="B117" s="55" t="s">
        <v>71</v>
      </c>
      <c r="C117" s="55" t="s">
        <v>72</v>
      </c>
      <c r="D117" s="55" t="s">
        <v>73</v>
      </c>
      <c r="E117" s="55" t="s">
        <v>78</v>
      </c>
      <c r="F117" s="58"/>
      <c r="G117" s="77">
        <v>202</v>
      </c>
      <c r="H117" s="58"/>
      <c r="I117" s="69"/>
      <c r="J117" s="57"/>
      <c r="K117" s="57"/>
      <c r="L117" s="57"/>
      <c r="M117" s="57"/>
      <c r="N117" s="59"/>
      <c r="O117" s="71"/>
      <c r="P117" s="56"/>
      <c r="Q117" s="56"/>
      <c r="R117" s="56"/>
      <c r="S117" s="56"/>
      <c r="T117" s="60"/>
      <c r="U117" s="74"/>
      <c r="V117" s="55"/>
      <c r="W117" s="55"/>
      <c r="X117" s="55"/>
      <c r="Y117" s="55"/>
      <c r="Z117" s="55"/>
      <c r="AA117" s="55"/>
      <c r="AB117" s="55"/>
      <c r="AC117" s="55">
        <f>IF(COUNTIF($C$3:C117,C117)=1,1,IF(COUNTIF($E$3:E117,E117)=1,2,0))</f>
        <v>0</v>
      </c>
      <c r="AD117" s="55">
        <f>IF(ISNUMBER(SEARCH("-",Database[[#This Row],[KEYNOTE '#]])),LEFT(Database[[#This Row],[KEYNOTE '#]],FIND("-",Database[[#This Row],[KEYNOTE '#]])-1),Database[[#This Row],[KEYNOTE '#]])</f>
        <v>202</v>
      </c>
      <c r="AE11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7" s="55" t="str">
        <f>IF(AND(ISNUMBER(SEARCH("-",Database[[#This Row],[KEYNOTE '#]]))=TRUE,ISNUMBER(--RIGHT(Database[[#This Row],[KEYNOTE '#]]))=FALSE),RIGHT(Database[[#This Row],[KEYNOTE '#]],1),"")</f>
        <v/>
      </c>
      <c r="AG117" s="55">
        <v>115</v>
      </c>
      <c r="AH117" s="55" t="str">
        <f>IF(COUNTIF(Database[[#This Row],[BASE]:[INT. OTHER]],"g"),"INTERIOR",IF(COUNTIF(Database[[#This Row],[ROOF]:[EXT. OTHER]],"n"),"EXTERIOR",Database[[#This Row],[DIVISION '#]]))</f>
        <v>ARCH NOTES</v>
      </c>
      <c r="AI117" s="55" t="str">
        <f>IF(OR(Database[[#This Row],[KEYTIER1]]="INTERIOR",Database[[#This Row],[KEYTIER1]]="EXTERIOR"),"",Database[[#This Row],[DIVISION NAME]])</f>
        <v>BY CATEGORY</v>
      </c>
      <c r="AJ117" s="55" t="str">
        <f>IF(Database[[#This Row],[KEYTIER1]]="INTERIOR","INT",IF(Database[[#This Row],[KEYTIER1]]="EXTERIOR","EXT",Database[[#This Row],[SECTION '#]]))</f>
        <v>CURTAINWALL</v>
      </c>
      <c r="AK117" s="55" t="str">
        <f>IF(OR(Database[[#This Row],[KEYTIER2]]="INT",Database[[#This Row],[KEYTIER2]]="EXT"),"",IF(Database[[#This Row],[SECTION NAME]]="","",Database[[#This Row],[SECTION NAME]]))</f>
        <v/>
      </c>
    </row>
    <row r="118" spans="2:37" ht="30" x14ac:dyDescent="0.25">
      <c r="B118" s="55" t="s">
        <v>71</v>
      </c>
      <c r="C118" s="55" t="s">
        <v>72</v>
      </c>
      <c r="D118" s="55" t="s">
        <v>73</v>
      </c>
      <c r="E118" s="55" t="s">
        <v>78</v>
      </c>
      <c r="F118" s="58"/>
      <c r="G118" s="77">
        <v>203</v>
      </c>
      <c r="H118" s="58"/>
      <c r="I118" s="69"/>
      <c r="J118" s="57"/>
      <c r="K118" s="57"/>
      <c r="L118" s="57"/>
      <c r="M118" s="57"/>
      <c r="N118" s="59"/>
      <c r="O118" s="71"/>
      <c r="P118" s="56"/>
      <c r="Q118" s="56"/>
      <c r="R118" s="56"/>
      <c r="S118" s="56"/>
      <c r="T118" s="60"/>
      <c r="U118" s="74"/>
      <c r="V118" s="55"/>
      <c r="W118" s="55"/>
      <c r="X118" s="55"/>
      <c r="Y118" s="55"/>
      <c r="Z118" s="55"/>
      <c r="AA118" s="55"/>
      <c r="AB118" s="55"/>
      <c r="AC118" s="55">
        <f>IF(COUNTIF($C$3:C118,C118)=1,1,IF(COUNTIF($E$3:E118,E118)=1,2,0))</f>
        <v>0</v>
      </c>
      <c r="AD118" s="55">
        <f>IF(ISNUMBER(SEARCH("-",Database[[#This Row],[KEYNOTE '#]])),LEFT(Database[[#This Row],[KEYNOTE '#]],FIND("-",Database[[#This Row],[KEYNOTE '#]])-1),Database[[#This Row],[KEYNOTE '#]])</f>
        <v>203</v>
      </c>
      <c r="AE11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8" s="55" t="str">
        <f>IF(AND(ISNUMBER(SEARCH("-",Database[[#This Row],[KEYNOTE '#]]))=TRUE,ISNUMBER(--RIGHT(Database[[#This Row],[KEYNOTE '#]]))=FALSE),RIGHT(Database[[#This Row],[KEYNOTE '#]],1),"")</f>
        <v/>
      </c>
      <c r="AG118" s="55">
        <v>116</v>
      </c>
      <c r="AH118" s="55" t="str">
        <f>IF(COUNTIF(Database[[#This Row],[BASE]:[INT. OTHER]],"g"),"INTERIOR",IF(COUNTIF(Database[[#This Row],[ROOF]:[EXT. OTHER]],"n"),"EXTERIOR",Database[[#This Row],[DIVISION '#]]))</f>
        <v>ARCH NOTES</v>
      </c>
      <c r="AI118" s="55" t="str">
        <f>IF(OR(Database[[#This Row],[KEYTIER1]]="INTERIOR",Database[[#This Row],[KEYTIER1]]="EXTERIOR"),"",Database[[#This Row],[DIVISION NAME]])</f>
        <v>BY CATEGORY</v>
      </c>
      <c r="AJ118" s="55" t="str">
        <f>IF(Database[[#This Row],[KEYTIER1]]="INTERIOR","INT",IF(Database[[#This Row],[KEYTIER1]]="EXTERIOR","EXT",Database[[#This Row],[SECTION '#]]))</f>
        <v>CURTAINWALL</v>
      </c>
      <c r="AK118" s="55" t="str">
        <f>IF(OR(Database[[#This Row],[KEYTIER2]]="INT",Database[[#This Row],[KEYTIER2]]="EXT"),"",IF(Database[[#This Row],[SECTION NAME]]="","",Database[[#This Row],[SECTION NAME]]))</f>
        <v/>
      </c>
    </row>
    <row r="119" spans="2:37" ht="30" x14ac:dyDescent="0.25">
      <c r="B119" s="55" t="s">
        <v>71</v>
      </c>
      <c r="C119" s="55" t="s">
        <v>72</v>
      </c>
      <c r="D119" s="55" t="s">
        <v>73</v>
      </c>
      <c r="E119" s="55" t="s">
        <v>82</v>
      </c>
      <c r="F119" s="58"/>
      <c r="G119" s="77">
        <v>301</v>
      </c>
      <c r="H119" s="58"/>
      <c r="I119" s="69"/>
      <c r="J119" s="57"/>
      <c r="K119" s="57"/>
      <c r="L119" s="57"/>
      <c r="M119" s="57"/>
      <c r="N119" s="59"/>
      <c r="O119" s="71"/>
      <c r="P119" s="56"/>
      <c r="Q119" s="56"/>
      <c r="R119" s="56"/>
      <c r="S119" s="56"/>
      <c r="T119" s="60"/>
      <c r="U119" s="74"/>
      <c r="V119" s="55"/>
      <c r="W119" s="55"/>
      <c r="X119" s="55"/>
      <c r="Y119" s="55"/>
      <c r="Z119" s="55"/>
      <c r="AA119" s="55"/>
      <c r="AB119" s="55"/>
      <c r="AC119" s="55">
        <f>IF(COUNTIF($C$3:C119,C119)=1,1,IF(COUNTIF($E$3:E119,E119)=1,2,0))</f>
        <v>2</v>
      </c>
      <c r="AD119" s="55">
        <f>IF(ISNUMBER(SEARCH("-",Database[[#This Row],[KEYNOTE '#]])),LEFT(Database[[#This Row],[KEYNOTE '#]],FIND("-",Database[[#This Row],[KEYNOTE '#]])-1),Database[[#This Row],[KEYNOTE '#]])</f>
        <v>301</v>
      </c>
      <c r="AE11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19" s="55" t="str">
        <f>IF(AND(ISNUMBER(SEARCH("-",Database[[#This Row],[KEYNOTE '#]]))=TRUE,ISNUMBER(--RIGHT(Database[[#This Row],[KEYNOTE '#]]))=FALSE),RIGHT(Database[[#This Row],[KEYNOTE '#]],1),"")</f>
        <v/>
      </c>
      <c r="AG119" s="55">
        <v>117</v>
      </c>
      <c r="AH119" s="55" t="str">
        <f>IF(COUNTIF(Database[[#This Row],[BASE]:[INT. OTHER]],"g"),"INTERIOR",IF(COUNTIF(Database[[#This Row],[ROOF]:[EXT. OTHER]],"n"),"EXTERIOR",Database[[#This Row],[DIVISION '#]]))</f>
        <v>ARCH NOTES</v>
      </c>
      <c r="AI119" s="55" t="str">
        <f>IF(OR(Database[[#This Row],[KEYTIER1]]="INTERIOR",Database[[#This Row],[KEYTIER1]]="EXTERIOR"),"",Database[[#This Row],[DIVISION NAME]])</f>
        <v>BY CATEGORY</v>
      </c>
      <c r="AJ119" s="55" t="str">
        <f>IF(Database[[#This Row],[KEYTIER1]]="INTERIOR","INT",IF(Database[[#This Row],[KEYTIER1]]="EXTERIOR","EXT",Database[[#This Row],[SECTION '#]]))</f>
        <v>DETAIL ITEMS</v>
      </c>
      <c r="AK119" s="55" t="str">
        <f>IF(OR(Database[[#This Row],[KEYTIER2]]="INT",Database[[#This Row],[KEYTIER2]]="EXT"),"",IF(Database[[#This Row],[SECTION NAME]]="","",Database[[#This Row],[SECTION NAME]]))</f>
        <v/>
      </c>
    </row>
    <row r="120" spans="2:37" ht="30" x14ac:dyDescent="0.25">
      <c r="B120" s="55" t="s">
        <v>71</v>
      </c>
      <c r="C120" s="55" t="s">
        <v>72</v>
      </c>
      <c r="D120" s="55" t="s">
        <v>73</v>
      </c>
      <c r="E120" s="55" t="s">
        <v>82</v>
      </c>
      <c r="F120" s="58"/>
      <c r="G120" s="77">
        <v>302</v>
      </c>
      <c r="H120" s="58"/>
      <c r="I120" s="69"/>
      <c r="J120" s="57"/>
      <c r="K120" s="57"/>
      <c r="L120" s="57"/>
      <c r="M120" s="57"/>
      <c r="N120" s="59"/>
      <c r="O120" s="71"/>
      <c r="P120" s="56"/>
      <c r="Q120" s="56"/>
      <c r="R120" s="56"/>
      <c r="S120" s="56"/>
      <c r="T120" s="60"/>
      <c r="U120" s="74"/>
      <c r="V120" s="55"/>
      <c r="W120" s="55"/>
      <c r="X120" s="55"/>
      <c r="Y120" s="55"/>
      <c r="Z120" s="55"/>
      <c r="AA120" s="55"/>
      <c r="AB120" s="55"/>
      <c r="AC120" s="55">
        <f>IF(COUNTIF($C$3:C120,C120)=1,1,IF(COUNTIF($E$3:E120,E120)=1,2,0))</f>
        <v>0</v>
      </c>
      <c r="AD120" s="55">
        <f>IF(ISNUMBER(SEARCH("-",Database[[#This Row],[KEYNOTE '#]])),LEFT(Database[[#This Row],[KEYNOTE '#]],FIND("-",Database[[#This Row],[KEYNOTE '#]])-1),Database[[#This Row],[KEYNOTE '#]])</f>
        <v>302</v>
      </c>
      <c r="AE12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0" s="55" t="str">
        <f>IF(AND(ISNUMBER(SEARCH("-",Database[[#This Row],[KEYNOTE '#]]))=TRUE,ISNUMBER(--RIGHT(Database[[#This Row],[KEYNOTE '#]]))=FALSE),RIGHT(Database[[#This Row],[KEYNOTE '#]],1),"")</f>
        <v/>
      </c>
      <c r="AG120" s="55">
        <v>118</v>
      </c>
      <c r="AH120" s="55" t="str">
        <f>IF(COUNTIF(Database[[#This Row],[BASE]:[INT. OTHER]],"g"),"INTERIOR",IF(COUNTIF(Database[[#This Row],[ROOF]:[EXT. OTHER]],"n"),"EXTERIOR",Database[[#This Row],[DIVISION '#]]))</f>
        <v>ARCH NOTES</v>
      </c>
      <c r="AI120" s="55" t="str">
        <f>IF(OR(Database[[#This Row],[KEYTIER1]]="INTERIOR",Database[[#This Row],[KEYTIER1]]="EXTERIOR"),"",Database[[#This Row],[DIVISION NAME]])</f>
        <v>BY CATEGORY</v>
      </c>
      <c r="AJ120" s="55" t="str">
        <f>IF(Database[[#This Row],[KEYTIER1]]="INTERIOR","INT",IF(Database[[#This Row],[KEYTIER1]]="EXTERIOR","EXT",Database[[#This Row],[SECTION '#]]))</f>
        <v>DETAIL ITEMS</v>
      </c>
      <c r="AK120" s="55" t="str">
        <f>IF(OR(Database[[#This Row],[KEYTIER2]]="INT",Database[[#This Row],[KEYTIER2]]="EXT"),"",IF(Database[[#This Row],[SECTION NAME]]="","",Database[[#This Row],[SECTION NAME]]))</f>
        <v/>
      </c>
    </row>
    <row r="121" spans="2:37" ht="30" x14ac:dyDescent="0.25">
      <c r="B121" s="55" t="s">
        <v>71</v>
      </c>
      <c r="C121" s="55" t="s">
        <v>72</v>
      </c>
      <c r="D121" s="55" t="s">
        <v>73</v>
      </c>
      <c r="E121" s="55" t="s">
        <v>82</v>
      </c>
      <c r="F121" s="58"/>
      <c r="G121" s="77">
        <v>303</v>
      </c>
      <c r="H121" s="58"/>
      <c r="I121" s="69"/>
      <c r="J121" s="57"/>
      <c r="K121" s="57"/>
      <c r="L121" s="57"/>
      <c r="M121" s="57"/>
      <c r="N121" s="59"/>
      <c r="O121" s="71"/>
      <c r="P121" s="56"/>
      <c r="Q121" s="56"/>
      <c r="R121" s="56"/>
      <c r="S121" s="56"/>
      <c r="T121" s="60"/>
      <c r="U121" s="74"/>
      <c r="V121" s="55"/>
      <c r="W121" s="55"/>
      <c r="X121" s="55"/>
      <c r="Y121" s="55"/>
      <c r="Z121" s="55"/>
      <c r="AA121" s="55"/>
      <c r="AB121" s="55"/>
      <c r="AC121" s="55">
        <f>IF(COUNTIF($C$3:C121,C121)=1,1,IF(COUNTIF($E$3:E121,E121)=1,2,0))</f>
        <v>0</v>
      </c>
      <c r="AD121" s="55">
        <f>IF(ISNUMBER(SEARCH("-",Database[[#This Row],[KEYNOTE '#]])),LEFT(Database[[#This Row],[KEYNOTE '#]],FIND("-",Database[[#This Row],[KEYNOTE '#]])-1),Database[[#This Row],[KEYNOTE '#]])</f>
        <v>303</v>
      </c>
      <c r="AE12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1" s="55" t="str">
        <f>IF(AND(ISNUMBER(SEARCH("-",Database[[#This Row],[KEYNOTE '#]]))=TRUE,ISNUMBER(--RIGHT(Database[[#This Row],[KEYNOTE '#]]))=FALSE),RIGHT(Database[[#This Row],[KEYNOTE '#]],1),"")</f>
        <v/>
      </c>
      <c r="AG121" s="55">
        <v>119</v>
      </c>
      <c r="AH121" s="55" t="str">
        <f>IF(COUNTIF(Database[[#This Row],[BASE]:[INT. OTHER]],"g"),"INTERIOR",IF(COUNTIF(Database[[#This Row],[ROOF]:[EXT. OTHER]],"n"),"EXTERIOR",Database[[#This Row],[DIVISION '#]]))</f>
        <v>ARCH NOTES</v>
      </c>
      <c r="AI121" s="55" t="str">
        <f>IF(OR(Database[[#This Row],[KEYTIER1]]="INTERIOR",Database[[#This Row],[KEYTIER1]]="EXTERIOR"),"",Database[[#This Row],[DIVISION NAME]])</f>
        <v>BY CATEGORY</v>
      </c>
      <c r="AJ121" s="55" t="str">
        <f>IF(Database[[#This Row],[KEYTIER1]]="INTERIOR","INT",IF(Database[[#This Row],[KEYTIER1]]="EXTERIOR","EXT",Database[[#This Row],[SECTION '#]]))</f>
        <v>DETAIL ITEMS</v>
      </c>
      <c r="AK121" s="55" t="str">
        <f>IF(OR(Database[[#This Row],[KEYTIER2]]="INT",Database[[#This Row],[KEYTIER2]]="EXT"),"",IF(Database[[#This Row],[SECTION NAME]]="","",Database[[#This Row],[SECTION NAME]]))</f>
        <v/>
      </c>
    </row>
    <row r="122" spans="2:37" ht="30" x14ac:dyDescent="0.25">
      <c r="B122" s="55" t="s">
        <v>71</v>
      </c>
      <c r="C122" s="55" t="s">
        <v>72</v>
      </c>
      <c r="D122" s="55" t="s">
        <v>73</v>
      </c>
      <c r="E122" s="55" t="s">
        <v>86</v>
      </c>
      <c r="F122" s="58"/>
      <c r="G122" s="77">
        <v>401</v>
      </c>
      <c r="H122" s="58"/>
      <c r="I122" s="69"/>
      <c r="J122" s="57"/>
      <c r="K122" s="57"/>
      <c r="L122" s="57"/>
      <c r="M122" s="57"/>
      <c r="N122" s="59"/>
      <c r="O122" s="71"/>
      <c r="P122" s="56"/>
      <c r="Q122" s="56"/>
      <c r="R122" s="56"/>
      <c r="S122" s="56"/>
      <c r="T122" s="60"/>
      <c r="U122" s="74"/>
      <c r="V122" s="55"/>
      <c r="W122" s="55"/>
      <c r="X122" s="55"/>
      <c r="Y122" s="55"/>
      <c r="Z122" s="55"/>
      <c r="AA122" s="55"/>
      <c r="AB122" s="55"/>
      <c r="AC122" s="55">
        <f>IF(COUNTIF($C$3:C122,C122)=1,1,IF(COUNTIF($E$3:E122,E122)=1,2,0))</f>
        <v>2</v>
      </c>
      <c r="AD122" s="55">
        <f>IF(ISNUMBER(SEARCH("-",Database[[#This Row],[KEYNOTE '#]])),LEFT(Database[[#This Row],[KEYNOTE '#]],FIND("-",Database[[#This Row],[KEYNOTE '#]])-1),Database[[#This Row],[KEYNOTE '#]])</f>
        <v>401</v>
      </c>
      <c r="AE12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2" s="55" t="str">
        <f>IF(AND(ISNUMBER(SEARCH("-",Database[[#This Row],[KEYNOTE '#]]))=TRUE,ISNUMBER(--RIGHT(Database[[#This Row],[KEYNOTE '#]]))=FALSE),RIGHT(Database[[#This Row],[KEYNOTE '#]],1),"")</f>
        <v/>
      </c>
      <c r="AG122" s="55">
        <v>120</v>
      </c>
      <c r="AH122" s="55" t="str">
        <f>IF(COUNTIF(Database[[#This Row],[BASE]:[INT. OTHER]],"g"),"INTERIOR",IF(COUNTIF(Database[[#This Row],[ROOF]:[EXT. OTHER]],"n"),"EXTERIOR",Database[[#This Row],[DIVISION '#]]))</f>
        <v>ARCH NOTES</v>
      </c>
      <c r="AI122" s="55" t="str">
        <f>IF(OR(Database[[#This Row],[KEYTIER1]]="INTERIOR",Database[[#This Row],[KEYTIER1]]="EXTERIOR"),"",Database[[#This Row],[DIVISION NAME]])</f>
        <v>BY CATEGORY</v>
      </c>
      <c r="AJ122" s="55" t="str">
        <f>IF(Database[[#This Row],[KEYTIER1]]="INTERIOR","INT",IF(Database[[#This Row],[KEYTIER1]]="EXTERIOR","EXT",Database[[#This Row],[SECTION '#]]))</f>
        <v>DOORS</v>
      </c>
      <c r="AK122" s="55" t="str">
        <f>IF(OR(Database[[#This Row],[KEYTIER2]]="INT",Database[[#This Row],[KEYTIER2]]="EXT"),"",IF(Database[[#This Row],[SECTION NAME]]="","",Database[[#This Row],[SECTION NAME]]))</f>
        <v/>
      </c>
    </row>
    <row r="123" spans="2:37" ht="30" x14ac:dyDescent="0.25">
      <c r="B123" s="55" t="s">
        <v>71</v>
      </c>
      <c r="C123" s="55" t="s">
        <v>72</v>
      </c>
      <c r="D123" s="55" t="s">
        <v>73</v>
      </c>
      <c r="E123" s="55" t="s">
        <v>86</v>
      </c>
      <c r="F123" s="58"/>
      <c r="G123" s="77">
        <v>402</v>
      </c>
      <c r="H123" s="58"/>
      <c r="I123" s="69"/>
      <c r="J123" s="57"/>
      <c r="K123" s="57"/>
      <c r="L123" s="57"/>
      <c r="M123" s="57"/>
      <c r="N123" s="59"/>
      <c r="O123" s="71"/>
      <c r="P123" s="56"/>
      <c r="Q123" s="56"/>
      <c r="R123" s="56"/>
      <c r="S123" s="56"/>
      <c r="T123" s="60"/>
      <c r="U123" s="74"/>
      <c r="V123" s="55"/>
      <c r="W123" s="55"/>
      <c r="X123" s="55"/>
      <c r="Y123" s="55"/>
      <c r="Z123" s="55"/>
      <c r="AA123" s="55"/>
      <c r="AB123" s="55"/>
      <c r="AC123" s="55">
        <f>IF(COUNTIF($C$3:C123,C123)=1,1,IF(COUNTIF($E$3:E123,E123)=1,2,0))</f>
        <v>0</v>
      </c>
      <c r="AD123" s="55">
        <f>IF(ISNUMBER(SEARCH("-",Database[[#This Row],[KEYNOTE '#]])),LEFT(Database[[#This Row],[KEYNOTE '#]],FIND("-",Database[[#This Row],[KEYNOTE '#]])-1),Database[[#This Row],[KEYNOTE '#]])</f>
        <v>402</v>
      </c>
      <c r="AE12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3" s="55" t="str">
        <f>IF(AND(ISNUMBER(SEARCH("-",Database[[#This Row],[KEYNOTE '#]]))=TRUE,ISNUMBER(--RIGHT(Database[[#This Row],[KEYNOTE '#]]))=FALSE),RIGHT(Database[[#This Row],[KEYNOTE '#]],1),"")</f>
        <v/>
      </c>
      <c r="AG123" s="55">
        <v>121</v>
      </c>
      <c r="AH123" s="55" t="str">
        <f>IF(COUNTIF(Database[[#This Row],[BASE]:[INT. OTHER]],"g"),"INTERIOR",IF(COUNTIF(Database[[#This Row],[ROOF]:[EXT. OTHER]],"n"),"EXTERIOR",Database[[#This Row],[DIVISION '#]]))</f>
        <v>ARCH NOTES</v>
      </c>
      <c r="AI123" s="55" t="str">
        <f>IF(OR(Database[[#This Row],[KEYTIER1]]="INTERIOR",Database[[#This Row],[KEYTIER1]]="EXTERIOR"),"",Database[[#This Row],[DIVISION NAME]])</f>
        <v>BY CATEGORY</v>
      </c>
      <c r="AJ123" s="55" t="str">
        <f>IF(Database[[#This Row],[KEYTIER1]]="INTERIOR","INT",IF(Database[[#This Row],[KEYTIER1]]="EXTERIOR","EXT",Database[[#This Row],[SECTION '#]]))</f>
        <v>DOORS</v>
      </c>
      <c r="AK123" s="55" t="str">
        <f>IF(OR(Database[[#This Row],[KEYTIER2]]="INT",Database[[#This Row],[KEYTIER2]]="EXT"),"",IF(Database[[#This Row],[SECTION NAME]]="","",Database[[#This Row],[SECTION NAME]]))</f>
        <v/>
      </c>
    </row>
    <row r="124" spans="2:37" ht="30" x14ac:dyDescent="0.25">
      <c r="B124" s="55" t="s">
        <v>71</v>
      </c>
      <c r="C124" s="55" t="s">
        <v>72</v>
      </c>
      <c r="D124" s="55" t="s">
        <v>73</v>
      </c>
      <c r="E124" s="55" t="s">
        <v>86</v>
      </c>
      <c r="F124" s="58"/>
      <c r="G124" s="77">
        <v>403</v>
      </c>
      <c r="H124" s="58"/>
      <c r="I124" s="69"/>
      <c r="J124" s="57"/>
      <c r="K124" s="57"/>
      <c r="L124" s="57"/>
      <c r="M124" s="57"/>
      <c r="N124" s="59"/>
      <c r="O124" s="71"/>
      <c r="P124" s="56"/>
      <c r="Q124" s="56"/>
      <c r="R124" s="56"/>
      <c r="S124" s="56"/>
      <c r="T124" s="60"/>
      <c r="U124" s="74"/>
      <c r="V124" s="55"/>
      <c r="W124" s="55"/>
      <c r="X124" s="55"/>
      <c r="Y124" s="55"/>
      <c r="Z124" s="55"/>
      <c r="AA124" s="55"/>
      <c r="AB124" s="55"/>
      <c r="AC124" s="55">
        <f>IF(COUNTIF($C$3:C124,C124)=1,1,IF(COUNTIF($E$3:E124,E124)=1,2,0))</f>
        <v>0</v>
      </c>
      <c r="AD124" s="55">
        <f>IF(ISNUMBER(SEARCH("-",Database[[#This Row],[KEYNOTE '#]])),LEFT(Database[[#This Row],[KEYNOTE '#]],FIND("-",Database[[#This Row],[KEYNOTE '#]])-1),Database[[#This Row],[KEYNOTE '#]])</f>
        <v>403</v>
      </c>
      <c r="AE12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4" s="55" t="str">
        <f>IF(AND(ISNUMBER(SEARCH("-",Database[[#This Row],[KEYNOTE '#]]))=TRUE,ISNUMBER(--RIGHT(Database[[#This Row],[KEYNOTE '#]]))=FALSE),RIGHT(Database[[#This Row],[KEYNOTE '#]],1),"")</f>
        <v/>
      </c>
      <c r="AG124" s="55">
        <v>122</v>
      </c>
      <c r="AH124" s="55" t="str">
        <f>IF(COUNTIF(Database[[#This Row],[BASE]:[INT. OTHER]],"g"),"INTERIOR",IF(COUNTIF(Database[[#This Row],[ROOF]:[EXT. OTHER]],"n"),"EXTERIOR",Database[[#This Row],[DIVISION '#]]))</f>
        <v>ARCH NOTES</v>
      </c>
      <c r="AI124" s="55" t="str">
        <f>IF(OR(Database[[#This Row],[KEYTIER1]]="INTERIOR",Database[[#This Row],[KEYTIER1]]="EXTERIOR"),"",Database[[#This Row],[DIVISION NAME]])</f>
        <v>BY CATEGORY</v>
      </c>
      <c r="AJ124" s="55" t="str">
        <f>IF(Database[[#This Row],[KEYTIER1]]="INTERIOR","INT",IF(Database[[#This Row],[KEYTIER1]]="EXTERIOR","EXT",Database[[#This Row],[SECTION '#]]))</f>
        <v>DOORS</v>
      </c>
      <c r="AK124" s="55" t="str">
        <f>IF(OR(Database[[#This Row],[KEYTIER2]]="INT",Database[[#This Row],[KEYTIER2]]="EXT"),"",IF(Database[[#This Row],[SECTION NAME]]="","",Database[[#This Row],[SECTION NAME]]))</f>
        <v/>
      </c>
    </row>
    <row r="125" spans="2:37" ht="30" x14ac:dyDescent="0.25">
      <c r="B125" s="55" t="s">
        <v>71</v>
      </c>
      <c r="C125" s="55" t="s">
        <v>72</v>
      </c>
      <c r="D125" s="55" t="s">
        <v>73</v>
      </c>
      <c r="E125" s="55" t="s">
        <v>90</v>
      </c>
      <c r="F125" s="58"/>
      <c r="G125" s="77">
        <v>501</v>
      </c>
      <c r="H125" s="58"/>
      <c r="I125" s="69"/>
      <c r="J125" s="57"/>
      <c r="K125" s="57"/>
      <c r="L125" s="57"/>
      <c r="M125" s="57"/>
      <c r="N125" s="59"/>
      <c r="O125" s="71"/>
      <c r="P125" s="56"/>
      <c r="Q125" s="56"/>
      <c r="R125" s="56"/>
      <c r="S125" s="56"/>
      <c r="T125" s="60"/>
      <c r="U125" s="74"/>
      <c r="V125" s="55"/>
      <c r="W125" s="55"/>
      <c r="X125" s="55"/>
      <c r="Y125" s="55"/>
      <c r="Z125" s="55"/>
      <c r="AA125" s="55"/>
      <c r="AB125" s="55"/>
      <c r="AC125" s="55">
        <f>IF(COUNTIF($C$3:C125,C125)=1,1,IF(COUNTIF($E$3:E125,E125)=1,2,0))</f>
        <v>2</v>
      </c>
      <c r="AD125" s="55">
        <f>IF(ISNUMBER(SEARCH("-",Database[[#This Row],[KEYNOTE '#]])),LEFT(Database[[#This Row],[KEYNOTE '#]],FIND("-",Database[[#This Row],[KEYNOTE '#]])-1),Database[[#This Row],[KEYNOTE '#]])</f>
        <v>501</v>
      </c>
      <c r="AE12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5" s="55" t="str">
        <f>IF(AND(ISNUMBER(SEARCH("-",Database[[#This Row],[KEYNOTE '#]]))=TRUE,ISNUMBER(--RIGHT(Database[[#This Row],[KEYNOTE '#]]))=FALSE),RIGHT(Database[[#This Row],[KEYNOTE '#]],1),"")</f>
        <v/>
      </c>
      <c r="AG125" s="55">
        <v>123</v>
      </c>
      <c r="AH125" s="55" t="str">
        <f>IF(COUNTIF(Database[[#This Row],[BASE]:[INT. OTHER]],"g"),"INTERIOR",IF(COUNTIF(Database[[#This Row],[ROOF]:[EXT. OTHER]],"n"),"EXTERIOR",Database[[#This Row],[DIVISION '#]]))</f>
        <v>ARCH NOTES</v>
      </c>
      <c r="AI125" s="55" t="str">
        <f>IF(OR(Database[[#This Row],[KEYTIER1]]="INTERIOR",Database[[#This Row],[KEYTIER1]]="EXTERIOR"),"",Database[[#This Row],[DIVISION NAME]])</f>
        <v>BY CATEGORY</v>
      </c>
      <c r="AJ125" s="55" t="str">
        <f>IF(Database[[#This Row],[KEYTIER1]]="INTERIOR","INT",IF(Database[[#This Row],[KEYTIER1]]="EXTERIOR","EXT",Database[[#This Row],[SECTION '#]]))</f>
        <v>ELEVATORS</v>
      </c>
      <c r="AK125" s="55" t="str">
        <f>IF(OR(Database[[#This Row],[KEYTIER2]]="INT",Database[[#This Row],[KEYTIER2]]="EXT"),"",IF(Database[[#This Row],[SECTION NAME]]="","",Database[[#This Row],[SECTION NAME]]))</f>
        <v/>
      </c>
    </row>
    <row r="126" spans="2:37" ht="30" x14ac:dyDescent="0.25">
      <c r="B126" s="55" t="s">
        <v>71</v>
      </c>
      <c r="C126" s="55" t="s">
        <v>72</v>
      </c>
      <c r="D126" s="55" t="s">
        <v>73</v>
      </c>
      <c r="E126" s="55" t="s">
        <v>90</v>
      </c>
      <c r="F126" s="58"/>
      <c r="G126" s="77">
        <v>502</v>
      </c>
      <c r="H126" s="58"/>
      <c r="I126" s="69"/>
      <c r="J126" s="57"/>
      <c r="K126" s="57"/>
      <c r="L126" s="57"/>
      <c r="M126" s="57"/>
      <c r="N126" s="59"/>
      <c r="O126" s="71"/>
      <c r="P126" s="56"/>
      <c r="Q126" s="56"/>
      <c r="R126" s="56"/>
      <c r="S126" s="56"/>
      <c r="T126" s="60"/>
      <c r="U126" s="74"/>
      <c r="V126" s="55"/>
      <c r="W126" s="55"/>
      <c r="X126" s="55"/>
      <c r="Y126" s="55"/>
      <c r="Z126" s="55"/>
      <c r="AA126" s="55"/>
      <c r="AB126" s="55"/>
      <c r="AC126" s="55">
        <f>IF(COUNTIF($C$3:C126,C126)=1,1,IF(COUNTIF($E$3:E126,E126)=1,2,0))</f>
        <v>0</v>
      </c>
      <c r="AD126" s="55">
        <f>IF(ISNUMBER(SEARCH("-",Database[[#This Row],[KEYNOTE '#]])),LEFT(Database[[#This Row],[KEYNOTE '#]],FIND("-",Database[[#This Row],[KEYNOTE '#]])-1),Database[[#This Row],[KEYNOTE '#]])</f>
        <v>502</v>
      </c>
      <c r="AE12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6" s="55" t="str">
        <f>IF(AND(ISNUMBER(SEARCH("-",Database[[#This Row],[KEYNOTE '#]]))=TRUE,ISNUMBER(--RIGHT(Database[[#This Row],[KEYNOTE '#]]))=FALSE),RIGHT(Database[[#This Row],[KEYNOTE '#]],1),"")</f>
        <v/>
      </c>
      <c r="AG126" s="55">
        <v>124</v>
      </c>
      <c r="AH126" s="55" t="str">
        <f>IF(COUNTIF(Database[[#This Row],[BASE]:[INT. OTHER]],"g"),"INTERIOR",IF(COUNTIF(Database[[#This Row],[ROOF]:[EXT. OTHER]],"n"),"EXTERIOR",Database[[#This Row],[DIVISION '#]]))</f>
        <v>ARCH NOTES</v>
      </c>
      <c r="AI126" s="55" t="str">
        <f>IF(OR(Database[[#This Row],[KEYTIER1]]="INTERIOR",Database[[#This Row],[KEYTIER1]]="EXTERIOR"),"",Database[[#This Row],[DIVISION NAME]])</f>
        <v>BY CATEGORY</v>
      </c>
      <c r="AJ126" s="55" t="str">
        <f>IF(Database[[#This Row],[KEYTIER1]]="INTERIOR","INT",IF(Database[[#This Row],[KEYTIER1]]="EXTERIOR","EXT",Database[[#This Row],[SECTION '#]]))</f>
        <v>ELEVATORS</v>
      </c>
      <c r="AK126" s="55" t="str">
        <f>IF(OR(Database[[#This Row],[KEYTIER2]]="INT",Database[[#This Row],[KEYTIER2]]="EXT"),"",IF(Database[[#This Row],[SECTION NAME]]="","",Database[[#This Row],[SECTION NAME]]))</f>
        <v/>
      </c>
    </row>
    <row r="127" spans="2:37" ht="30" x14ac:dyDescent="0.25">
      <c r="B127" s="55" t="s">
        <v>71</v>
      </c>
      <c r="C127" s="55" t="s">
        <v>72</v>
      </c>
      <c r="D127" s="55" t="s">
        <v>73</v>
      </c>
      <c r="E127" s="55" t="s">
        <v>90</v>
      </c>
      <c r="F127" s="58"/>
      <c r="G127" s="77">
        <v>503</v>
      </c>
      <c r="H127" s="58"/>
      <c r="I127" s="69"/>
      <c r="J127" s="57"/>
      <c r="K127" s="57"/>
      <c r="L127" s="57"/>
      <c r="M127" s="57"/>
      <c r="N127" s="59"/>
      <c r="O127" s="71"/>
      <c r="P127" s="56"/>
      <c r="Q127" s="56"/>
      <c r="R127" s="56"/>
      <c r="S127" s="56"/>
      <c r="T127" s="60"/>
      <c r="U127" s="74"/>
      <c r="V127" s="55"/>
      <c r="W127" s="55"/>
      <c r="X127" s="55"/>
      <c r="Y127" s="55"/>
      <c r="Z127" s="55"/>
      <c r="AA127" s="55"/>
      <c r="AB127" s="55"/>
      <c r="AC127" s="55">
        <f>IF(COUNTIF($C$3:C127,C127)=1,1,IF(COUNTIF($E$3:E127,E127)=1,2,0))</f>
        <v>0</v>
      </c>
      <c r="AD127" s="55">
        <f>IF(ISNUMBER(SEARCH("-",Database[[#This Row],[KEYNOTE '#]])),LEFT(Database[[#This Row],[KEYNOTE '#]],FIND("-",Database[[#This Row],[KEYNOTE '#]])-1),Database[[#This Row],[KEYNOTE '#]])</f>
        <v>503</v>
      </c>
      <c r="AE12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7" s="55" t="str">
        <f>IF(AND(ISNUMBER(SEARCH("-",Database[[#This Row],[KEYNOTE '#]]))=TRUE,ISNUMBER(--RIGHT(Database[[#This Row],[KEYNOTE '#]]))=FALSE),RIGHT(Database[[#This Row],[KEYNOTE '#]],1),"")</f>
        <v/>
      </c>
      <c r="AG127" s="55">
        <v>125</v>
      </c>
      <c r="AH127" s="55" t="str">
        <f>IF(COUNTIF(Database[[#This Row],[BASE]:[INT. OTHER]],"g"),"INTERIOR",IF(COUNTIF(Database[[#This Row],[ROOF]:[EXT. OTHER]],"n"),"EXTERIOR",Database[[#This Row],[DIVISION '#]]))</f>
        <v>ARCH NOTES</v>
      </c>
      <c r="AI127" s="55" t="str">
        <f>IF(OR(Database[[#This Row],[KEYTIER1]]="INTERIOR",Database[[#This Row],[KEYTIER1]]="EXTERIOR"),"",Database[[#This Row],[DIVISION NAME]])</f>
        <v>BY CATEGORY</v>
      </c>
      <c r="AJ127" s="55" t="str">
        <f>IF(Database[[#This Row],[KEYTIER1]]="INTERIOR","INT",IF(Database[[#This Row],[KEYTIER1]]="EXTERIOR","EXT",Database[[#This Row],[SECTION '#]]))</f>
        <v>ELEVATORS</v>
      </c>
      <c r="AK127" s="55" t="str">
        <f>IF(OR(Database[[#This Row],[KEYTIER2]]="INT",Database[[#This Row],[KEYTIER2]]="EXT"),"",IF(Database[[#This Row],[SECTION NAME]]="","",Database[[#This Row],[SECTION NAME]]))</f>
        <v/>
      </c>
    </row>
    <row r="128" spans="2:37" ht="30" x14ac:dyDescent="0.25">
      <c r="B128" s="55" t="s">
        <v>71</v>
      </c>
      <c r="C128" s="55" t="s">
        <v>72</v>
      </c>
      <c r="D128" s="55" t="s">
        <v>73</v>
      </c>
      <c r="E128" s="55" t="s">
        <v>94</v>
      </c>
      <c r="F128" s="58"/>
      <c r="G128" s="77">
        <v>601</v>
      </c>
      <c r="H128" s="58"/>
      <c r="I128" s="69"/>
      <c r="J128" s="57"/>
      <c r="K128" s="57"/>
      <c r="L128" s="57"/>
      <c r="M128" s="57"/>
      <c r="N128" s="59"/>
      <c r="O128" s="71"/>
      <c r="P128" s="56"/>
      <c r="Q128" s="56"/>
      <c r="R128" s="56"/>
      <c r="S128" s="56"/>
      <c r="T128" s="60"/>
      <c r="U128" s="74"/>
      <c r="V128" s="55"/>
      <c r="W128" s="55"/>
      <c r="X128" s="55"/>
      <c r="Y128" s="55"/>
      <c r="Z128" s="55"/>
      <c r="AA128" s="55"/>
      <c r="AB128" s="55"/>
      <c r="AC128" s="55">
        <f>IF(COUNTIF($C$3:C128,C128)=1,1,IF(COUNTIF($E$3:E128,E128)=1,2,0))</f>
        <v>2</v>
      </c>
      <c r="AD128" s="55">
        <f>IF(ISNUMBER(SEARCH("-",Database[[#This Row],[KEYNOTE '#]])),LEFT(Database[[#This Row],[KEYNOTE '#]],FIND("-",Database[[#This Row],[KEYNOTE '#]])-1),Database[[#This Row],[KEYNOTE '#]])</f>
        <v>601</v>
      </c>
      <c r="AE12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8" s="55" t="str">
        <f>IF(AND(ISNUMBER(SEARCH("-",Database[[#This Row],[KEYNOTE '#]]))=TRUE,ISNUMBER(--RIGHT(Database[[#This Row],[KEYNOTE '#]]))=FALSE),RIGHT(Database[[#This Row],[KEYNOTE '#]],1),"")</f>
        <v/>
      </c>
      <c r="AG128" s="55">
        <v>126</v>
      </c>
      <c r="AH128" s="55" t="str">
        <f>IF(COUNTIF(Database[[#This Row],[BASE]:[INT. OTHER]],"g"),"INTERIOR",IF(COUNTIF(Database[[#This Row],[ROOF]:[EXT. OTHER]],"n"),"EXTERIOR",Database[[#This Row],[DIVISION '#]]))</f>
        <v>ARCH NOTES</v>
      </c>
      <c r="AI128" s="55" t="str">
        <f>IF(OR(Database[[#This Row],[KEYTIER1]]="INTERIOR",Database[[#This Row],[KEYTIER1]]="EXTERIOR"),"",Database[[#This Row],[DIVISION NAME]])</f>
        <v>BY CATEGORY</v>
      </c>
      <c r="AJ128" s="55" t="str">
        <f>IF(Database[[#This Row],[KEYTIER1]]="INTERIOR","INT",IF(Database[[#This Row],[KEYTIER1]]="EXTERIOR","EXT",Database[[#This Row],[SECTION '#]]))</f>
        <v>EQUIPMENT</v>
      </c>
      <c r="AK128" s="55" t="str">
        <f>IF(OR(Database[[#This Row],[KEYTIER2]]="INT",Database[[#This Row],[KEYTIER2]]="EXT"),"",IF(Database[[#This Row],[SECTION NAME]]="","",Database[[#This Row],[SECTION NAME]]))</f>
        <v/>
      </c>
    </row>
    <row r="129" spans="2:37" ht="30" x14ac:dyDescent="0.25">
      <c r="B129" s="55" t="s">
        <v>71</v>
      </c>
      <c r="C129" s="55" t="s">
        <v>72</v>
      </c>
      <c r="D129" s="55" t="s">
        <v>73</v>
      </c>
      <c r="E129" s="55" t="s">
        <v>94</v>
      </c>
      <c r="F129" s="58"/>
      <c r="G129" s="77">
        <v>602</v>
      </c>
      <c r="H129" s="58"/>
      <c r="I129" s="69"/>
      <c r="J129" s="57"/>
      <c r="K129" s="57"/>
      <c r="L129" s="57"/>
      <c r="M129" s="57"/>
      <c r="N129" s="59"/>
      <c r="O129" s="71"/>
      <c r="P129" s="56"/>
      <c r="Q129" s="56"/>
      <c r="R129" s="56"/>
      <c r="S129" s="56"/>
      <c r="T129" s="60"/>
      <c r="U129" s="74"/>
      <c r="V129" s="55"/>
      <c r="W129" s="55"/>
      <c r="X129" s="55"/>
      <c r="Y129" s="55"/>
      <c r="Z129" s="55"/>
      <c r="AA129" s="55"/>
      <c r="AB129" s="55"/>
      <c r="AC129" s="55">
        <f>IF(COUNTIF($C$3:C129,C129)=1,1,IF(COUNTIF($E$3:E129,E129)=1,2,0))</f>
        <v>0</v>
      </c>
      <c r="AD129" s="55">
        <f>IF(ISNUMBER(SEARCH("-",Database[[#This Row],[KEYNOTE '#]])),LEFT(Database[[#This Row],[KEYNOTE '#]],FIND("-",Database[[#This Row],[KEYNOTE '#]])-1),Database[[#This Row],[KEYNOTE '#]])</f>
        <v>602</v>
      </c>
      <c r="AE12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29" s="55" t="str">
        <f>IF(AND(ISNUMBER(SEARCH("-",Database[[#This Row],[KEYNOTE '#]]))=TRUE,ISNUMBER(--RIGHT(Database[[#This Row],[KEYNOTE '#]]))=FALSE),RIGHT(Database[[#This Row],[KEYNOTE '#]],1),"")</f>
        <v/>
      </c>
      <c r="AG129" s="55">
        <v>127</v>
      </c>
      <c r="AH129" s="55" t="str">
        <f>IF(COUNTIF(Database[[#This Row],[BASE]:[INT. OTHER]],"g"),"INTERIOR",IF(COUNTIF(Database[[#This Row],[ROOF]:[EXT. OTHER]],"n"),"EXTERIOR",Database[[#This Row],[DIVISION '#]]))</f>
        <v>ARCH NOTES</v>
      </c>
      <c r="AI129" s="55" t="str">
        <f>IF(OR(Database[[#This Row],[KEYTIER1]]="INTERIOR",Database[[#This Row],[KEYTIER1]]="EXTERIOR"),"",Database[[#This Row],[DIVISION NAME]])</f>
        <v>BY CATEGORY</v>
      </c>
      <c r="AJ129" s="55" t="str">
        <f>IF(Database[[#This Row],[KEYTIER1]]="INTERIOR","INT",IF(Database[[#This Row],[KEYTIER1]]="EXTERIOR","EXT",Database[[#This Row],[SECTION '#]]))</f>
        <v>EQUIPMENT</v>
      </c>
      <c r="AK129" s="55" t="str">
        <f>IF(OR(Database[[#This Row],[KEYTIER2]]="INT",Database[[#This Row],[KEYTIER2]]="EXT"),"",IF(Database[[#This Row],[SECTION NAME]]="","",Database[[#This Row],[SECTION NAME]]))</f>
        <v/>
      </c>
    </row>
    <row r="130" spans="2:37" ht="30" x14ac:dyDescent="0.25">
      <c r="B130" s="55" t="s">
        <v>71</v>
      </c>
      <c r="C130" s="55" t="s">
        <v>72</v>
      </c>
      <c r="D130" s="55" t="s">
        <v>73</v>
      </c>
      <c r="E130" s="55" t="s">
        <v>94</v>
      </c>
      <c r="F130" s="58"/>
      <c r="G130" s="77">
        <v>603</v>
      </c>
      <c r="H130" s="58"/>
      <c r="I130" s="69"/>
      <c r="J130" s="57"/>
      <c r="K130" s="57"/>
      <c r="L130" s="57"/>
      <c r="M130" s="57"/>
      <c r="N130" s="59"/>
      <c r="O130" s="71"/>
      <c r="P130" s="56"/>
      <c r="Q130" s="56"/>
      <c r="R130" s="56"/>
      <c r="S130" s="56"/>
      <c r="T130" s="60"/>
      <c r="U130" s="74"/>
      <c r="V130" s="55"/>
      <c r="W130" s="55"/>
      <c r="X130" s="55"/>
      <c r="Y130" s="55"/>
      <c r="Z130" s="55"/>
      <c r="AA130" s="55"/>
      <c r="AB130" s="55"/>
      <c r="AC130" s="55">
        <f>IF(COUNTIF($C$3:C130,C130)=1,1,IF(COUNTIF($E$3:E130,E130)=1,2,0))</f>
        <v>0</v>
      </c>
      <c r="AD130" s="55">
        <f>IF(ISNUMBER(SEARCH("-",Database[[#This Row],[KEYNOTE '#]])),LEFT(Database[[#This Row],[KEYNOTE '#]],FIND("-",Database[[#This Row],[KEYNOTE '#]])-1),Database[[#This Row],[KEYNOTE '#]])</f>
        <v>603</v>
      </c>
      <c r="AE13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0" s="55" t="str">
        <f>IF(AND(ISNUMBER(SEARCH("-",Database[[#This Row],[KEYNOTE '#]]))=TRUE,ISNUMBER(--RIGHT(Database[[#This Row],[KEYNOTE '#]]))=FALSE),RIGHT(Database[[#This Row],[KEYNOTE '#]],1),"")</f>
        <v/>
      </c>
      <c r="AG130" s="55">
        <v>128</v>
      </c>
      <c r="AH130" s="55" t="str">
        <f>IF(COUNTIF(Database[[#This Row],[BASE]:[INT. OTHER]],"g"),"INTERIOR",IF(COUNTIF(Database[[#This Row],[ROOF]:[EXT. OTHER]],"n"),"EXTERIOR",Database[[#This Row],[DIVISION '#]]))</f>
        <v>ARCH NOTES</v>
      </c>
      <c r="AI130" s="55" t="str">
        <f>IF(OR(Database[[#This Row],[KEYTIER1]]="INTERIOR",Database[[#This Row],[KEYTIER1]]="EXTERIOR"),"",Database[[#This Row],[DIVISION NAME]])</f>
        <v>BY CATEGORY</v>
      </c>
      <c r="AJ130" s="55" t="str">
        <f>IF(Database[[#This Row],[KEYTIER1]]="INTERIOR","INT",IF(Database[[#This Row],[KEYTIER1]]="EXTERIOR","EXT",Database[[#This Row],[SECTION '#]]))</f>
        <v>EQUIPMENT</v>
      </c>
      <c r="AK130" s="55" t="str">
        <f>IF(OR(Database[[#This Row],[KEYTIER2]]="INT",Database[[#This Row],[KEYTIER2]]="EXT"),"",IF(Database[[#This Row],[SECTION NAME]]="","",Database[[#This Row],[SECTION NAME]]))</f>
        <v/>
      </c>
    </row>
    <row r="131" spans="2:37" ht="30" x14ac:dyDescent="0.25">
      <c r="B131" s="55" t="s">
        <v>71</v>
      </c>
      <c r="C131" s="55" t="s">
        <v>72</v>
      </c>
      <c r="D131" s="55" t="s">
        <v>73</v>
      </c>
      <c r="E131" s="55" t="s">
        <v>95</v>
      </c>
      <c r="F131" s="58"/>
      <c r="G131" s="77">
        <v>701</v>
      </c>
      <c r="H131" s="58"/>
      <c r="I131" s="69"/>
      <c r="J131" s="57"/>
      <c r="K131" s="57"/>
      <c r="L131" s="57"/>
      <c r="M131" s="57"/>
      <c r="N131" s="59"/>
      <c r="O131" s="71"/>
      <c r="P131" s="56"/>
      <c r="Q131" s="56"/>
      <c r="R131" s="56"/>
      <c r="S131" s="56"/>
      <c r="T131" s="60"/>
      <c r="U131" s="74"/>
      <c r="V131" s="55"/>
      <c r="W131" s="55"/>
      <c r="X131" s="55"/>
      <c r="Y131" s="55"/>
      <c r="Z131" s="55"/>
      <c r="AA131" s="55"/>
      <c r="AB131" s="55"/>
      <c r="AC131" s="55">
        <f>IF(COUNTIF($C$3:C131,C131)=1,1,IF(COUNTIF($E$3:E131,E131)=1,2,0))</f>
        <v>2</v>
      </c>
      <c r="AD131" s="55">
        <f>IF(ISNUMBER(SEARCH("-",Database[[#This Row],[KEYNOTE '#]])),LEFT(Database[[#This Row],[KEYNOTE '#]],FIND("-",Database[[#This Row],[KEYNOTE '#]])-1),Database[[#This Row],[KEYNOTE '#]])</f>
        <v>701</v>
      </c>
      <c r="AE13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1" s="55" t="str">
        <f>IF(AND(ISNUMBER(SEARCH("-",Database[[#This Row],[KEYNOTE '#]]))=TRUE,ISNUMBER(--RIGHT(Database[[#This Row],[KEYNOTE '#]]))=FALSE),RIGHT(Database[[#This Row],[KEYNOTE '#]],1),"")</f>
        <v/>
      </c>
      <c r="AG131" s="55">
        <v>129</v>
      </c>
      <c r="AH131" s="55" t="str">
        <f>IF(COUNTIF(Database[[#This Row],[BASE]:[INT. OTHER]],"g"),"INTERIOR",IF(COUNTIF(Database[[#This Row],[ROOF]:[EXT. OTHER]],"n"),"EXTERIOR",Database[[#This Row],[DIVISION '#]]))</f>
        <v>ARCH NOTES</v>
      </c>
      <c r="AI131" s="55" t="str">
        <f>IF(OR(Database[[#This Row],[KEYTIER1]]="INTERIOR",Database[[#This Row],[KEYTIER1]]="EXTERIOR"),"",Database[[#This Row],[DIVISION NAME]])</f>
        <v>BY CATEGORY</v>
      </c>
      <c r="AJ131" s="55" t="str">
        <f>IF(Database[[#This Row],[KEYTIER1]]="INTERIOR","INT",IF(Database[[#This Row],[KEYTIER1]]="EXTERIOR","EXT",Database[[#This Row],[SECTION '#]]))</f>
        <v>FLOORS</v>
      </c>
      <c r="AK131" s="55" t="str">
        <f>IF(OR(Database[[#This Row],[KEYTIER2]]="INT",Database[[#This Row],[KEYTIER2]]="EXT"),"",IF(Database[[#This Row],[SECTION NAME]]="","",Database[[#This Row],[SECTION NAME]]))</f>
        <v/>
      </c>
    </row>
    <row r="132" spans="2:37" ht="30" x14ac:dyDescent="0.25">
      <c r="B132" s="55" t="s">
        <v>71</v>
      </c>
      <c r="C132" s="55" t="s">
        <v>72</v>
      </c>
      <c r="D132" s="55" t="s">
        <v>73</v>
      </c>
      <c r="E132" s="55" t="s">
        <v>95</v>
      </c>
      <c r="F132" s="58"/>
      <c r="G132" s="77">
        <v>702</v>
      </c>
      <c r="H132" s="58"/>
      <c r="I132" s="69"/>
      <c r="J132" s="57"/>
      <c r="K132" s="57"/>
      <c r="L132" s="57"/>
      <c r="M132" s="57"/>
      <c r="N132" s="59"/>
      <c r="O132" s="71"/>
      <c r="P132" s="56"/>
      <c r="Q132" s="56"/>
      <c r="R132" s="56"/>
      <c r="S132" s="56"/>
      <c r="T132" s="60"/>
      <c r="U132" s="74"/>
      <c r="V132" s="55"/>
      <c r="W132" s="55"/>
      <c r="X132" s="55"/>
      <c r="Y132" s="55"/>
      <c r="Z132" s="55"/>
      <c r="AA132" s="55"/>
      <c r="AB132" s="55"/>
      <c r="AC132" s="55">
        <f>IF(COUNTIF($C$3:C132,C132)=1,1,IF(COUNTIF($E$3:E132,E132)=1,2,0))</f>
        <v>0</v>
      </c>
      <c r="AD132" s="55">
        <f>IF(ISNUMBER(SEARCH("-",Database[[#This Row],[KEYNOTE '#]])),LEFT(Database[[#This Row],[KEYNOTE '#]],FIND("-",Database[[#This Row],[KEYNOTE '#]])-1),Database[[#This Row],[KEYNOTE '#]])</f>
        <v>702</v>
      </c>
      <c r="AE13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2" s="55" t="str">
        <f>IF(AND(ISNUMBER(SEARCH("-",Database[[#This Row],[KEYNOTE '#]]))=TRUE,ISNUMBER(--RIGHT(Database[[#This Row],[KEYNOTE '#]]))=FALSE),RIGHT(Database[[#This Row],[KEYNOTE '#]],1),"")</f>
        <v/>
      </c>
      <c r="AG132" s="55">
        <v>130</v>
      </c>
      <c r="AH132" s="55" t="str">
        <f>IF(COUNTIF(Database[[#This Row],[BASE]:[INT. OTHER]],"g"),"INTERIOR",IF(COUNTIF(Database[[#This Row],[ROOF]:[EXT. OTHER]],"n"),"EXTERIOR",Database[[#This Row],[DIVISION '#]]))</f>
        <v>ARCH NOTES</v>
      </c>
      <c r="AI132" s="55" t="str">
        <f>IF(OR(Database[[#This Row],[KEYTIER1]]="INTERIOR",Database[[#This Row],[KEYTIER1]]="EXTERIOR"),"",Database[[#This Row],[DIVISION NAME]])</f>
        <v>BY CATEGORY</v>
      </c>
      <c r="AJ132" s="55" t="str">
        <f>IF(Database[[#This Row],[KEYTIER1]]="INTERIOR","INT",IF(Database[[#This Row],[KEYTIER1]]="EXTERIOR","EXT",Database[[#This Row],[SECTION '#]]))</f>
        <v>FLOORS</v>
      </c>
      <c r="AK132" s="55" t="str">
        <f>IF(OR(Database[[#This Row],[KEYTIER2]]="INT",Database[[#This Row],[KEYTIER2]]="EXT"),"",IF(Database[[#This Row],[SECTION NAME]]="","",Database[[#This Row],[SECTION NAME]]))</f>
        <v/>
      </c>
    </row>
    <row r="133" spans="2:37" ht="30" x14ac:dyDescent="0.25">
      <c r="B133" s="55" t="s">
        <v>71</v>
      </c>
      <c r="C133" s="55" t="s">
        <v>72</v>
      </c>
      <c r="D133" s="55" t="s">
        <v>73</v>
      </c>
      <c r="E133" s="55" t="s">
        <v>95</v>
      </c>
      <c r="F133" s="58"/>
      <c r="G133" s="77">
        <v>703</v>
      </c>
      <c r="H133" s="58"/>
      <c r="I133" s="69"/>
      <c r="J133" s="57"/>
      <c r="K133" s="57"/>
      <c r="L133" s="57"/>
      <c r="M133" s="57"/>
      <c r="N133" s="59"/>
      <c r="O133" s="71"/>
      <c r="P133" s="56"/>
      <c r="Q133" s="56"/>
      <c r="R133" s="56"/>
      <c r="S133" s="56"/>
      <c r="T133" s="60"/>
      <c r="U133" s="74"/>
      <c r="V133" s="55"/>
      <c r="W133" s="55"/>
      <c r="X133" s="55"/>
      <c r="Y133" s="55"/>
      <c r="Z133" s="55"/>
      <c r="AA133" s="55"/>
      <c r="AB133" s="55"/>
      <c r="AC133" s="55">
        <f>IF(COUNTIF($C$3:C133,C133)=1,1,IF(COUNTIF($E$3:E133,E133)=1,2,0))</f>
        <v>0</v>
      </c>
      <c r="AD133" s="55">
        <f>IF(ISNUMBER(SEARCH("-",Database[[#This Row],[KEYNOTE '#]])),LEFT(Database[[#This Row],[KEYNOTE '#]],FIND("-",Database[[#This Row],[KEYNOTE '#]])-1),Database[[#This Row],[KEYNOTE '#]])</f>
        <v>703</v>
      </c>
      <c r="AE13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3" s="55" t="str">
        <f>IF(AND(ISNUMBER(SEARCH("-",Database[[#This Row],[KEYNOTE '#]]))=TRUE,ISNUMBER(--RIGHT(Database[[#This Row],[KEYNOTE '#]]))=FALSE),RIGHT(Database[[#This Row],[KEYNOTE '#]],1),"")</f>
        <v/>
      </c>
      <c r="AG133" s="55">
        <v>131</v>
      </c>
      <c r="AH133" s="55" t="str">
        <f>IF(COUNTIF(Database[[#This Row],[BASE]:[INT. OTHER]],"g"),"INTERIOR",IF(COUNTIF(Database[[#This Row],[ROOF]:[EXT. OTHER]],"n"),"EXTERIOR",Database[[#This Row],[DIVISION '#]]))</f>
        <v>ARCH NOTES</v>
      </c>
      <c r="AI133" s="55" t="str">
        <f>IF(OR(Database[[#This Row],[KEYTIER1]]="INTERIOR",Database[[#This Row],[KEYTIER1]]="EXTERIOR"),"",Database[[#This Row],[DIVISION NAME]])</f>
        <v>BY CATEGORY</v>
      </c>
      <c r="AJ133" s="55" t="str">
        <f>IF(Database[[#This Row],[KEYTIER1]]="INTERIOR","INT",IF(Database[[#This Row],[KEYTIER1]]="EXTERIOR","EXT",Database[[#This Row],[SECTION '#]]))</f>
        <v>FLOORS</v>
      </c>
      <c r="AK133" s="55" t="str">
        <f>IF(OR(Database[[#This Row],[KEYTIER2]]="INT",Database[[#This Row],[KEYTIER2]]="EXT"),"",IF(Database[[#This Row],[SECTION NAME]]="","",Database[[#This Row],[SECTION NAME]]))</f>
        <v/>
      </c>
    </row>
    <row r="134" spans="2:37" ht="30" x14ac:dyDescent="0.25">
      <c r="B134" s="55" t="s">
        <v>71</v>
      </c>
      <c r="C134" s="55" t="s">
        <v>72</v>
      </c>
      <c r="D134" s="55" t="s">
        <v>73</v>
      </c>
      <c r="E134" s="55" t="s">
        <v>97</v>
      </c>
      <c r="F134" s="58"/>
      <c r="G134" s="77">
        <v>801</v>
      </c>
      <c r="H134" s="58"/>
      <c r="I134" s="69"/>
      <c r="J134" s="57"/>
      <c r="K134" s="57"/>
      <c r="L134" s="57"/>
      <c r="M134" s="57"/>
      <c r="N134" s="59"/>
      <c r="O134" s="71"/>
      <c r="P134" s="56"/>
      <c r="Q134" s="56"/>
      <c r="R134" s="56"/>
      <c r="S134" s="56"/>
      <c r="T134" s="60"/>
      <c r="U134" s="74"/>
      <c r="V134" s="55"/>
      <c r="W134" s="55"/>
      <c r="X134" s="55"/>
      <c r="Y134" s="55"/>
      <c r="Z134" s="55"/>
      <c r="AA134" s="55"/>
      <c r="AB134" s="55"/>
      <c r="AC134" s="55">
        <f>IF(COUNTIF($C$3:C134,C134)=1,1,IF(COUNTIF($E$3:E134,E134)=1,2,0))</f>
        <v>2</v>
      </c>
      <c r="AD134" s="55">
        <f>IF(ISNUMBER(SEARCH("-",Database[[#This Row],[KEYNOTE '#]])),LEFT(Database[[#This Row],[KEYNOTE '#]],FIND("-",Database[[#This Row],[KEYNOTE '#]])-1),Database[[#This Row],[KEYNOTE '#]])</f>
        <v>801</v>
      </c>
      <c r="AE13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4" s="55" t="str">
        <f>IF(AND(ISNUMBER(SEARCH("-",Database[[#This Row],[KEYNOTE '#]]))=TRUE,ISNUMBER(--RIGHT(Database[[#This Row],[KEYNOTE '#]]))=FALSE),RIGHT(Database[[#This Row],[KEYNOTE '#]],1),"")</f>
        <v/>
      </c>
      <c r="AG134" s="55">
        <v>132</v>
      </c>
      <c r="AH134" s="55" t="str">
        <f>IF(COUNTIF(Database[[#This Row],[BASE]:[INT. OTHER]],"g"),"INTERIOR",IF(COUNTIF(Database[[#This Row],[ROOF]:[EXT. OTHER]],"n"),"EXTERIOR",Database[[#This Row],[DIVISION '#]]))</f>
        <v>ARCH NOTES</v>
      </c>
      <c r="AI134" s="55" t="str">
        <f>IF(OR(Database[[#This Row],[KEYTIER1]]="INTERIOR",Database[[#This Row],[KEYTIER1]]="EXTERIOR"),"",Database[[#This Row],[DIVISION NAME]])</f>
        <v>BY CATEGORY</v>
      </c>
      <c r="AJ134" s="55" t="str">
        <f>IF(Database[[#This Row],[KEYTIER1]]="INTERIOR","INT",IF(Database[[#This Row],[KEYTIER1]]="EXTERIOR","EXT",Database[[#This Row],[SECTION '#]]))</f>
        <v>FURNITURE</v>
      </c>
      <c r="AK134" s="55" t="str">
        <f>IF(OR(Database[[#This Row],[KEYTIER2]]="INT",Database[[#This Row],[KEYTIER2]]="EXT"),"",IF(Database[[#This Row],[SECTION NAME]]="","",Database[[#This Row],[SECTION NAME]]))</f>
        <v/>
      </c>
    </row>
    <row r="135" spans="2:37" ht="30" x14ac:dyDescent="0.25">
      <c r="B135" s="55" t="s">
        <v>71</v>
      </c>
      <c r="C135" s="55" t="s">
        <v>72</v>
      </c>
      <c r="D135" s="55" t="s">
        <v>73</v>
      </c>
      <c r="E135" s="55" t="s">
        <v>97</v>
      </c>
      <c r="F135" s="58"/>
      <c r="G135" s="77">
        <v>802</v>
      </c>
      <c r="H135" s="58"/>
      <c r="I135" s="69"/>
      <c r="J135" s="57"/>
      <c r="K135" s="57"/>
      <c r="L135" s="57"/>
      <c r="M135" s="57"/>
      <c r="N135" s="59"/>
      <c r="O135" s="71"/>
      <c r="P135" s="56"/>
      <c r="Q135" s="56"/>
      <c r="R135" s="56"/>
      <c r="S135" s="56"/>
      <c r="T135" s="60"/>
      <c r="U135" s="74"/>
      <c r="V135" s="55"/>
      <c r="W135" s="55"/>
      <c r="X135" s="55"/>
      <c r="Y135" s="55"/>
      <c r="Z135" s="55"/>
      <c r="AA135" s="55"/>
      <c r="AB135" s="55"/>
      <c r="AC135" s="55">
        <f>IF(COUNTIF($C$3:C135,C135)=1,1,IF(COUNTIF($E$3:E135,E135)=1,2,0))</f>
        <v>0</v>
      </c>
      <c r="AD135" s="55">
        <f>IF(ISNUMBER(SEARCH("-",Database[[#This Row],[KEYNOTE '#]])),LEFT(Database[[#This Row],[KEYNOTE '#]],FIND("-",Database[[#This Row],[KEYNOTE '#]])-1),Database[[#This Row],[KEYNOTE '#]])</f>
        <v>802</v>
      </c>
      <c r="AE13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5" s="55" t="str">
        <f>IF(AND(ISNUMBER(SEARCH("-",Database[[#This Row],[KEYNOTE '#]]))=TRUE,ISNUMBER(--RIGHT(Database[[#This Row],[KEYNOTE '#]]))=FALSE),RIGHT(Database[[#This Row],[KEYNOTE '#]],1),"")</f>
        <v/>
      </c>
      <c r="AG135" s="55">
        <v>133</v>
      </c>
      <c r="AH135" s="55" t="str">
        <f>IF(COUNTIF(Database[[#This Row],[BASE]:[INT. OTHER]],"g"),"INTERIOR",IF(COUNTIF(Database[[#This Row],[ROOF]:[EXT. OTHER]],"n"),"EXTERIOR",Database[[#This Row],[DIVISION '#]]))</f>
        <v>ARCH NOTES</v>
      </c>
      <c r="AI135" s="55" t="str">
        <f>IF(OR(Database[[#This Row],[KEYTIER1]]="INTERIOR",Database[[#This Row],[KEYTIER1]]="EXTERIOR"),"",Database[[#This Row],[DIVISION NAME]])</f>
        <v>BY CATEGORY</v>
      </c>
      <c r="AJ135" s="55" t="str">
        <f>IF(Database[[#This Row],[KEYTIER1]]="INTERIOR","INT",IF(Database[[#This Row],[KEYTIER1]]="EXTERIOR","EXT",Database[[#This Row],[SECTION '#]]))</f>
        <v>FURNITURE</v>
      </c>
      <c r="AK135" s="55" t="str">
        <f>IF(OR(Database[[#This Row],[KEYTIER2]]="INT",Database[[#This Row],[KEYTIER2]]="EXT"),"",IF(Database[[#This Row],[SECTION NAME]]="","",Database[[#This Row],[SECTION NAME]]))</f>
        <v/>
      </c>
    </row>
    <row r="136" spans="2:37" ht="45" x14ac:dyDescent="0.25">
      <c r="B136" s="55" t="s">
        <v>71</v>
      </c>
      <c r="C136" s="55" t="s">
        <v>72</v>
      </c>
      <c r="D136" s="55" t="s">
        <v>73</v>
      </c>
      <c r="E136" s="55" t="s">
        <v>98</v>
      </c>
      <c r="F136" s="58"/>
      <c r="G136" s="77">
        <v>901</v>
      </c>
      <c r="H136" s="58" t="s">
        <v>100</v>
      </c>
      <c r="I136" s="69"/>
      <c r="J136" s="57"/>
      <c r="K136" s="57"/>
      <c r="L136" s="57"/>
      <c r="M136" s="57"/>
      <c r="N136" s="59"/>
      <c r="O136" s="71"/>
      <c r="P136" s="56"/>
      <c r="Q136" s="56"/>
      <c r="R136" s="56"/>
      <c r="S136" s="56"/>
      <c r="T136" s="60"/>
      <c r="U136" s="74"/>
      <c r="V136" s="55"/>
      <c r="W136" s="55"/>
      <c r="X136" s="55"/>
      <c r="Y136" s="55"/>
      <c r="Z136" s="55"/>
      <c r="AA136" s="55"/>
      <c r="AB136" s="55"/>
      <c r="AC136" s="55">
        <f>IF(COUNTIF($C$3:C136,C136)=1,1,IF(COUNTIF($E$3:E136,E136)=1,2,0))</f>
        <v>2</v>
      </c>
      <c r="AD136" s="55">
        <f>IF(ISNUMBER(SEARCH("-",Database[[#This Row],[KEYNOTE '#]])),LEFT(Database[[#This Row],[KEYNOTE '#]],FIND("-",Database[[#This Row],[KEYNOTE '#]])-1),Database[[#This Row],[KEYNOTE '#]])</f>
        <v>901</v>
      </c>
      <c r="AE13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6" s="55" t="str">
        <f>IF(AND(ISNUMBER(SEARCH("-",Database[[#This Row],[KEYNOTE '#]]))=TRUE,ISNUMBER(--RIGHT(Database[[#This Row],[KEYNOTE '#]]))=FALSE),RIGHT(Database[[#This Row],[KEYNOTE '#]],1),"")</f>
        <v/>
      </c>
      <c r="AG136" s="55">
        <v>134</v>
      </c>
      <c r="AH136" s="55" t="str">
        <f>IF(COUNTIF(Database[[#This Row],[BASE]:[INT. OTHER]],"g"),"INTERIOR",IF(COUNTIF(Database[[#This Row],[ROOF]:[EXT. OTHER]],"n"),"EXTERIOR",Database[[#This Row],[DIVISION '#]]))</f>
        <v>ARCH NOTES</v>
      </c>
      <c r="AI136" s="55" t="str">
        <f>IF(OR(Database[[#This Row],[KEYTIER1]]="INTERIOR",Database[[#This Row],[KEYTIER1]]="EXTERIOR"),"",Database[[#This Row],[DIVISION NAME]])</f>
        <v>BY CATEGORY</v>
      </c>
      <c r="AJ136" s="55" t="str">
        <f>IF(Database[[#This Row],[KEYTIER1]]="INTERIOR","INT",IF(Database[[#This Row],[KEYTIER1]]="EXTERIOR","EXT",Database[[#This Row],[SECTION '#]]))</f>
        <v>GENERAL ANNOTATIONS</v>
      </c>
      <c r="AK136" s="55" t="str">
        <f>IF(OR(Database[[#This Row],[KEYTIER2]]="INT",Database[[#This Row],[KEYTIER2]]="EXT"),"",IF(Database[[#This Row],[SECTION NAME]]="","",Database[[#This Row],[SECTION NAME]]))</f>
        <v/>
      </c>
    </row>
    <row r="137" spans="2:37" ht="45" x14ac:dyDescent="0.25">
      <c r="B137" s="55" t="s">
        <v>71</v>
      </c>
      <c r="C137" s="55" t="s">
        <v>72</v>
      </c>
      <c r="D137" s="55" t="s">
        <v>73</v>
      </c>
      <c r="E137" s="55" t="s">
        <v>98</v>
      </c>
      <c r="F137" s="58"/>
      <c r="G137" s="77">
        <v>902</v>
      </c>
      <c r="H137" s="58" t="s">
        <v>102</v>
      </c>
      <c r="I137" s="69"/>
      <c r="J137" s="57"/>
      <c r="K137" s="57"/>
      <c r="L137" s="57"/>
      <c r="M137" s="57"/>
      <c r="N137" s="59"/>
      <c r="O137" s="71"/>
      <c r="P137" s="56"/>
      <c r="Q137" s="56"/>
      <c r="R137" s="56"/>
      <c r="S137" s="56"/>
      <c r="T137" s="60"/>
      <c r="U137" s="74"/>
      <c r="V137" s="55"/>
      <c r="W137" s="55"/>
      <c r="X137" s="55"/>
      <c r="Y137" s="55"/>
      <c r="Z137" s="55"/>
      <c r="AA137" s="55"/>
      <c r="AB137" s="55"/>
      <c r="AC137" s="55">
        <f>IF(COUNTIF($C$3:C137,C137)=1,1,IF(COUNTIF($E$3:E137,E137)=1,2,0))</f>
        <v>0</v>
      </c>
      <c r="AD137" s="55">
        <f>IF(ISNUMBER(SEARCH("-",Database[[#This Row],[KEYNOTE '#]])),LEFT(Database[[#This Row],[KEYNOTE '#]],FIND("-",Database[[#This Row],[KEYNOTE '#]])-1),Database[[#This Row],[KEYNOTE '#]])</f>
        <v>902</v>
      </c>
      <c r="AE13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7" s="55" t="str">
        <f>IF(AND(ISNUMBER(SEARCH("-",Database[[#This Row],[KEYNOTE '#]]))=TRUE,ISNUMBER(--RIGHT(Database[[#This Row],[KEYNOTE '#]]))=FALSE),RIGHT(Database[[#This Row],[KEYNOTE '#]],1),"")</f>
        <v/>
      </c>
      <c r="AG137" s="55">
        <v>135</v>
      </c>
      <c r="AH137" s="55" t="str">
        <f>IF(COUNTIF(Database[[#This Row],[BASE]:[INT. OTHER]],"g"),"INTERIOR",IF(COUNTIF(Database[[#This Row],[ROOF]:[EXT. OTHER]],"n"),"EXTERIOR",Database[[#This Row],[DIVISION '#]]))</f>
        <v>ARCH NOTES</v>
      </c>
      <c r="AI137" s="55" t="str">
        <f>IF(OR(Database[[#This Row],[KEYTIER1]]="INTERIOR",Database[[#This Row],[KEYTIER1]]="EXTERIOR"),"",Database[[#This Row],[DIVISION NAME]])</f>
        <v>BY CATEGORY</v>
      </c>
      <c r="AJ137" s="55" t="str">
        <f>IF(Database[[#This Row],[KEYTIER1]]="INTERIOR","INT",IF(Database[[#This Row],[KEYTIER1]]="EXTERIOR","EXT",Database[[#This Row],[SECTION '#]]))</f>
        <v>GENERAL ANNOTATIONS</v>
      </c>
      <c r="AK137" s="55" t="str">
        <f>IF(OR(Database[[#This Row],[KEYTIER2]]="INT",Database[[#This Row],[KEYTIER2]]="EXT"),"",IF(Database[[#This Row],[SECTION NAME]]="","",Database[[#This Row],[SECTION NAME]]))</f>
        <v/>
      </c>
    </row>
    <row r="138" spans="2:37" ht="45" x14ac:dyDescent="0.25">
      <c r="B138" s="55" t="s">
        <v>71</v>
      </c>
      <c r="C138" s="55" t="s">
        <v>72</v>
      </c>
      <c r="D138" s="55" t="s">
        <v>73</v>
      </c>
      <c r="E138" s="55" t="s">
        <v>98</v>
      </c>
      <c r="F138" s="58"/>
      <c r="G138" s="77">
        <v>903</v>
      </c>
      <c r="H138" s="58" t="s">
        <v>104</v>
      </c>
      <c r="I138" s="69"/>
      <c r="J138" s="57"/>
      <c r="K138" s="57"/>
      <c r="L138" s="57"/>
      <c r="M138" s="57"/>
      <c r="N138" s="59"/>
      <c r="O138" s="71"/>
      <c r="P138" s="56"/>
      <c r="Q138" s="56"/>
      <c r="R138" s="56"/>
      <c r="S138" s="56"/>
      <c r="T138" s="60"/>
      <c r="U138" s="74"/>
      <c r="V138" s="55"/>
      <c r="W138" s="55"/>
      <c r="X138" s="55"/>
      <c r="Y138" s="55"/>
      <c r="Z138" s="55"/>
      <c r="AA138" s="55"/>
      <c r="AB138" s="55"/>
      <c r="AC138" s="55">
        <f>IF(COUNTIF($C$3:C138,C138)=1,1,IF(COUNTIF($E$3:E138,E138)=1,2,0))</f>
        <v>0</v>
      </c>
      <c r="AD138" s="55">
        <f>IF(ISNUMBER(SEARCH("-",Database[[#This Row],[KEYNOTE '#]])),LEFT(Database[[#This Row],[KEYNOTE '#]],FIND("-",Database[[#This Row],[KEYNOTE '#]])-1),Database[[#This Row],[KEYNOTE '#]])</f>
        <v>903</v>
      </c>
      <c r="AE13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8" s="55" t="str">
        <f>IF(AND(ISNUMBER(SEARCH("-",Database[[#This Row],[KEYNOTE '#]]))=TRUE,ISNUMBER(--RIGHT(Database[[#This Row],[KEYNOTE '#]]))=FALSE),RIGHT(Database[[#This Row],[KEYNOTE '#]],1),"")</f>
        <v/>
      </c>
      <c r="AG138" s="55">
        <v>136</v>
      </c>
      <c r="AH138" s="55" t="str">
        <f>IF(COUNTIF(Database[[#This Row],[BASE]:[INT. OTHER]],"g"),"INTERIOR",IF(COUNTIF(Database[[#This Row],[ROOF]:[EXT. OTHER]],"n"),"EXTERIOR",Database[[#This Row],[DIVISION '#]]))</f>
        <v>ARCH NOTES</v>
      </c>
      <c r="AI138" s="55" t="str">
        <f>IF(OR(Database[[#This Row],[KEYTIER1]]="INTERIOR",Database[[#This Row],[KEYTIER1]]="EXTERIOR"),"",Database[[#This Row],[DIVISION NAME]])</f>
        <v>BY CATEGORY</v>
      </c>
      <c r="AJ138" s="55" t="str">
        <f>IF(Database[[#This Row],[KEYTIER1]]="INTERIOR","INT",IF(Database[[#This Row],[KEYTIER1]]="EXTERIOR","EXT",Database[[#This Row],[SECTION '#]]))</f>
        <v>GENERAL ANNOTATIONS</v>
      </c>
      <c r="AK138" s="55" t="str">
        <f>IF(OR(Database[[#This Row],[KEYTIER2]]="INT",Database[[#This Row],[KEYTIER2]]="EXT"),"",IF(Database[[#This Row],[SECTION NAME]]="","",Database[[#This Row],[SECTION NAME]]))</f>
        <v/>
      </c>
    </row>
    <row r="139" spans="2:37" ht="45" x14ac:dyDescent="0.25">
      <c r="B139" s="55" t="s">
        <v>71</v>
      </c>
      <c r="C139" s="55" t="s">
        <v>72</v>
      </c>
      <c r="D139" s="55" t="s">
        <v>73</v>
      </c>
      <c r="E139" s="55" t="s">
        <v>98</v>
      </c>
      <c r="F139" s="58"/>
      <c r="G139" s="77">
        <v>904</v>
      </c>
      <c r="H139" s="58" t="s">
        <v>106</v>
      </c>
      <c r="I139" s="69"/>
      <c r="J139" s="57"/>
      <c r="K139" s="57"/>
      <c r="L139" s="57"/>
      <c r="M139" s="57"/>
      <c r="N139" s="59"/>
      <c r="O139" s="71"/>
      <c r="P139" s="56"/>
      <c r="Q139" s="56"/>
      <c r="R139" s="56"/>
      <c r="S139" s="56"/>
      <c r="T139" s="60"/>
      <c r="U139" s="74"/>
      <c r="V139" s="55"/>
      <c r="W139" s="55"/>
      <c r="X139" s="55"/>
      <c r="Y139" s="55"/>
      <c r="Z139" s="55"/>
      <c r="AA139" s="55"/>
      <c r="AB139" s="55"/>
      <c r="AC139" s="55">
        <f>IF(COUNTIF($C$3:C139,C139)=1,1,IF(COUNTIF($E$3:E139,E139)=1,2,0))</f>
        <v>0</v>
      </c>
      <c r="AD139" s="55">
        <f>IF(ISNUMBER(SEARCH("-",Database[[#This Row],[KEYNOTE '#]])),LEFT(Database[[#This Row],[KEYNOTE '#]],FIND("-",Database[[#This Row],[KEYNOTE '#]])-1),Database[[#This Row],[KEYNOTE '#]])</f>
        <v>904</v>
      </c>
      <c r="AE13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39" s="55" t="str">
        <f>IF(AND(ISNUMBER(SEARCH("-",Database[[#This Row],[KEYNOTE '#]]))=TRUE,ISNUMBER(--RIGHT(Database[[#This Row],[KEYNOTE '#]]))=FALSE),RIGHT(Database[[#This Row],[KEYNOTE '#]],1),"")</f>
        <v/>
      </c>
      <c r="AG139" s="55">
        <v>137</v>
      </c>
      <c r="AH139" s="55" t="str">
        <f>IF(COUNTIF(Database[[#This Row],[BASE]:[INT. OTHER]],"g"),"INTERIOR",IF(COUNTIF(Database[[#This Row],[ROOF]:[EXT. OTHER]],"n"),"EXTERIOR",Database[[#This Row],[DIVISION '#]]))</f>
        <v>ARCH NOTES</v>
      </c>
      <c r="AI139" s="55" t="str">
        <f>IF(OR(Database[[#This Row],[KEYTIER1]]="INTERIOR",Database[[#This Row],[KEYTIER1]]="EXTERIOR"),"",Database[[#This Row],[DIVISION NAME]])</f>
        <v>BY CATEGORY</v>
      </c>
      <c r="AJ139" s="55" t="str">
        <f>IF(Database[[#This Row],[KEYTIER1]]="INTERIOR","INT",IF(Database[[#This Row],[KEYTIER1]]="EXTERIOR","EXT",Database[[#This Row],[SECTION '#]]))</f>
        <v>GENERAL ANNOTATIONS</v>
      </c>
      <c r="AK139" s="55" t="str">
        <f>IF(OR(Database[[#This Row],[KEYTIER2]]="INT",Database[[#This Row],[KEYTIER2]]="EXT"),"",IF(Database[[#This Row],[SECTION NAME]]="","",Database[[#This Row],[SECTION NAME]]))</f>
        <v/>
      </c>
    </row>
    <row r="140" spans="2:37" ht="45" x14ac:dyDescent="0.25">
      <c r="B140" s="55" t="s">
        <v>71</v>
      </c>
      <c r="C140" s="55" t="s">
        <v>72</v>
      </c>
      <c r="D140" s="55" t="s">
        <v>73</v>
      </c>
      <c r="E140" s="55" t="s">
        <v>98</v>
      </c>
      <c r="F140" s="58"/>
      <c r="G140" s="77">
        <v>905</v>
      </c>
      <c r="H140" s="58" t="s">
        <v>108</v>
      </c>
      <c r="I140" s="69"/>
      <c r="J140" s="57"/>
      <c r="K140" s="57"/>
      <c r="L140" s="57"/>
      <c r="M140" s="57"/>
      <c r="N140" s="59"/>
      <c r="O140" s="71"/>
      <c r="P140" s="56"/>
      <c r="Q140" s="56"/>
      <c r="R140" s="56"/>
      <c r="S140" s="56"/>
      <c r="T140" s="60"/>
      <c r="U140" s="74"/>
      <c r="V140" s="55"/>
      <c r="W140" s="55"/>
      <c r="X140" s="55"/>
      <c r="Y140" s="55"/>
      <c r="Z140" s="55"/>
      <c r="AA140" s="55"/>
      <c r="AB140" s="55"/>
      <c r="AC140" s="55">
        <f>IF(COUNTIF($C$3:C140,C140)=1,1,IF(COUNTIF($E$3:E140,E140)=1,2,0))</f>
        <v>0</v>
      </c>
      <c r="AD140" s="55">
        <f>IF(ISNUMBER(SEARCH("-",Database[[#This Row],[KEYNOTE '#]])),LEFT(Database[[#This Row],[KEYNOTE '#]],FIND("-",Database[[#This Row],[KEYNOTE '#]])-1),Database[[#This Row],[KEYNOTE '#]])</f>
        <v>905</v>
      </c>
      <c r="AE14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0" s="55" t="str">
        <f>IF(AND(ISNUMBER(SEARCH("-",Database[[#This Row],[KEYNOTE '#]]))=TRUE,ISNUMBER(--RIGHT(Database[[#This Row],[KEYNOTE '#]]))=FALSE),RIGHT(Database[[#This Row],[KEYNOTE '#]],1),"")</f>
        <v/>
      </c>
      <c r="AG140" s="55">
        <v>138</v>
      </c>
      <c r="AH140" s="55" t="str">
        <f>IF(COUNTIF(Database[[#This Row],[BASE]:[INT. OTHER]],"g"),"INTERIOR",IF(COUNTIF(Database[[#This Row],[ROOF]:[EXT. OTHER]],"n"),"EXTERIOR",Database[[#This Row],[DIVISION '#]]))</f>
        <v>ARCH NOTES</v>
      </c>
      <c r="AI140" s="55" t="str">
        <f>IF(OR(Database[[#This Row],[KEYTIER1]]="INTERIOR",Database[[#This Row],[KEYTIER1]]="EXTERIOR"),"",Database[[#This Row],[DIVISION NAME]])</f>
        <v>BY CATEGORY</v>
      </c>
      <c r="AJ140" s="55" t="str">
        <f>IF(Database[[#This Row],[KEYTIER1]]="INTERIOR","INT",IF(Database[[#This Row],[KEYTIER1]]="EXTERIOR","EXT",Database[[#This Row],[SECTION '#]]))</f>
        <v>GENERAL ANNOTATIONS</v>
      </c>
      <c r="AK140" s="55" t="str">
        <f>IF(OR(Database[[#This Row],[KEYTIER2]]="INT",Database[[#This Row],[KEYTIER2]]="EXT"),"",IF(Database[[#This Row],[SECTION NAME]]="","",Database[[#This Row],[SECTION NAME]]))</f>
        <v/>
      </c>
    </row>
    <row r="141" spans="2:37" ht="45" x14ac:dyDescent="0.25">
      <c r="B141" s="55" t="s">
        <v>71</v>
      </c>
      <c r="C141" s="55" t="s">
        <v>72</v>
      </c>
      <c r="D141" s="55" t="s">
        <v>73</v>
      </c>
      <c r="E141" s="55" t="s">
        <v>98</v>
      </c>
      <c r="F141" s="58"/>
      <c r="G141" s="77">
        <v>906</v>
      </c>
      <c r="H141" s="58" t="s">
        <v>110</v>
      </c>
      <c r="I141" s="69"/>
      <c r="J141" s="57"/>
      <c r="K141" s="57"/>
      <c r="L141" s="57"/>
      <c r="M141" s="57"/>
      <c r="N141" s="59"/>
      <c r="O141" s="71"/>
      <c r="P141" s="56"/>
      <c r="Q141" s="56"/>
      <c r="R141" s="56"/>
      <c r="S141" s="56"/>
      <c r="T141" s="60"/>
      <c r="U141" s="74"/>
      <c r="V141" s="55"/>
      <c r="W141" s="55"/>
      <c r="X141" s="55"/>
      <c r="Y141" s="55"/>
      <c r="Z141" s="55"/>
      <c r="AA141" s="55"/>
      <c r="AB141" s="55"/>
      <c r="AC141" s="55">
        <f>IF(COUNTIF($C$3:C141,C141)=1,1,IF(COUNTIF($E$3:E141,E141)=1,2,0))</f>
        <v>0</v>
      </c>
      <c r="AD141" s="55">
        <f>IF(ISNUMBER(SEARCH("-",Database[[#This Row],[KEYNOTE '#]])),LEFT(Database[[#This Row],[KEYNOTE '#]],FIND("-",Database[[#This Row],[KEYNOTE '#]])-1),Database[[#This Row],[KEYNOTE '#]])</f>
        <v>906</v>
      </c>
      <c r="AE14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1" s="55" t="str">
        <f>IF(AND(ISNUMBER(SEARCH("-",Database[[#This Row],[KEYNOTE '#]]))=TRUE,ISNUMBER(--RIGHT(Database[[#This Row],[KEYNOTE '#]]))=FALSE),RIGHT(Database[[#This Row],[KEYNOTE '#]],1),"")</f>
        <v/>
      </c>
      <c r="AG141" s="55">
        <v>139</v>
      </c>
      <c r="AH141" s="55" t="str">
        <f>IF(COUNTIF(Database[[#This Row],[BASE]:[INT. OTHER]],"g"),"INTERIOR",IF(COUNTIF(Database[[#This Row],[ROOF]:[EXT. OTHER]],"n"),"EXTERIOR",Database[[#This Row],[DIVISION '#]]))</f>
        <v>ARCH NOTES</v>
      </c>
      <c r="AI141" s="55" t="str">
        <f>IF(OR(Database[[#This Row],[KEYTIER1]]="INTERIOR",Database[[#This Row],[KEYTIER1]]="EXTERIOR"),"",Database[[#This Row],[DIVISION NAME]])</f>
        <v>BY CATEGORY</v>
      </c>
      <c r="AJ141" s="55" t="str">
        <f>IF(Database[[#This Row],[KEYTIER1]]="INTERIOR","INT",IF(Database[[#This Row],[KEYTIER1]]="EXTERIOR","EXT",Database[[#This Row],[SECTION '#]]))</f>
        <v>GENERAL ANNOTATIONS</v>
      </c>
      <c r="AK141" s="55" t="str">
        <f>IF(OR(Database[[#This Row],[KEYTIER2]]="INT",Database[[#This Row],[KEYTIER2]]="EXT"),"",IF(Database[[#This Row],[SECTION NAME]]="","",Database[[#This Row],[SECTION NAME]]))</f>
        <v/>
      </c>
    </row>
    <row r="142" spans="2:37" ht="45" x14ac:dyDescent="0.25">
      <c r="B142" s="55" t="s">
        <v>71</v>
      </c>
      <c r="C142" s="55" t="s">
        <v>72</v>
      </c>
      <c r="D142" s="55" t="s">
        <v>73</v>
      </c>
      <c r="E142" s="55" t="s">
        <v>98</v>
      </c>
      <c r="F142" s="58"/>
      <c r="G142" s="77">
        <v>907</v>
      </c>
      <c r="H142" s="58" t="s">
        <v>112</v>
      </c>
      <c r="I142" s="69"/>
      <c r="J142" s="57"/>
      <c r="K142" s="57"/>
      <c r="L142" s="57"/>
      <c r="M142" s="57"/>
      <c r="N142" s="59"/>
      <c r="O142" s="71"/>
      <c r="P142" s="56"/>
      <c r="Q142" s="56"/>
      <c r="R142" s="56"/>
      <c r="S142" s="56"/>
      <c r="T142" s="60"/>
      <c r="U142" s="74"/>
      <c r="V142" s="55"/>
      <c r="W142" s="55"/>
      <c r="X142" s="55"/>
      <c r="Y142" s="55"/>
      <c r="Z142" s="55"/>
      <c r="AA142" s="55"/>
      <c r="AB142" s="55"/>
      <c r="AC142" s="55">
        <f>IF(COUNTIF($C$3:C142,C142)=1,1,IF(COUNTIF($E$3:E142,E142)=1,2,0))</f>
        <v>0</v>
      </c>
      <c r="AD142" s="55">
        <f>IF(ISNUMBER(SEARCH("-",Database[[#This Row],[KEYNOTE '#]])),LEFT(Database[[#This Row],[KEYNOTE '#]],FIND("-",Database[[#This Row],[KEYNOTE '#]])-1),Database[[#This Row],[KEYNOTE '#]])</f>
        <v>907</v>
      </c>
      <c r="AE14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2" s="55" t="str">
        <f>IF(AND(ISNUMBER(SEARCH("-",Database[[#This Row],[KEYNOTE '#]]))=TRUE,ISNUMBER(--RIGHT(Database[[#This Row],[KEYNOTE '#]]))=FALSE),RIGHT(Database[[#This Row],[KEYNOTE '#]],1),"")</f>
        <v/>
      </c>
      <c r="AG142" s="55">
        <v>140</v>
      </c>
      <c r="AH142" s="55" t="str">
        <f>IF(COUNTIF(Database[[#This Row],[BASE]:[INT. OTHER]],"g"),"INTERIOR",IF(COUNTIF(Database[[#This Row],[ROOF]:[EXT. OTHER]],"n"),"EXTERIOR",Database[[#This Row],[DIVISION '#]]))</f>
        <v>ARCH NOTES</v>
      </c>
      <c r="AI142" s="55" t="str">
        <f>IF(OR(Database[[#This Row],[KEYTIER1]]="INTERIOR",Database[[#This Row],[KEYTIER1]]="EXTERIOR"),"",Database[[#This Row],[DIVISION NAME]])</f>
        <v>BY CATEGORY</v>
      </c>
      <c r="AJ142" s="55" t="str">
        <f>IF(Database[[#This Row],[KEYTIER1]]="INTERIOR","INT",IF(Database[[#This Row],[KEYTIER1]]="EXTERIOR","EXT",Database[[#This Row],[SECTION '#]]))</f>
        <v>GENERAL ANNOTATIONS</v>
      </c>
      <c r="AK142" s="55" t="str">
        <f>IF(OR(Database[[#This Row],[KEYTIER2]]="INT",Database[[#This Row],[KEYTIER2]]="EXT"),"",IF(Database[[#This Row],[SECTION NAME]]="","",Database[[#This Row],[SECTION NAME]]))</f>
        <v/>
      </c>
    </row>
    <row r="143" spans="2:37" ht="45" x14ac:dyDescent="0.25">
      <c r="B143" s="55" t="s">
        <v>71</v>
      </c>
      <c r="C143" s="55" t="s">
        <v>72</v>
      </c>
      <c r="D143" s="55" t="s">
        <v>73</v>
      </c>
      <c r="E143" s="55" t="s">
        <v>98</v>
      </c>
      <c r="F143" s="58"/>
      <c r="G143" s="77">
        <v>908</v>
      </c>
      <c r="H143" s="58" t="s">
        <v>114</v>
      </c>
      <c r="I143" s="69"/>
      <c r="J143" s="57"/>
      <c r="K143" s="57"/>
      <c r="L143" s="57"/>
      <c r="M143" s="57"/>
      <c r="N143" s="59"/>
      <c r="O143" s="71"/>
      <c r="P143" s="56"/>
      <c r="Q143" s="56"/>
      <c r="R143" s="56"/>
      <c r="S143" s="56"/>
      <c r="T143" s="60"/>
      <c r="U143" s="74"/>
      <c r="V143" s="55"/>
      <c r="W143" s="55"/>
      <c r="X143" s="55"/>
      <c r="Y143" s="55"/>
      <c r="Z143" s="55"/>
      <c r="AA143" s="55"/>
      <c r="AB143" s="55"/>
      <c r="AC143" s="55">
        <f>IF(COUNTIF($C$3:C143,C143)=1,1,IF(COUNTIF($E$3:E143,E143)=1,2,0))</f>
        <v>0</v>
      </c>
      <c r="AD143" s="55">
        <f>IF(ISNUMBER(SEARCH("-",Database[[#This Row],[KEYNOTE '#]])),LEFT(Database[[#This Row],[KEYNOTE '#]],FIND("-",Database[[#This Row],[KEYNOTE '#]])-1),Database[[#This Row],[KEYNOTE '#]])</f>
        <v>908</v>
      </c>
      <c r="AE14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3" s="55" t="str">
        <f>IF(AND(ISNUMBER(SEARCH("-",Database[[#This Row],[KEYNOTE '#]]))=TRUE,ISNUMBER(--RIGHT(Database[[#This Row],[KEYNOTE '#]]))=FALSE),RIGHT(Database[[#This Row],[KEYNOTE '#]],1),"")</f>
        <v/>
      </c>
      <c r="AG143" s="55">
        <v>141</v>
      </c>
      <c r="AH143" s="55" t="str">
        <f>IF(COUNTIF(Database[[#This Row],[BASE]:[INT. OTHER]],"g"),"INTERIOR",IF(COUNTIF(Database[[#This Row],[ROOF]:[EXT. OTHER]],"n"),"EXTERIOR",Database[[#This Row],[DIVISION '#]]))</f>
        <v>ARCH NOTES</v>
      </c>
      <c r="AI143" s="55" t="str">
        <f>IF(OR(Database[[#This Row],[KEYTIER1]]="INTERIOR",Database[[#This Row],[KEYTIER1]]="EXTERIOR"),"",Database[[#This Row],[DIVISION NAME]])</f>
        <v>BY CATEGORY</v>
      </c>
      <c r="AJ143" s="55" t="str">
        <f>IF(Database[[#This Row],[KEYTIER1]]="INTERIOR","INT",IF(Database[[#This Row],[KEYTIER1]]="EXTERIOR","EXT",Database[[#This Row],[SECTION '#]]))</f>
        <v>GENERAL ANNOTATIONS</v>
      </c>
      <c r="AK143" s="55" t="str">
        <f>IF(OR(Database[[#This Row],[KEYTIER2]]="INT",Database[[#This Row],[KEYTIER2]]="EXT"),"",IF(Database[[#This Row],[SECTION NAME]]="","",Database[[#This Row],[SECTION NAME]]))</f>
        <v/>
      </c>
    </row>
    <row r="144" spans="2:37" ht="45" x14ac:dyDescent="0.25">
      <c r="B144" s="55" t="s">
        <v>71</v>
      </c>
      <c r="C144" s="55" t="s">
        <v>72</v>
      </c>
      <c r="D144" s="55" t="s">
        <v>73</v>
      </c>
      <c r="E144" s="55" t="s">
        <v>98</v>
      </c>
      <c r="F144" s="58"/>
      <c r="G144" s="77">
        <v>909</v>
      </c>
      <c r="H144" s="58" t="s">
        <v>116</v>
      </c>
      <c r="I144" s="69"/>
      <c r="J144" s="57"/>
      <c r="K144" s="57"/>
      <c r="L144" s="57"/>
      <c r="M144" s="57"/>
      <c r="N144" s="59"/>
      <c r="O144" s="71"/>
      <c r="P144" s="56"/>
      <c r="Q144" s="56"/>
      <c r="R144" s="56"/>
      <c r="S144" s="56"/>
      <c r="T144" s="60"/>
      <c r="U144" s="74"/>
      <c r="V144" s="55"/>
      <c r="W144" s="55"/>
      <c r="X144" s="55"/>
      <c r="Y144" s="55"/>
      <c r="Z144" s="55"/>
      <c r="AA144" s="55"/>
      <c r="AB144" s="55"/>
      <c r="AC144" s="55">
        <f>IF(COUNTIF($C$3:C144,C144)=1,1,IF(COUNTIF($E$3:E144,E144)=1,2,0))</f>
        <v>0</v>
      </c>
      <c r="AD144" s="55">
        <f>IF(ISNUMBER(SEARCH("-",Database[[#This Row],[KEYNOTE '#]])),LEFT(Database[[#This Row],[KEYNOTE '#]],FIND("-",Database[[#This Row],[KEYNOTE '#]])-1),Database[[#This Row],[KEYNOTE '#]])</f>
        <v>909</v>
      </c>
      <c r="AE14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4" s="55" t="str">
        <f>IF(AND(ISNUMBER(SEARCH("-",Database[[#This Row],[KEYNOTE '#]]))=TRUE,ISNUMBER(--RIGHT(Database[[#This Row],[KEYNOTE '#]]))=FALSE),RIGHT(Database[[#This Row],[KEYNOTE '#]],1),"")</f>
        <v/>
      </c>
      <c r="AG144" s="55">
        <v>142</v>
      </c>
      <c r="AH144" s="55" t="str">
        <f>IF(COUNTIF(Database[[#This Row],[BASE]:[INT. OTHER]],"g"),"INTERIOR",IF(COUNTIF(Database[[#This Row],[ROOF]:[EXT. OTHER]],"n"),"EXTERIOR",Database[[#This Row],[DIVISION '#]]))</f>
        <v>ARCH NOTES</v>
      </c>
      <c r="AI144" s="55" t="str">
        <f>IF(OR(Database[[#This Row],[KEYTIER1]]="INTERIOR",Database[[#This Row],[KEYTIER1]]="EXTERIOR"),"",Database[[#This Row],[DIVISION NAME]])</f>
        <v>BY CATEGORY</v>
      </c>
      <c r="AJ144" s="55" t="str">
        <f>IF(Database[[#This Row],[KEYTIER1]]="INTERIOR","INT",IF(Database[[#This Row],[KEYTIER1]]="EXTERIOR","EXT",Database[[#This Row],[SECTION '#]]))</f>
        <v>GENERAL ANNOTATIONS</v>
      </c>
      <c r="AK144" s="55" t="str">
        <f>IF(OR(Database[[#This Row],[KEYTIER2]]="INT",Database[[#This Row],[KEYTIER2]]="EXT"),"",IF(Database[[#This Row],[SECTION NAME]]="","",Database[[#This Row],[SECTION NAME]]))</f>
        <v/>
      </c>
    </row>
    <row r="145" spans="2:37" ht="45" x14ac:dyDescent="0.25">
      <c r="B145" s="55" t="s">
        <v>71</v>
      </c>
      <c r="C145" s="55" t="s">
        <v>72</v>
      </c>
      <c r="D145" s="55" t="s">
        <v>73</v>
      </c>
      <c r="E145" s="55" t="s">
        <v>98</v>
      </c>
      <c r="F145" s="58"/>
      <c r="G145" s="77">
        <v>910</v>
      </c>
      <c r="H145" s="58" t="s">
        <v>118</v>
      </c>
      <c r="I145" s="69"/>
      <c r="J145" s="57"/>
      <c r="K145" s="57"/>
      <c r="L145" s="57"/>
      <c r="M145" s="57"/>
      <c r="N145" s="59"/>
      <c r="O145" s="71"/>
      <c r="P145" s="56"/>
      <c r="Q145" s="56"/>
      <c r="R145" s="56"/>
      <c r="S145" s="56"/>
      <c r="T145" s="60"/>
      <c r="U145" s="74"/>
      <c r="V145" s="55"/>
      <c r="W145" s="55"/>
      <c r="X145" s="55"/>
      <c r="Y145" s="55"/>
      <c r="Z145" s="55"/>
      <c r="AA145" s="55"/>
      <c r="AB145" s="55"/>
      <c r="AC145" s="55">
        <f>IF(COUNTIF($C$3:C145,C145)=1,1,IF(COUNTIF($E$3:E145,E145)=1,2,0))</f>
        <v>0</v>
      </c>
      <c r="AD145" s="55">
        <f>IF(ISNUMBER(SEARCH("-",Database[[#This Row],[KEYNOTE '#]])),LEFT(Database[[#This Row],[KEYNOTE '#]],FIND("-",Database[[#This Row],[KEYNOTE '#]])-1),Database[[#This Row],[KEYNOTE '#]])</f>
        <v>910</v>
      </c>
      <c r="AE14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5" s="55" t="str">
        <f>IF(AND(ISNUMBER(SEARCH("-",Database[[#This Row],[KEYNOTE '#]]))=TRUE,ISNUMBER(--RIGHT(Database[[#This Row],[KEYNOTE '#]]))=FALSE),RIGHT(Database[[#This Row],[KEYNOTE '#]],1),"")</f>
        <v/>
      </c>
      <c r="AG145" s="55">
        <v>143</v>
      </c>
      <c r="AH145" s="55" t="str">
        <f>IF(COUNTIF(Database[[#This Row],[BASE]:[INT. OTHER]],"g"),"INTERIOR",IF(COUNTIF(Database[[#This Row],[ROOF]:[EXT. OTHER]],"n"),"EXTERIOR",Database[[#This Row],[DIVISION '#]]))</f>
        <v>ARCH NOTES</v>
      </c>
      <c r="AI145" s="55" t="str">
        <f>IF(OR(Database[[#This Row],[KEYTIER1]]="INTERIOR",Database[[#This Row],[KEYTIER1]]="EXTERIOR"),"",Database[[#This Row],[DIVISION NAME]])</f>
        <v>BY CATEGORY</v>
      </c>
      <c r="AJ145" s="55" t="str">
        <f>IF(Database[[#This Row],[KEYTIER1]]="INTERIOR","INT",IF(Database[[#This Row],[KEYTIER1]]="EXTERIOR","EXT",Database[[#This Row],[SECTION '#]]))</f>
        <v>GENERAL ANNOTATIONS</v>
      </c>
      <c r="AK145" s="55" t="str">
        <f>IF(OR(Database[[#This Row],[KEYTIER2]]="INT",Database[[#This Row],[KEYTIER2]]="EXT"),"",IF(Database[[#This Row],[SECTION NAME]]="","",Database[[#This Row],[SECTION NAME]]))</f>
        <v/>
      </c>
    </row>
    <row r="146" spans="2:37" ht="45" x14ac:dyDescent="0.25">
      <c r="B146" s="55" t="s">
        <v>71</v>
      </c>
      <c r="C146" s="55" t="s">
        <v>72</v>
      </c>
      <c r="D146" s="55" t="s">
        <v>73</v>
      </c>
      <c r="E146" s="55" t="s">
        <v>98</v>
      </c>
      <c r="F146" s="58"/>
      <c r="G146" s="77">
        <v>911</v>
      </c>
      <c r="H146" s="58" t="s">
        <v>120</v>
      </c>
      <c r="I146" s="69"/>
      <c r="J146" s="57"/>
      <c r="K146" s="57"/>
      <c r="L146" s="57"/>
      <c r="M146" s="57"/>
      <c r="N146" s="59"/>
      <c r="O146" s="71"/>
      <c r="P146" s="56"/>
      <c r="Q146" s="56"/>
      <c r="R146" s="56"/>
      <c r="S146" s="56"/>
      <c r="T146" s="60"/>
      <c r="U146" s="74"/>
      <c r="V146" s="55"/>
      <c r="W146" s="55"/>
      <c r="X146" s="55"/>
      <c r="Y146" s="55"/>
      <c r="Z146" s="55"/>
      <c r="AA146" s="55"/>
      <c r="AB146" s="55"/>
      <c r="AC146" s="55">
        <f>IF(COUNTIF($C$3:C146,C146)=1,1,IF(COUNTIF($E$3:E146,E146)=1,2,0))</f>
        <v>0</v>
      </c>
      <c r="AD146" s="55">
        <f>IF(ISNUMBER(SEARCH("-",Database[[#This Row],[KEYNOTE '#]])),LEFT(Database[[#This Row],[KEYNOTE '#]],FIND("-",Database[[#This Row],[KEYNOTE '#]])-1),Database[[#This Row],[KEYNOTE '#]])</f>
        <v>911</v>
      </c>
      <c r="AE14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6" s="55" t="str">
        <f>IF(AND(ISNUMBER(SEARCH("-",Database[[#This Row],[KEYNOTE '#]]))=TRUE,ISNUMBER(--RIGHT(Database[[#This Row],[KEYNOTE '#]]))=FALSE),RIGHT(Database[[#This Row],[KEYNOTE '#]],1),"")</f>
        <v/>
      </c>
      <c r="AG146" s="55">
        <v>144</v>
      </c>
      <c r="AH146" s="55" t="str">
        <f>IF(COUNTIF(Database[[#This Row],[BASE]:[INT. OTHER]],"g"),"INTERIOR",IF(COUNTIF(Database[[#This Row],[ROOF]:[EXT. OTHER]],"n"),"EXTERIOR",Database[[#This Row],[DIVISION '#]]))</f>
        <v>ARCH NOTES</v>
      </c>
      <c r="AI146" s="55" t="str">
        <f>IF(OR(Database[[#This Row],[KEYTIER1]]="INTERIOR",Database[[#This Row],[KEYTIER1]]="EXTERIOR"),"",Database[[#This Row],[DIVISION NAME]])</f>
        <v>BY CATEGORY</v>
      </c>
      <c r="AJ146" s="55" t="str">
        <f>IF(Database[[#This Row],[KEYTIER1]]="INTERIOR","INT",IF(Database[[#This Row],[KEYTIER1]]="EXTERIOR","EXT",Database[[#This Row],[SECTION '#]]))</f>
        <v>GENERAL ANNOTATIONS</v>
      </c>
      <c r="AK146" s="55" t="str">
        <f>IF(OR(Database[[#This Row],[KEYTIER2]]="INT",Database[[#This Row],[KEYTIER2]]="EXT"),"",IF(Database[[#This Row],[SECTION NAME]]="","",Database[[#This Row],[SECTION NAME]]))</f>
        <v/>
      </c>
    </row>
    <row r="147" spans="2:37" ht="45" x14ac:dyDescent="0.25">
      <c r="B147" s="55" t="s">
        <v>71</v>
      </c>
      <c r="C147" s="55" t="s">
        <v>72</v>
      </c>
      <c r="D147" s="55" t="s">
        <v>73</v>
      </c>
      <c r="E147" s="55" t="s">
        <v>98</v>
      </c>
      <c r="F147" s="58"/>
      <c r="G147" s="77">
        <v>912</v>
      </c>
      <c r="H147" s="58" t="s">
        <v>122</v>
      </c>
      <c r="I147" s="69"/>
      <c r="J147" s="57"/>
      <c r="K147" s="57"/>
      <c r="L147" s="57"/>
      <c r="M147" s="57"/>
      <c r="N147" s="59"/>
      <c r="O147" s="71"/>
      <c r="P147" s="56"/>
      <c r="Q147" s="56"/>
      <c r="R147" s="56"/>
      <c r="S147" s="56"/>
      <c r="T147" s="60"/>
      <c r="U147" s="74"/>
      <c r="V147" s="55"/>
      <c r="W147" s="55"/>
      <c r="X147" s="55"/>
      <c r="Y147" s="55"/>
      <c r="Z147" s="55"/>
      <c r="AA147" s="55"/>
      <c r="AB147" s="55"/>
      <c r="AC147" s="55">
        <f>IF(COUNTIF($C$3:C147,C147)=1,1,IF(COUNTIF($E$3:E147,E147)=1,2,0))</f>
        <v>0</v>
      </c>
      <c r="AD147" s="55">
        <f>IF(ISNUMBER(SEARCH("-",Database[[#This Row],[KEYNOTE '#]])),LEFT(Database[[#This Row],[KEYNOTE '#]],FIND("-",Database[[#This Row],[KEYNOTE '#]])-1),Database[[#This Row],[KEYNOTE '#]])</f>
        <v>912</v>
      </c>
      <c r="AE14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7" s="55" t="str">
        <f>IF(AND(ISNUMBER(SEARCH("-",Database[[#This Row],[KEYNOTE '#]]))=TRUE,ISNUMBER(--RIGHT(Database[[#This Row],[KEYNOTE '#]]))=FALSE),RIGHT(Database[[#This Row],[KEYNOTE '#]],1),"")</f>
        <v/>
      </c>
      <c r="AG147" s="55">
        <v>145</v>
      </c>
      <c r="AH147" s="55" t="str">
        <f>IF(COUNTIF(Database[[#This Row],[BASE]:[INT. OTHER]],"g"),"INTERIOR",IF(COUNTIF(Database[[#This Row],[ROOF]:[EXT. OTHER]],"n"),"EXTERIOR",Database[[#This Row],[DIVISION '#]]))</f>
        <v>ARCH NOTES</v>
      </c>
      <c r="AI147" s="55" t="str">
        <f>IF(OR(Database[[#This Row],[KEYTIER1]]="INTERIOR",Database[[#This Row],[KEYTIER1]]="EXTERIOR"),"",Database[[#This Row],[DIVISION NAME]])</f>
        <v>BY CATEGORY</v>
      </c>
      <c r="AJ147" s="55" t="str">
        <f>IF(Database[[#This Row],[KEYTIER1]]="INTERIOR","INT",IF(Database[[#This Row],[KEYTIER1]]="EXTERIOR","EXT",Database[[#This Row],[SECTION '#]]))</f>
        <v>GENERAL ANNOTATIONS</v>
      </c>
      <c r="AK147" s="55" t="str">
        <f>IF(OR(Database[[#This Row],[KEYTIER2]]="INT",Database[[#This Row],[KEYTIER2]]="EXT"),"",IF(Database[[#This Row],[SECTION NAME]]="","",Database[[#This Row],[SECTION NAME]]))</f>
        <v/>
      </c>
    </row>
    <row r="148" spans="2:37" ht="45" x14ac:dyDescent="0.25">
      <c r="B148" s="55" t="s">
        <v>71</v>
      </c>
      <c r="C148" s="55" t="s">
        <v>72</v>
      </c>
      <c r="D148" s="55" t="s">
        <v>73</v>
      </c>
      <c r="E148" s="55" t="s">
        <v>98</v>
      </c>
      <c r="F148" s="58"/>
      <c r="G148" s="77">
        <v>913</v>
      </c>
      <c r="H148" s="58" t="s">
        <v>124</v>
      </c>
      <c r="I148" s="69"/>
      <c r="J148" s="57"/>
      <c r="K148" s="57"/>
      <c r="L148" s="57"/>
      <c r="M148" s="57"/>
      <c r="N148" s="59"/>
      <c r="O148" s="71"/>
      <c r="P148" s="56"/>
      <c r="Q148" s="56"/>
      <c r="R148" s="56"/>
      <c r="S148" s="56"/>
      <c r="T148" s="60"/>
      <c r="U148" s="74"/>
      <c r="V148" s="55"/>
      <c r="W148" s="55"/>
      <c r="X148" s="55"/>
      <c r="Y148" s="55"/>
      <c r="Z148" s="55"/>
      <c r="AA148" s="55"/>
      <c r="AB148" s="55"/>
      <c r="AC148" s="55">
        <f>IF(COUNTIF($C$3:C148,C148)=1,1,IF(COUNTIF($E$3:E148,E148)=1,2,0))</f>
        <v>0</v>
      </c>
      <c r="AD148" s="55">
        <f>IF(ISNUMBER(SEARCH("-",Database[[#This Row],[KEYNOTE '#]])),LEFT(Database[[#This Row],[KEYNOTE '#]],FIND("-",Database[[#This Row],[KEYNOTE '#]])-1),Database[[#This Row],[KEYNOTE '#]])</f>
        <v>913</v>
      </c>
      <c r="AE14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8" s="55" t="str">
        <f>IF(AND(ISNUMBER(SEARCH("-",Database[[#This Row],[KEYNOTE '#]]))=TRUE,ISNUMBER(--RIGHT(Database[[#This Row],[KEYNOTE '#]]))=FALSE),RIGHT(Database[[#This Row],[KEYNOTE '#]],1),"")</f>
        <v/>
      </c>
      <c r="AG148" s="55">
        <v>146</v>
      </c>
      <c r="AH148" s="55" t="str">
        <f>IF(COUNTIF(Database[[#This Row],[BASE]:[INT. OTHER]],"g"),"INTERIOR",IF(COUNTIF(Database[[#This Row],[ROOF]:[EXT. OTHER]],"n"),"EXTERIOR",Database[[#This Row],[DIVISION '#]]))</f>
        <v>ARCH NOTES</v>
      </c>
      <c r="AI148" s="55" t="str">
        <f>IF(OR(Database[[#This Row],[KEYTIER1]]="INTERIOR",Database[[#This Row],[KEYTIER1]]="EXTERIOR"),"",Database[[#This Row],[DIVISION NAME]])</f>
        <v>BY CATEGORY</v>
      </c>
      <c r="AJ148" s="55" t="str">
        <f>IF(Database[[#This Row],[KEYTIER1]]="INTERIOR","INT",IF(Database[[#This Row],[KEYTIER1]]="EXTERIOR","EXT",Database[[#This Row],[SECTION '#]]))</f>
        <v>GENERAL ANNOTATIONS</v>
      </c>
      <c r="AK148" s="55" t="str">
        <f>IF(OR(Database[[#This Row],[KEYTIER2]]="INT",Database[[#This Row],[KEYTIER2]]="EXT"),"",IF(Database[[#This Row],[SECTION NAME]]="","",Database[[#This Row],[SECTION NAME]]))</f>
        <v/>
      </c>
    </row>
    <row r="149" spans="2:37" ht="45" x14ac:dyDescent="0.25">
      <c r="B149" s="55" t="s">
        <v>71</v>
      </c>
      <c r="C149" s="55" t="s">
        <v>72</v>
      </c>
      <c r="D149" s="55" t="s">
        <v>73</v>
      </c>
      <c r="E149" s="55" t="s">
        <v>98</v>
      </c>
      <c r="F149" s="58"/>
      <c r="G149" s="77">
        <v>914</v>
      </c>
      <c r="H149" s="58" t="s">
        <v>126</v>
      </c>
      <c r="I149" s="69"/>
      <c r="J149" s="57"/>
      <c r="K149" s="57"/>
      <c r="L149" s="57"/>
      <c r="M149" s="57"/>
      <c r="N149" s="59"/>
      <c r="O149" s="71"/>
      <c r="P149" s="56"/>
      <c r="Q149" s="56"/>
      <c r="R149" s="56"/>
      <c r="S149" s="56"/>
      <c r="T149" s="60"/>
      <c r="U149" s="74"/>
      <c r="V149" s="55"/>
      <c r="W149" s="55"/>
      <c r="X149" s="55"/>
      <c r="Y149" s="55"/>
      <c r="Z149" s="55"/>
      <c r="AA149" s="55"/>
      <c r="AB149" s="55"/>
      <c r="AC149" s="55">
        <f>IF(COUNTIF($C$3:C149,C149)=1,1,IF(COUNTIF($E$3:E149,E149)=1,2,0))</f>
        <v>0</v>
      </c>
      <c r="AD149" s="55">
        <f>IF(ISNUMBER(SEARCH("-",Database[[#This Row],[KEYNOTE '#]])),LEFT(Database[[#This Row],[KEYNOTE '#]],FIND("-",Database[[#This Row],[KEYNOTE '#]])-1),Database[[#This Row],[KEYNOTE '#]])</f>
        <v>914</v>
      </c>
      <c r="AE14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49" s="55" t="str">
        <f>IF(AND(ISNUMBER(SEARCH("-",Database[[#This Row],[KEYNOTE '#]]))=TRUE,ISNUMBER(--RIGHT(Database[[#This Row],[KEYNOTE '#]]))=FALSE),RIGHT(Database[[#This Row],[KEYNOTE '#]],1),"")</f>
        <v/>
      </c>
      <c r="AG149" s="55">
        <v>147</v>
      </c>
      <c r="AH149" s="55" t="str">
        <f>IF(COUNTIF(Database[[#This Row],[BASE]:[INT. OTHER]],"g"),"INTERIOR",IF(COUNTIF(Database[[#This Row],[ROOF]:[EXT. OTHER]],"n"),"EXTERIOR",Database[[#This Row],[DIVISION '#]]))</f>
        <v>ARCH NOTES</v>
      </c>
      <c r="AI149" s="55" t="str">
        <f>IF(OR(Database[[#This Row],[KEYTIER1]]="INTERIOR",Database[[#This Row],[KEYTIER1]]="EXTERIOR"),"",Database[[#This Row],[DIVISION NAME]])</f>
        <v>BY CATEGORY</v>
      </c>
      <c r="AJ149" s="55" t="str">
        <f>IF(Database[[#This Row],[KEYTIER1]]="INTERIOR","INT",IF(Database[[#This Row],[KEYTIER1]]="EXTERIOR","EXT",Database[[#This Row],[SECTION '#]]))</f>
        <v>GENERAL ANNOTATIONS</v>
      </c>
      <c r="AK149" s="55" t="str">
        <f>IF(OR(Database[[#This Row],[KEYTIER2]]="INT",Database[[#This Row],[KEYTIER2]]="EXT"),"",IF(Database[[#This Row],[SECTION NAME]]="","",Database[[#This Row],[SECTION NAME]]))</f>
        <v/>
      </c>
    </row>
    <row r="150" spans="2:37" ht="45" x14ac:dyDescent="0.25">
      <c r="B150" s="55" t="s">
        <v>71</v>
      </c>
      <c r="C150" s="55" t="s">
        <v>72</v>
      </c>
      <c r="D150" s="55" t="s">
        <v>73</v>
      </c>
      <c r="E150" s="55" t="s">
        <v>98</v>
      </c>
      <c r="F150" s="58"/>
      <c r="G150" s="77">
        <v>915</v>
      </c>
      <c r="H150" s="58" t="s">
        <v>128</v>
      </c>
      <c r="I150" s="69"/>
      <c r="J150" s="57"/>
      <c r="K150" s="57"/>
      <c r="L150" s="57"/>
      <c r="M150" s="57"/>
      <c r="N150" s="59"/>
      <c r="O150" s="71"/>
      <c r="P150" s="56"/>
      <c r="Q150" s="56"/>
      <c r="R150" s="56"/>
      <c r="S150" s="56"/>
      <c r="T150" s="60"/>
      <c r="U150" s="74"/>
      <c r="V150" s="55"/>
      <c r="W150" s="55"/>
      <c r="X150" s="55"/>
      <c r="Y150" s="55"/>
      <c r="Z150" s="55"/>
      <c r="AA150" s="55"/>
      <c r="AB150" s="55"/>
      <c r="AC150" s="55">
        <f>IF(COUNTIF($C$3:C150,C150)=1,1,IF(COUNTIF($E$3:E150,E150)=1,2,0))</f>
        <v>0</v>
      </c>
      <c r="AD150" s="55">
        <f>IF(ISNUMBER(SEARCH("-",Database[[#This Row],[KEYNOTE '#]])),LEFT(Database[[#This Row],[KEYNOTE '#]],FIND("-",Database[[#This Row],[KEYNOTE '#]])-1),Database[[#This Row],[KEYNOTE '#]])</f>
        <v>915</v>
      </c>
      <c r="AE15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0" s="55" t="str">
        <f>IF(AND(ISNUMBER(SEARCH("-",Database[[#This Row],[KEYNOTE '#]]))=TRUE,ISNUMBER(--RIGHT(Database[[#This Row],[KEYNOTE '#]]))=FALSE),RIGHT(Database[[#This Row],[KEYNOTE '#]],1),"")</f>
        <v/>
      </c>
      <c r="AG150" s="55">
        <v>148</v>
      </c>
      <c r="AH150" s="55" t="str">
        <f>IF(COUNTIF(Database[[#This Row],[BASE]:[INT. OTHER]],"g"),"INTERIOR",IF(COUNTIF(Database[[#This Row],[ROOF]:[EXT. OTHER]],"n"),"EXTERIOR",Database[[#This Row],[DIVISION '#]]))</f>
        <v>ARCH NOTES</v>
      </c>
      <c r="AI150" s="55" t="str">
        <f>IF(OR(Database[[#This Row],[KEYTIER1]]="INTERIOR",Database[[#This Row],[KEYTIER1]]="EXTERIOR"),"",Database[[#This Row],[DIVISION NAME]])</f>
        <v>BY CATEGORY</v>
      </c>
      <c r="AJ150" s="55" t="str">
        <f>IF(Database[[#This Row],[KEYTIER1]]="INTERIOR","INT",IF(Database[[#This Row],[KEYTIER1]]="EXTERIOR","EXT",Database[[#This Row],[SECTION '#]]))</f>
        <v>GENERAL ANNOTATIONS</v>
      </c>
      <c r="AK150" s="55" t="str">
        <f>IF(OR(Database[[#This Row],[KEYTIER2]]="INT",Database[[#This Row],[KEYTIER2]]="EXT"),"",IF(Database[[#This Row],[SECTION NAME]]="","",Database[[#This Row],[SECTION NAME]]))</f>
        <v/>
      </c>
    </row>
    <row r="151" spans="2:37" ht="45" x14ac:dyDescent="0.25">
      <c r="B151" s="55" t="s">
        <v>71</v>
      </c>
      <c r="C151" s="55" t="s">
        <v>72</v>
      </c>
      <c r="D151" s="55" t="s">
        <v>73</v>
      </c>
      <c r="E151" s="55" t="s">
        <v>98</v>
      </c>
      <c r="F151" s="58"/>
      <c r="G151" s="77">
        <v>916</v>
      </c>
      <c r="H151" s="58" t="s">
        <v>130</v>
      </c>
      <c r="I151" s="69"/>
      <c r="J151" s="57"/>
      <c r="K151" s="57"/>
      <c r="L151" s="57"/>
      <c r="M151" s="57"/>
      <c r="N151" s="59"/>
      <c r="O151" s="71"/>
      <c r="P151" s="56"/>
      <c r="Q151" s="56"/>
      <c r="R151" s="56"/>
      <c r="S151" s="56"/>
      <c r="T151" s="60"/>
      <c r="U151" s="74"/>
      <c r="V151" s="55"/>
      <c r="W151" s="55"/>
      <c r="X151" s="55"/>
      <c r="Y151" s="55"/>
      <c r="Z151" s="55"/>
      <c r="AA151" s="55"/>
      <c r="AB151" s="55"/>
      <c r="AC151" s="55">
        <f>IF(COUNTIF($C$3:C151,C151)=1,1,IF(COUNTIF($E$3:E151,E151)=1,2,0))</f>
        <v>0</v>
      </c>
      <c r="AD151" s="55">
        <f>IF(ISNUMBER(SEARCH("-",Database[[#This Row],[KEYNOTE '#]])),LEFT(Database[[#This Row],[KEYNOTE '#]],FIND("-",Database[[#This Row],[KEYNOTE '#]])-1),Database[[#This Row],[KEYNOTE '#]])</f>
        <v>916</v>
      </c>
      <c r="AE15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1" s="55" t="str">
        <f>IF(AND(ISNUMBER(SEARCH("-",Database[[#This Row],[KEYNOTE '#]]))=TRUE,ISNUMBER(--RIGHT(Database[[#This Row],[KEYNOTE '#]]))=FALSE),RIGHT(Database[[#This Row],[KEYNOTE '#]],1),"")</f>
        <v/>
      </c>
      <c r="AG151" s="55">
        <v>149</v>
      </c>
      <c r="AH151" s="55" t="str">
        <f>IF(COUNTIF(Database[[#This Row],[BASE]:[INT. OTHER]],"g"),"INTERIOR",IF(COUNTIF(Database[[#This Row],[ROOF]:[EXT. OTHER]],"n"),"EXTERIOR",Database[[#This Row],[DIVISION '#]]))</f>
        <v>ARCH NOTES</v>
      </c>
      <c r="AI151" s="55" t="str">
        <f>IF(OR(Database[[#This Row],[KEYTIER1]]="INTERIOR",Database[[#This Row],[KEYTIER1]]="EXTERIOR"),"",Database[[#This Row],[DIVISION NAME]])</f>
        <v>BY CATEGORY</v>
      </c>
      <c r="AJ151" s="55" t="str">
        <f>IF(Database[[#This Row],[KEYTIER1]]="INTERIOR","INT",IF(Database[[#This Row],[KEYTIER1]]="EXTERIOR","EXT",Database[[#This Row],[SECTION '#]]))</f>
        <v>GENERAL ANNOTATIONS</v>
      </c>
      <c r="AK151" s="55" t="str">
        <f>IF(OR(Database[[#This Row],[KEYTIER2]]="INT",Database[[#This Row],[KEYTIER2]]="EXT"),"",IF(Database[[#This Row],[SECTION NAME]]="","",Database[[#This Row],[SECTION NAME]]))</f>
        <v/>
      </c>
    </row>
    <row r="152" spans="2:37" ht="45" x14ac:dyDescent="0.25">
      <c r="B152" s="55" t="s">
        <v>71</v>
      </c>
      <c r="C152" s="55" t="s">
        <v>72</v>
      </c>
      <c r="D152" s="55" t="s">
        <v>73</v>
      </c>
      <c r="E152" s="55" t="s">
        <v>98</v>
      </c>
      <c r="F152" s="58"/>
      <c r="G152" s="77">
        <v>917</v>
      </c>
      <c r="H152" s="58" t="s">
        <v>132</v>
      </c>
      <c r="I152" s="69"/>
      <c r="J152" s="57"/>
      <c r="K152" s="57"/>
      <c r="L152" s="57"/>
      <c r="M152" s="57"/>
      <c r="N152" s="59"/>
      <c r="O152" s="71"/>
      <c r="P152" s="56"/>
      <c r="Q152" s="56"/>
      <c r="R152" s="56"/>
      <c r="S152" s="56"/>
      <c r="T152" s="60"/>
      <c r="U152" s="74"/>
      <c r="V152" s="55"/>
      <c r="W152" s="55"/>
      <c r="X152" s="55"/>
      <c r="Y152" s="55"/>
      <c r="Z152" s="55"/>
      <c r="AA152" s="55"/>
      <c r="AB152" s="55"/>
      <c r="AC152" s="55">
        <f>IF(COUNTIF($C$3:C152,C152)=1,1,IF(COUNTIF($E$3:E152,E152)=1,2,0))</f>
        <v>0</v>
      </c>
      <c r="AD152" s="55">
        <f>IF(ISNUMBER(SEARCH("-",Database[[#This Row],[KEYNOTE '#]])),LEFT(Database[[#This Row],[KEYNOTE '#]],FIND("-",Database[[#This Row],[KEYNOTE '#]])-1),Database[[#This Row],[KEYNOTE '#]])</f>
        <v>917</v>
      </c>
      <c r="AE15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2" s="55" t="str">
        <f>IF(AND(ISNUMBER(SEARCH("-",Database[[#This Row],[KEYNOTE '#]]))=TRUE,ISNUMBER(--RIGHT(Database[[#This Row],[KEYNOTE '#]]))=FALSE),RIGHT(Database[[#This Row],[KEYNOTE '#]],1),"")</f>
        <v/>
      </c>
      <c r="AG152" s="55">
        <v>150</v>
      </c>
      <c r="AH152" s="55" t="str">
        <f>IF(COUNTIF(Database[[#This Row],[BASE]:[INT. OTHER]],"g"),"INTERIOR",IF(COUNTIF(Database[[#This Row],[ROOF]:[EXT. OTHER]],"n"),"EXTERIOR",Database[[#This Row],[DIVISION '#]]))</f>
        <v>ARCH NOTES</v>
      </c>
      <c r="AI152" s="55" t="str">
        <f>IF(OR(Database[[#This Row],[KEYTIER1]]="INTERIOR",Database[[#This Row],[KEYTIER1]]="EXTERIOR"),"",Database[[#This Row],[DIVISION NAME]])</f>
        <v>BY CATEGORY</v>
      </c>
      <c r="AJ152" s="55" t="str">
        <f>IF(Database[[#This Row],[KEYTIER1]]="INTERIOR","INT",IF(Database[[#This Row],[KEYTIER1]]="EXTERIOR","EXT",Database[[#This Row],[SECTION '#]]))</f>
        <v>GENERAL ANNOTATIONS</v>
      </c>
      <c r="AK152" s="55" t="str">
        <f>IF(OR(Database[[#This Row],[KEYTIER2]]="INT",Database[[#This Row],[KEYTIER2]]="EXT"),"",IF(Database[[#This Row],[SECTION NAME]]="","",Database[[#This Row],[SECTION NAME]]))</f>
        <v/>
      </c>
    </row>
    <row r="153" spans="2:37" ht="45" x14ac:dyDescent="0.25">
      <c r="B153" s="55" t="s">
        <v>71</v>
      </c>
      <c r="C153" s="55" t="s">
        <v>72</v>
      </c>
      <c r="D153" s="55" t="s">
        <v>73</v>
      </c>
      <c r="E153" s="55" t="s">
        <v>98</v>
      </c>
      <c r="F153" s="58"/>
      <c r="G153" s="77">
        <v>918</v>
      </c>
      <c r="H153" s="58" t="s">
        <v>134</v>
      </c>
      <c r="I153" s="69"/>
      <c r="J153" s="57"/>
      <c r="K153" s="57"/>
      <c r="L153" s="57"/>
      <c r="M153" s="57"/>
      <c r="N153" s="59"/>
      <c r="O153" s="71"/>
      <c r="P153" s="56"/>
      <c r="Q153" s="56"/>
      <c r="R153" s="56"/>
      <c r="S153" s="56"/>
      <c r="T153" s="60"/>
      <c r="U153" s="74"/>
      <c r="V153" s="55"/>
      <c r="W153" s="55"/>
      <c r="X153" s="55"/>
      <c r="Y153" s="55"/>
      <c r="Z153" s="55"/>
      <c r="AA153" s="55"/>
      <c r="AB153" s="55"/>
      <c r="AC153" s="55">
        <f>IF(COUNTIF($C$3:C153,C153)=1,1,IF(COUNTIF($E$3:E153,E153)=1,2,0))</f>
        <v>0</v>
      </c>
      <c r="AD153" s="55">
        <f>IF(ISNUMBER(SEARCH("-",Database[[#This Row],[KEYNOTE '#]])),LEFT(Database[[#This Row],[KEYNOTE '#]],FIND("-",Database[[#This Row],[KEYNOTE '#]])-1),Database[[#This Row],[KEYNOTE '#]])</f>
        <v>918</v>
      </c>
      <c r="AE15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3" s="55" t="str">
        <f>IF(AND(ISNUMBER(SEARCH("-",Database[[#This Row],[KEYNOTE '#]]))=TRUE,ISNUMBER(--RIGHT(Database[[#This Row],[KEYNOTE '#]]))=FALSE),RIGHT(Database[[#This Row],[KEYNOTE '#]],1),"")</f>
        <v/>
      </c>
      <c r="AG153" s="55">
        <v>151</v>
      </c>
      <c r="AH153" s="55" t="str">
        <f>IF(COUNTIF(Database[[#This Row],[BASE]:[INT. OTHER]],"g"),"INTERIOR",IF(COUNTIF(Database[[#This Row],[ROOF]:[EXT. OTHER]],"n"),"EXTERIOR",Database[[#This Row],[DIVISION '#]]))</f>
        <v>ARCH NOTES</v>
      </c>
      <c r="AI153" s="55" t="str">
        <f>IF(OR(Database[[#This Row],[KEYTIER1]]="INTERIOR",Database[[#This Row],[KEYTIER1]]="EXTERIOR"),"",Database[[#This Row],[DIVISION NAME]])</f>
        <v>BY CATEGORY</v>
      </c>
      <c r="AJ153" s="55" t="str">
        <f>IF(Database[[#This Row],[KEYTIER1]]="INTERIOR","INT",IF(Database[[#This Row],[KEYTIER1]]="EXTERIOR","EXT",Database[[#This Row],[SECTION '#]]))</f>
        <v>GENERAL ANNOTATIONS</v>
      </c>
      <c r="AK153" s="55" t="str">
        <f>IF(OR(Database[[#This Row],[KEYTIER2]]="INT",Database[[#This Row],[KEYTIER2]]="EXT"),"",IF(Database[[#This Row],[SECTION NAME]]="","",Database[[#This Row],[SECTION NAME]]))</f>
        <v/>
      </c>
    </row>
    <row r="154" spans="2:37" ht="45" x14ac:dyDescent="0.25">
      <c r="B154" s="55" t="s">
        <v>71</v>
      </c>
      <c r="C154" s="55" t="s">
        <v>72</v>
      </c>
      <c r="D154" s="55" t="s">
        <v>73</v>
      </c>
      <c r="E154" s="55" t="s">
        <v>98</v>
      </c>
      <c r="F154" s="58"/>
      <c r="G154" s="77">
        <v>919</v>
      </c>
      <c r="H154" s="58" t="s">
        <v>136</v>
      </c>
      <c r="I154" s="69"/>
      <c r="J154" s="57"/>
      <c r="K154" s="57"/>
      <c r="L154" s="57"/>
      <c r="M154" s="57"/>
      <c r="N154" s="59"/>
      <c r="O154" s="71"/>
      <c r="P154" s="56"/>
      <c r="Q154" s="56"/>
      <c r="R154" s="56"/>
      <c r="S154" s="56"/>
      <c r="T154" s="60"/>
      <c r="U154" s="74"/>
      <c r="V154" s="55"/>
      <c r="W154" s="55"/>
      <c r="X154" s="55"/>
      <c r="Y154" s="55"/>
      <c r="Z154" s="55"/>
      <c r="AA154" s="55"/>
      <c r="AB154" s="55"/>
      <c r="AC154" s="55">
        <f>IF(COUNTIF($C$3:C154,C154)=1,1,IF(COUNTIF($E$3:E154,E154)=1,2,0))</f>
        <v>0</v>
      </c>
      <c r="AD154" s="55">
        <f>IF(ISNUMBER(SEARCH("-",Database[[#This Row],[KEYNOTE '#]])),LEFT(Database[[#This Row],[KEYNOTE '#]],FIND("-",Database[[#This Row],[KEYNOTE '#]])-1),Database[[#This Row],[KEYNOTE '#]])</f>
        <v>919</v>
      </c>
      <c r="AE15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4" s="55" t="str">
        <f>IF(AND(ISNUMBER(SEARCH("-",Database[[#This Row],[KEYNOTE '#]]))=TRUE,ISNUMBER(--RIGHT(Database[[#This Row],[KEYNOTE '#]]))=FALSE),RIGHT(Database[[#This Row],[KEYNOTE '#]],1),"")</f>
        <v/>
      </c>
      <c r="AG154" s="55">
        <v>152</v>
      </c>
      <c r="AH154" s="55" t="str">
        <f>IF(COUNTIF(Database[[#This Row],[BASE]:[INT. OTHER]],"g"),"INTERIOR",IF(COUNTIF(Database[[#This Row],[ROOF]:[EXT. OTHER]],"n"),"EXTERIOR",Database[[#This Row],[DIVISION '#]]))</f>
        <v>ARCH NOTES</v>
      </c>
      <c r="AI154" s="55" t="str">
        <f>IF(OR(Database[[#This Row],[KEYTIER1]]="INTERIOR",Database[[#This Row],[KEYTIER1]]="EXTERIOR"),"",Database[[#This Row],[DIVISION NAME]])</f>
        <v>BY CATEGORY</v>
      </c>
      <c r="AJ154" s="55" t="str">
        <f>IF(Database[[#This Row],[KEYTIER1]]="INTERIOR","INT",IF(Database[[#This Row],[KEYTIER1]]="EXTERIOR","EXT",Database[[#This Row],[SECTION '#]]))</f>
        <v>GENERAL ANNOTATIONS</v>
      </c>
      <c r="AK154" s="55" t="str">
        <f>IF(OR(Database[[#This Row],[KEYTIER2]]="INT",Database[[#This Row],[KEYTIER2]]="EXT"),"",IF(Database[[#This Row],[SECTION NAME]]="","",Database[[#This Row],[SECTION NAME]]))</f>
        <v/>
      </c>
    </row>
    <row r="155" spans="2:37" ht="30" x14ac:dyDescent="0.25">
      <c r="B155" s="55" t="s">
        <v>71</v>
      </c>
      <c r="C155" s="55" t="s">
        <v>72</v>
      </c>
      <c r="D155" s="55" t="s">
        <v>73</v>
      </c>
      <c r="E155" s="55" t="s">
        <v>137</v>
      </c>
      <c r="F155" s="58"/>
      <c r="G155" s="77">
        <v>1101</v>
      </c>
      <c r="H155" s="58"/>
      <c r="I155" s="69"/>
      <c r="J155" s="57"/>
      <c r="K155" s="57"/>
      <c r="L155" s="57"/>
      <c r="M155" s="57"/>
      <c r="N155" s="59"/>
      <c r="O155" s="71"/>
      <c r="P155" s="56"/>
      <c r="Q155" s="56"/>
      <c r="R155" s="56"/>
      <c r="S155" s="56"/>
      <c r="T155" s="60"/>
      <c r="U155" s="74"/>
      <c r="V155" s="55"/>
      <c r="W155" s="55"/>
      <c r="X155" s="55"/>
      <c r="Y155" s="55"/>
      <c r="Z155" s="55"/>
      <c r="AA155" s="55"/>
      <c r="AB155" s="55"/>
      <c r="AC155" s="55">
        <f>IF(COUNTIF($C$3:C155,C155)=1,1,IF(COUNTIF($E$3:E155,E155)=1,2,0))</f>
        <v>2</v>
      </c>
      <c r="AD155" s="55">
        <f>IF(ISNUMBER(SEARCH("-",Database[[#This Row],[KEYNOTE '#]])),LEFT(Database[[#This Row],[KEYNOTE '#]],FIND("-",Database[[#This Row],[KEYNOTE '#]])-1),Database[[#This Row],[KEYNOTE '#]])</f>
        <v>1101</v>
      </c>
      <c r="AE15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5" s="55" t="str">
        <f>IF(AND(ISNUMBER(SEARCH("-",Database[[#This Row],[KEYNOTE '#]]))=TRUE,ISNUMBER(--RIGHT(Database[[#This Row],[KEYNOTE '#]]))=FALSE),RIGHT(Database[[#This Row],[KEYNOTE '#]],1),"")</f>
        <v/>
      </c>
      <c r="AG155" s="55">
        <v>153</v>
      </c>
      <c r="AH155" s="55" t="str">
        <f>IF(COUNTIF(Database[[#This Row],[BASE]:[INT. OTHER]],"g"),"INTERIOR",IF(COUNTIF(Database[[#This Row],[ROOF]:[EXT. OTHER]],"n"),"EXTERIOR",Database[[#This Row],[DIVISION '#]]))</f>
        <v>ARCH NOTES</v>
      </c>
      <c r="AI155" s="55" t="str">
        <f>IF(OR(Database[[#This Row],[KEYTIER1]]="INTERIOR",Database[[#This Row],[KEYTIER1]]="EXTERIOR"),"",Database[[#This Row],[DIVISION NAME]])</f>
        <v>BY CATEGORY</v>
      </c>
      <c r="AJ155" s="55" t="str">
        <f>IF(Database[[#This Row],[KEYTIER1]]="INTERIOR","INT",IF(Database[[#This Row],[KEYTIER1]]="EXTERIOR","EXT",Database[[#This Row],[SECTION '#]]))</f>
        <v>RAMPS</v>
      </c>
      <c r="AK155" s="55" t="str">
        <f>IF(OR(Database[[#This Row],[KEYTIER2]]="INT",Database[[#This Row],[KEYTIER2]]="EXT"),"",IF(Database[[#This Row],[SECTION NAME]]="","",Database[[#This Row],[SECTION NAME]]))</f>
        <v/>
      </c>
    </row>
    <row r="156" spans="2:37" ht="30" x14ac:dyDescent="0.25">
      <c r="B156" s="55" t="s">
        <v>71</v>
      </c>
      <c r="C156" s="55" t="s">
        <v>72</v>
      </c>
      <c r="D156" s="55" t="s">
        <v>73</v>
      </c>
      <c r="E156" s="55" t="s">
        <v>137</v>
      </c>
      <c r="F156" s="58"/>
      <c r="G156" s="77">
        <v>1102</v>
      </c>
      <c r="H156" s="58"/>
      <c r="I156" s="69"/>
      <c r="J156" s="57"/>
      <c r="K156" s="57"/>
      <c r="L156" s="57"/>
      <c r="M156" s="57"/>
      <c r="N156" s="59"/>
      <c r="O156" s="71"/>
      <c r="P156" s="56"/>
      <c r="Q156" s="56"/>
      <c r="R156" s="56"/>
      <c r="S156" s="56"/>
      <c r="T156" s="60"/>
      <c r="U156" s="74"/>
      <c r="V156" s="55"/>
      <c r="W156" s="55"/>
      <c r="X156" s="55"/>
      <c r="Y156" s="55"/>
      <c r="Z156" s="55"/>
      <c r="AA156" s="55"/>
      <c r="AB156" s="55"/>
      <c r="AC156" s="55">
        <f>IF(COUNTIF($C$3:C156,C156)=1,1,IF(COUNTIF($E$3:E156,E156)=1,2,0))</f>
        <v>0</v>
      </c>
      <c r="AD156" s="55">
        <f>IF(ISNUMBER(SEARCH("-",Database[[#This Row],[KEYNOTE '#]])),LEFT(Database[[#This Row],[KEYNOTE '#]],FIND("-",Database[[#This Row],[KEYNOTE '#]])-1),Database[[#This Row],[KEYNOTE '#]])</f>
        <v>1102</v>
      </c>
      <c r="AE15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6" s="55" t="str">
        <f>IF(AND(ISNUMBER(SEARCH("-",Database[[#This Row],[KEYNOTE '#]]))=TRUE,ISNUMBER(--RIGHT(Database[[#This Row],[KEYNOTE '#]]))=FALSE),RIGHT(Database[[#This Row],[KEYNOTE '#]],1),"")</f>
        <v/>
      </c>
      <c r="AG156" s="55">
        <v>154</v>
      </c>
      <c r="AH156" s="55" t="str">
        <f>IF(COUNTIF(Database[[#This Row],[BASE]:[INT. OTHER]],"g"),"INTERIOR",IF(COUNTIF(Database[[#This Row],[ROOF]:[EXT. OTHER]],"n"),"EXTERIOR",Database[[#This Row],[DIVISION '#]]))</f>
        <v>ARCH NOTES</v>
      </c>
      <c r="AI156" s="55" t="str">
        <f>IF(OR(Database[[#This Row],[KEYTIER1]]="INTERIOR",Database[[#This Row],[KEYTIER1]]="EXTERIOR"),"",Database[[#This Row],[DIVISION NAME]])</f>
        <v>BY CATEGORY</v>
      </c>
      <c r="AJ156" s="55" t="str">
        <f>IF(Database[[#This Row],[KEYTIER1]]="INTERIOR","INT",IF(Database[[#This Row],[KEYTIER1]]="EXTERIOR","EXT",Database[[#This Row],[SECTION '#]]))</f>
        <v>RAMPS</v>
      </c>
      <c r="AK156" s="55" t="str">
        <f>IF(OR(Database[[#This Row],[KEYTIER2]]="INT",Database[[#This Row],[KEYTIER2]]="EXT"),"",IF(Database[[#This Row],[SECTION NAME]]="","",Database[[#This Row],[SECTION NAME]]))</f>
        <v/>
      </c>
    </row>
    <row r="157" spans="2:37" ht="30" x14ac:dyDescent="0.25">
      <c r="B157" s="55" t="s">
        <v>71</v>
      </c>
      <c r="C157" s="55" t="s">
        <v>72</v>
      </c>
      <c r="D157" s="55" t="s">
        <v>73</v>
      </c>
      <c r="E157" s="55" t="s">
        <v>137</v>
      </c>
      <c r="F157" s="58"/>
      <c r="G157" s="77">
        <v>1103</v>
      </c>
      <c r="H157" s="58"/>
      <c r="I157" s="69"/>
      <c r="J157" s="57"/>
      <c r="K157" s="57"/>
      <c r="L157" s="57"/>
      <c r="M157" s="57"/>
      <c r="N157" s="59"/>
      <c r="O157" s="71"/>
      <c r="P157" s="56"/>
      <c r="Q157" s="56"/>
      <c r="R157" s="56"/>
      <c r="S157" s="56"/>
      <c r="T157" s="60"/>
      <c r="U157" s="74"/>
      <c r="V157" s="55"/>
      <c r="W157" s="55"/>
      <c r="X157" s="55"/>
      <c r="Y157" s="55"/>
      <c r="Z157" s="55"/>
      <c r="AA157" s="55"/>
      <c r="AB157" s="55"/>
      <c r="AC157" s="55">
        <f>IF(COUNTIF($C$3:C157,C157)=1,1,IF(COUNTIF($E$3:E157,E157)=1,2,0))</f>
        <v>0</v>
      </c>
      <c r="AD157" s="55">
        <f>IF(ISNUMBER(SEARCH("-",Database[[#This Row],[KEYNOTE '#]])),LEFT(Database[[#This Row],[KEYNOTE '#]],FIND("-",Database[[#This Row],[KEYNOTE '#]])-1),Database[[#This Row],[KEYNOTE '#]])</f>
        <v>1103</v>
      </c>
      <c r="AE15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7" s="55" t="str">
        <f>IF(AND(ISNUMBER(SEARCH("-",Database[[#This Row],[KEYNOTE '#]]))=TRUE,ISNUMBER(--RIGHT(Database[[#This Row],[KEYNOTE '#]]))=FALSE),RIGHT(Database[[#This Row],[KEYNOTE '#]],1),"")</f>
        <v/>
      </c>
      <c r="AG157" s="55">
        <v>155</v>
      </c>
      <c r="AH157" s="55" t="str">
        <f>IF(COUNTIF(Database[[#This Row],[BASE]:[INT. OTHER]],"g"),"INTERIOR",IF(COUNTIF(Database[[#This Row],[ROOF]:[EXT. OTHER]],"n"),"EXTERIOR",Database[[#This Row],[DIVISION '#]]))</f>
        <v>ARCH NOTES</v>
      </c>
      <c r="AI157" s="55" t="str">
        <f>IF(OR(Database[[#This Row],[KEYTIER1]]="INTERIOR",Database[[#This Row],[KEYTIER1]]="EXTERIOR"),"",Database[[#This Row],[DIVISION NAME]])</f>
        <v>BY CATEGORY</v>
      </c>
      <c r="AJ157" s="55" t="str">
        <f>IF(Database[[#This Row],[KEYTIER1]]="INTERIOR","INT",IF(Database[[#This Row],[KEYTIER1]]="EXTERIOR","EXT",Database[[#This Row],[SECTION '#]]))</f>
        <v>RAMPS</v>
      </c>
      <c r="AK157" s="55" t="str">
        <f>IF(OR(Database[[#This Row],[KEYTIER2]]="INT",Database[[#This Row],[KEYTIER2]]="EXT"),"",IF(Database[[#This Row],[SECTION NAME]]="","",Database[[#This Row],[SECTION NAME]]))</f>
        <v/>
      </c>
    </row>
    <row r="158" spans="2:37" ht="30" x14ac:dyDescent="0.25">
      <c r="B158" s="55" t="s">
        <v>71</v>
      </c>
      <c r="C158" s="55" t="s">
        <v>72</v>
      </c>
      <c r="D158" s="55" t="s">
        <v>73</v>
      </c>
      <c r="E158" s="55" t="s">
        <v>141</v>
      </c>
      <c r="F158" s="58"/>
      <c r="G158" s="77">
        <v>1201</v>
      </c>
      <c r="H158" s="58"/>
      <c r="I158" s="69"/>
      <c r="J158" s="57"/>
      <c r="K158" s="57"/>
      <c r="L158" s="57"/>
      <c r="M158" s="57"/>
      <c r="N158" s="59"/>
      <c r="O158" s="71"/>
      <c r="P158" s="56"/>
      <c r="Q158" s="56"/>
      <c r="R158" s="56"/>
      <c r="S158" s="56"/>
      <c r="T158" s="60"/>
      <c r="U158" s="74"/>
      <c r="V158" s="55"/>
      <c r="W158" s="55"/>
      <c r="X158" s="55"/>
      <c r="Y158" s="55"/>
      <c r="Z158" s="55"/>
      <c r="AA158" s="55"/>
      <c r="AB158" s="55"/>
      <c r="AC158" s="55">
        <f>IF(COUNTIF($C$3:C158,C158)=1,1,IF(COUNTIF($E$3:E158,E158)=1,2,0))</f>
        <v>2</v>
      </c>
      <c r="AD158" s="55">
        <f>IF(ISNUMBER(SEARCH("-",Database[[#This Row],[KEYNOTE '#]])),LEFT(Database[[#This Row],[KEYNOTE '#]],FIND("-",Database[[#This Row],[KEYNOTE '#]])-1),Database[[#This Row],[KEYNOTE '#]])</f>
        <v>1201</v>
      </c>
      <c r="AE15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8" s="55" t="str">
        <f>IF(AND(ISNUMBER(SEARCH("-",Database[[#This Row],[KEYNOTE '#]]))=TRUE,ISNUMBER(--RIGHT(Database[[#This Row],[KEYNOTE '#]]))=FALSE),RIGHT(Database[[#This Row],[KEYNOTE '#]],1),"")</f>
        <v/>
      </c>
      <c r="AG158" s="55">
        <v>156</v>
      </c>
      <c r="AH158" s="55" t="str">
        <f>IF(COUNTIF(Database[[#This Row],[BASE]:[INT. OTHER]],"g"),"INTERIOR",IF(COUNTIF(Database[[#This Row],[ROOF]:[EXT. OTHER]],"n"),"EXTERIOR",Database[[#This Row],[DIVISION '#]]))</f>
        <v>ARCH NOTES</v>
      </c>
      <c r="AI158" s="55" t="str">
        <f>IF(OR(Database[[#This Row],[KEYTIER1]]="INTERIOR",Database[[#This Row],[KEYTIER1]]="EXTERIOR"),"",Database[[#This Row],[DIVISION NAME]])</f>
        <v>BY CATEGORY</v>
      </c>
      <c r="AJ158" s="55" t="str">
        <f>IF(Database[[#This Row],[KEYTIER1]]="INTERIOR","INT",IF(Database[[#This Row],[KEYTIER1]]="EXTERIOR","EXT",Database[[#This Row],[SECTION '#]]))</f>
        <v>ROOFS</v>
      </c>
      <c r="AK158" s="55" t="str">
        <f>IF(OR(Database[[#This Row],[KEYTIER2]]="INT",Database[[#This Row],[KEYTIER2]]="EXT"),"",IF(Database[[#This Row],[SECTION NAME]]="","",Database[[#This Row],[SECTION NAME]]))</f>
        <v/>
      </c>
    </row>
    <row r="159" spans="2:37" ht="30" x14ac:dyDescent="0.25">
      <c r="B159" s="55" t="s">
        <v>71</v>
      </c>
      <c r="C159" s="55" t="s">
        <v>72</v>
      </c>
      <c r="D159" s="55" t="s">
        <v>73</v>
      </c>
      <c r="E159" s="55" t="s">
        <v>141</v>
      </c>
      <c r="F159" s="58"/>
      <c r="G159" s="77">
        <v>1202</v>
      </c>
      <c r="H159" s="58"/>
      <c r="I159" s="69"/>
      <c r="J159" s="57"/>
      <c r="K159" s="57"/>
      <c r="L159" s="57"/>
      <c r="M159" s="57"/>
      <c r="N159" s="59"/>
      <c r="O159" s="71"/>
      <c r="P159" s="56"/>
      <c r="Q159" s="56"/>
      <c r="R159" s="56"/>
      <c r="S159" s="56"/>
      <c r="T159" s="60"/>
      <c r="U159" s="74"/>
      <c r="V159" s="55"/>
      <c r="W159" s="55"/>
      <c r="X159" s="55"/>
      <c r="Y159" s="55"/>
      <c r="Z159" s="55"/>
      <c r="AA159" s="55"/>
      <c r="AB159" s="55"/>
      <c r="AC159" s="55">
        <f>IF(COUNTIF($C$3:C159,C159)=1,1,IF(COUNTIF($E$3:E159,E159)=1,2,0))</f>
        <v>0</v>
      </c>
      <c r="AD159" s="55">
        <f>IF(ISNUMBER(SEARCH("-",Database[[#This Row],[KEYNOTE '#]])),LEFT(Database[[#This Row],[KEYNOTE '#]],FIND("-",Database[[#This Row],[KEYNOTE '#]])-1),Database[[#This Row],[KEYNOTE '#]])</f>
        <v>1202</v>
      </c>
      <c r="AE15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59" s="55" t="str">
        <f>IF(AND(ISNUMBER(SEARCH("-",Database[[#This Row],[KEYNOTE '#]]))=TRUE,ISNUMBER(--RIGHT(Database[[#This Row],[KEYNOTE '#]]))=FALSE),RIGHT(Database[[#This Row],[KEYNOTE '#]],1),"")</f>
        <v/>
      </c>
      <c r="AG159" s="55">
        <v>157</v>
      </c>
      <c r="AH159" s="55" t="str">
        <f>IF(COUNTIF(Database[[#This Row],[BASE]:[INT. OTHER]],"g"),"INTERIOR",IF(COUNTIF(Database[[#This Row],[ROOF]:[EXT. OTHER]],"n"),"EXTERIOR",Database[[#This Row],[DIVISION '#]]))</f>
        <v>ARCH NOTES</v>
      </c>
      <c r="AI159" s="55" t="str">
        <f>IF(OR(Database[[#This Row],[KEYTIER1]]="INTERIOR",Database[[#This Row],[KEYTIER1]]="EXTERIOR"),"",Database[[#This Row],[DIVISION NAME]])</f>
        <v>BY CATEGORY</v>
      </c>
      <c r="AJ159" s="55" t="str">
        <f>IF(Database[[#This Row],[KEYTIER1]]="INTERIOR","INT",IF(Database[[#This Row],[KEYTIER1]]="EXTERIOR","EXT",Database[[#This Row],[SECTION '#]]))</f>
        <v>ROOFS</v>
      </c>
      <c r="AK159" s="55" t="str">
        <f>IF(OR(Database[[#This Row],[KEYTIER2]]="INT",Database[[#This Row],[KEYTIER2]]="EXT"),"",IF(Database[[#This Row],[SECTION NAME]]="","",Database[[#This Row],[SECTION NAME]]))</f>
        <v/>
      </c>
    </row>
    <row r="160" spans="2:37" ht="30" x14ac:dyDescent="0.25">
      <c r="B160" s="55" t="s">
        <v>71</v>
      </c>
      <c r="C160" s="55" t="s">
        <v>72</v>
      </c>
      <c r="D160" s="55" t="s">
        <v>73</v>
      </c>
      <c r="E160" s="55" t="s">
        <v>141</v>
      </c>
      <c r="F160" s="58"/>
      <c r="G160" s="77">
        <v>1203</v>
      </c>
      <c r="H160" s="58"/>
      <c r="I160" s="69"/>
      <c r="J160" s="57"/>
      <c r="K160" s="57"/>
      <c r="L160" s="57"/>
      <c r="M160" s="57"/>
      <c r="N160" s="59"/>
      <c r="O160" s="71"/>
      <c r="P160" s="56"/>
      <c r="Q160" s="56"/>
      <c r="R160" s="56"/>
      <c r="S160" s="56"/>
      <c r="T160" s="60"/>
      <c r="U160" s="74"/>
      <c r="V160" s="55"/>
      <c r="W160" s="55"/>
      <c r="X160" s="55"/>
      <c r="Y160" s="55"/>
      <c r="Z160" s="55"/>
      <c r="AA160" s="55"/>
      <c r="AB160" s="55"/>
      <c r="AC160" s="55">
        <f>IF(COUNTIF($C$3:C160,C160)=1,1,IF(COUNTIF($E$3:E160,E160)=1,2,0))</f>
        <v>0</v>
      </c>
      <c r="AD160" s="55">
        <f>IF(ISNUMBER(SEARCH("-",Database[[#This Row],[KEYNOTE '#]])),LEFT(Database[[#This Row],[KEYNOTE '#]],FIND("-",Database[[#This Row],[KEYNOTE '#]])-1),Database[[#This Row],[KEYNOTE '#]])</f>
        <v>1203</v>
      </c>
      <c r="AE16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0" s="55" t="str">
        <f>IF(AND(ISNUMBER(SEARCH("-",Database[[#This Row],[KEYNOTE '#]]))=TRUE,ISNUMBER(--RIGHT(Database[[#This Row],[KEYNOTE '#]]))=FALSE),RIGHT(Database[[#This Row],[KEYNOTE '#]],1),"")</f>
        <v/>
      </c>
      <c r="AG160" s="55">
        <v>158</v>
      </c>
      <c r="AH160" s="55" t="str">
        <f>IF(COUNTIF(Database[[#This Row],[BASE]:[INT. OTHER]],"g"),"INTERIOR",IF(COUNTIF(Database[[#This Row],[ROOF]:[EXT. OTHER]],"n"),"EXTERIOR",Database[[#This Row],[DIVISION '#]]))</f>
        <v>ARCH NOTES</v>
      </c>
      <c r="AI160" s="55" t="str">
        <f>IF(OR(Database[[#This Row],[KEYTIER1]]="INTERIOR",Database[[#This Row],[KEYTIER1]]="EXTERIOR"),"",Database[[#This Row],[DIVISION NAME]])</f>
        <v>BY CATEGORY</v>
      </c>
      <c r="AJ160" s="55" t="str">
        <f>IF(Database[[#This Row],[KEYTIER1]]="INTERIOR","INT",IF(Database[[#This Row],[KEYTIER1]]="EXTERIOR","EXT",Database[[#This Row],[SECTION '#]]))</f>
        <v>ROOFS</v>
      </c>
      <c r="AK160" s="55" t="str">
        <f>IF(OR(Database[[#This Row],[KEYTIER2]]="INT",Database[[#This Row],[KEYTIER2]]="EXT"),"",IF(Database[[#This Row],[SECTION NAME]]="","",Database[[#This Row],[SECTION NAME]]))</f>
        <v/>
      </c>
    </row>
    <row r="161" spans="2:37" ht="30" x14ac:dyDescent="0.25">
      <c r="B161" s="55" t="s">
        <v>71</v>
      </c>
      <c r="C161" s="55" t="s">
        <v>72</v>
      </c>
      <c r="D161" s="55" t="s">
        <v>73</v>
      </c>
      <c r="E161" s="55" t="s">
        <v>145</v>
      </c>
      <c r="F161" s="58"/>
      <c r="G161" s="77">
        <v>1301</v>
      </c>
      <c r="H161" s="58"/>
      <c r="I161" s="69"/>
      <c r="J161" s="57"/>
      <c r="K161" s="57"/>
      <c r="L161" s="57"/>
      <c r="M161" s="57"/>
      <c r="N161" s="59"/>
      <c r="O161" s="71"/>
      <c r="P161" s="56"/>
      <c r="Q161" s="56"/>
      <c r="R161" s="56"/>
      <c r="S161" s="56"/>
      <c r="T161" s="60"/>
      <c r="U161" s="74"/>
      <c r="V161" s="55"/>
      <c r="W161" s="55"/>
      <c r="X161" s="55"/>
      <c r="Y161" s="55"/>
      <c r="Z161" s="55"/>
      <c r="AA161" s="55"/>
      <c r="AB161" s="55"/>
      <c r="AC161" s="55">
        <f>IF(COUNTIF($C$3:C161,C161)=1,1,IF(COUNTIF($E$3:E161,E161)=1,2,0))</f>
        <v>2</v>
      </c>
      <c r="AD161" s="55">
        <f>IF(ISNUMBER(SEARCH("-",Database[[#This Row],[KEYNOTE '#]])),LEFT(Database[[#This Row],[KEYNOTE '#]],FIND("-",Database[[#This Row],[KEYNOTE '#]])-1),Database[[#This Row],[KEYNOTE '#]])</f>
        <v>1301</v>
      </c>
      <c r="AE16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1" s="55" t="str">
        <f>IF(AND(ISNUMBER(SEARCH("-",Database[[#This Row],[KEYNOTE '#]]))=TRUE,ISNUMBER(--RIGHT(Database[[#This Row],[KEYNOTE '#]]))=FALSE),RIGHT(Database[[#This Row],[KEYNOTE '#]],1),"")</f>
        <v/>
      </c>
      <c r="AG161" s="55">
        <v>159</v>
      </c>
      <c r="AH161" s="55" t="str">
        <f>IF(COUNTIF(Database[[#This Row],[BASE]:[INT. OTHER]],"g"),"INTERIOR",IF(COUNTIF(Database[[#This Row],[ROOF]:[EXT. OTHER]],"n"),"EXTERIOR",Database[[#This Row],[DIVISION '#]]))</f>
        <v>ARCH NOTES</v>
      </c>
      <c r="AI161" s="55" t="str">
        <f>IF(OR(Database[[#This Row],[KEYTIER1]]="INTERIOR",Database[[#This Row],[KEYTIER1]]="EXTERIOR"),"",Database[[#This Row],[DIVISION NAME]])</f>
        <v>BY CATEGORY</v>
      </c>
      <c r="AJ161" s="55" t="str">
        <f>IF(Database[[#This Row],[KEYTIER1]]="INTERIOR","INT",IF(Database[[#This Row],[KEYTIER1]]="EXTERIOR","EXT",Database[[#This Row],[SECTION '#]]))</f>
        <v>SITE</v>
      </c>
      <c r="AK161" s="55" t="str">
        <f>IF(OR(Database[[#This Row],[KEYTIER2]]="INT",Database[[#This Row],[KEYTIER2]]="EXT"),"",IF(Database[[#This Row],[SECTION NAME]]="","",Database[[#This Row],[SECTION NAME]]))</f>
        <v/>
      </c>
    </row>
    <row r="162" spans="2:37" ht="30" x14ac:dyDescent="0.25">
      <c r="B162" s="55" t="s">
        <v>71</v>
      </c>
      <c r="C162" s="55" t="s">
        <v>72</v>
      </c>
      <c r="D162" s="55" t="s">
        <v>73</v>
      </c>
      <c r="E162" s="55" t="s">
        <v>145</v>
      </c>
      <c r="F162" s="58"/>
      <c r="G162" s="77">
        <v>1302</v>
      </c>
      <c r="H162" s="58"/>
      <c r="I162" s="69"/>
      <c r="J162" s="57"/>
      <c r="K162" s="57"/>
      <c r="L162" s="57"/>
      <c r="M162" s="57"/>
      <c r="N162" s="59"/>
      <c r="O162" s="71"/>
      <c r="P162" s="56"/>
      <c r="Q162" s="56"/>
      <c r="R162" s="56"/>
      <c r="S162" s="56"/>
      <c r="T162" s="60"/>
      <c r="U162" s="74"/>
      <c r="V162" s="55"/>
      <c r="W162" s="55"/>
      <c r="X162" s="55"/>
      <c r="Y162" s="55"/>
      <c r="Z162" s="55"/>
      <c r="AA162" s="55"/>
      <c r="AB162" s="55"/>
      <c r="AC162" s="55">
        <f>IF(COUNTIF($C$3:C162,C162)=1,1,IF(COUNTIF($E$3:E162,E162)=1,2,0))</f>
        <v>0</v>
      </c>
      <c r="AD162" s="55">
        <f>IF(ISNUMBER(SEARCH("-",Database[[#This Row],[KEYNOTE '#]])),LEFT(Database[[#This Row],[KEYNOTE '#]],FIND("-",Database[[#This Row],[KEYNOTE '#]])-1),Database[[#This Row],[KEYNOTE '#]])</f>
        <v>1302</v>
      </c>
      <c r="AE16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2" s="55" t="str">
        <f>IF(AND(ISNUMBER(SEARCH("-",Database[[#This Row],[KEYNOTE '#]]))=TRUE,ISNUMBER(--RIGHT(Database[[#This Row],[KEYNOTE '#]]))=FALSE),RIGHT(Database[[#This Row],[KEYNOTE '#]],1),"")</f>
        <v/>
      </c>
      <c r="AG162" s="55">
        <v>160</v>
      </c>
      <c r="AH162" s="55" t="str">
        <f>IF(COUNTIF(Database[[#This Row],[BASE]:[INT. OTHER]],"g"),"INTERIOR",IF(COUNTIF(Database[[#This Row],[ROOF]:[EXT. OTHER]],"n"),"EXTERIOR",Database[[#This Row],[DIVISION '#]]))</f>
        <v>ARCH NOTES</v>
      </c>
      <c r="AI162" s="55" t="str">
        <f>IF(OR(Database[[#This Row],[KEYTIER1]]="INTERIOR",Database[[#This Row],[KEYTIER1]]="EXTERIOR"),"",Database[[#This Row],[DIVISION NAME]])</f>
        <v>BY CATEGORY</v>
      </c>
      <c r="AJ162" s="55" t="str">
        <f>IF(Database[[#This Row],[KEYTIER1]]="INTERIOR","INT",IF(Database[[#This Row],[KEYTIER1]]="EXTERIOR","EXT",Database[[#This Row],[SECTION '#]]))</f>
        <v>SITE</v>
      </c>
      <c r="AK162" s="55" t="str">
        <f>IF(OR(Database[[#This Row],[KEYTIER2]]="INT",Database[[#This Row],[KEYTIER2]]="EXT"),"",IF(Database[[#This Row],[SECTION NAME]]="","",Database[[#This Row],[SECTION NAME]]))</f>
        <v/>
      </c>
    </row>
    <row r="163" spans="2:37" ht="30" x14ac:dyDescent="0.25">
      <c r="B163" s="55" t="s">
        <v>71</v>
      </c>
      <c r="C163" s="55" t="s">
        <v>72</v>
      </c>
      <c r="D163" s="55" t="s">
        <v>73</v>
      </c>
      <c r="E163" s="55" t="s">
        <v>145</v>
      </c>
      <c r="F163" s="58"/>
      <c r="G163" s="77">
        <v>1303</v>
      </c>
      <c r="H163" s="58"/>
      <c r="I163" s="69"/>
      <c r="J163" s="57"/>
      <c r="K163" s="57"/>
      <c r="L163" s="57"/>
      <c r="M163" s="57"/>
      <c r="N163" s="59"/>
      <c r="O163" s="71"/>
      <c r="P163" s="56"/>
      <c r="Q163" s="56"/>
      <c r="R163" s="56"/>
      <c r="S163" s="56"/>
      <c r="T163" s="60"/>
      <c r="U163" s="74"/>
      <c r="V163" s="55"/>
      <c r="W163" s="55"/>
      <c r="X163" s="55"/>
      <c r="Y163" s="55"/>
      <c r="Z163" s="55"/>
      <c r="AA163" s="55"/>
      <c r="AB163" s="55"/>
      <c r="AC163" s="55">
        <f>IF(COUNTIF($C$3:C163,C163)=1,1,IF(COUNTIF($E$3:E163,E163)=1,2,0))</f>
        <v>0</v>
      </c>
      <c r="AD163" s="55">
        <f>IF(ISNUMBER(SEARCH("-",Database[[#This Row],[KEYNOTE '#]])),LEFT(Database[[#This Row],[KEYNOTE '#]],FIND("-",Database[[#This Row],[KEYNOTE '#]])-1),Database[[#This Row],[KEYNOTE '#]])</f>
        <v>1303</v>
      </c>
      <c r="AE16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3" s="55" t="str">
        <f>IF(AND(ISNUMBER(SEARCH("-",Database[[#This Row],[KEYNOTE '#]]))=TRUE,ISNUMBER(--RIGHT(Database[[#This Row],[KEYNOTE '#]]))=FALSE),RIGHT(Database[[#This Row],[KEYNOTE '#]],1),"")</f>
        <v/>
      </c>
      <c r="AG163" s="55">
        <v>161</v>
      </c>
      <c r="AH163" s="55" t="str">
        <f>IF(COUNTIF(Database[[#This Row],[BASE]:[INT. OTHER]],"g"),"INTERIOR",IF(COUNTIF(Database[[#This Row],[ROOF]:[EXT. OTHER]],"n"),"EXTERIOR",Database[[#This Row],[DIVISION '#]]))</f>
        <v>ARCH NOTES</v>
      </c>
      <c r="AI163" s="55" t="str">
        <f>IF(OR(Database[[#This Row],[KEYTIER1]]="INTERIOR",Database[[#This Row],[KEYTIER1]]="EXTERIOR"),"",Database[[#This Row],[DIVISION NAME]])</f>
        <v>BY CATEGORY</v>
      </c>
      <c r="AJ163" s="55" t="str">
        <f>IF(Database[[#This Row],[KEYTIER1]]="INTERIOR","INT",IF(Database[[#This Row],[KEYTIER1]]="EXTERIOR","EXT",Database[[#This Row],[SECTION '#]]))</f>
        <v>SITE</v>
      </c>
      <c r="AK163" s="55" t="str">
        <f>IF(OR(Database[[#This Row],[KEYTIER2]]="INT",Database[[#This Row],[KEYTIER2]]="EXT"),"",IF(Database[[#This Row],[SECTION NAME]]="","",Database[[#This Row],[SECTION NAME]]))</f>
        <v/>
      </c>
    </row>
    <row r="164" spans="2:37" ht="30" x14ac:dyDescent="0.25">
      <c r="B164" s="55" t="s">
        <v>71</v>
      </c>
      <c r="C164" s="55" t="s">
        <v>72</v>
      </c>
      <c r="D164" s="55" t="s">
        <v>73</v>
      </c>
      <c r="E164" s="55" t="s">
        <v>149</v>
      </c>
      <c r="F164" s="58"/>
      <c r="G164" s="77">
        <v>1401</v>
      </c>
      <c r="H164" s="58"/>
      <c r="I164" s="69"/>
      <c r="J164" s="57"/>
      <c r="K164" s="57"/>
      <c r="L164" s="57"/>
      <c r="M164" s="57"/>
      <c r="N164" s="59"/>
      <c r="O164" s="71"/>
      <c r="P164" s="56"/>
      <c r="Q164" s="56"/>
      <c r="R164" s="56"/>
      <c r="S164" s="56"/>
      <c r="T164" s="60"/>
      <c r="U164" s="74"/>
      <c r="V164" s="55"/>
      <c r="W164" s="55"/>
      <c r="X164" s="55"/>
      <c r="Y164" s="55"/>
      <c r="Z164" s="55"/>
      <c r="AA164" s="55"/>
      <c r="AB164" s="55"/>
      <c r="AC164" s="55">
        <f>IF(COUNTIF($C$3:C164,C164)=1,1,IF(COUNTIF($E$3:E164,E164)=1,2,0))</f>
        <v>2</v>
      </c>
      <c r="AD164" s="55">
        <f>IF(ISNUMBER(SEARCH("-",Database[[#This Row],[KEYNOTE '#]])),LEFT(Database[[#This Row],[KEYNOTE '#]],FIND("-",Database[[#This Row],[KEYNOTE '#]])-1),Database[[#This Row],[KEYNOTE '#]])</f>
        <v>1401</v>
      </c>
      <c r="AE16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4" s="55" t="str">
        <f>IF(AND(ISNUMBER(SEARCH("-",Database[[#This Row],[KEYNOTE '#]]))=TRUE,ISNUMBER(--RIGHT(Database[[#This Row],[KEYNOTE '#]]))=FALSE),RIGHT(Database[[#This Row],[KEYNOTE '#]],1),"")</f>
        <v/>
      </c>
      <c r="AG164" s="55">
        <v>162</v>
      </c>
      <c r="AH164" s="55" t="str">
        <f>IF(COUNTIF(Database[[#This Row],[BASE]:[INT. OTHER]],"g"),"INTERIOR",IF(COUNTIF(Database[[#This Row],[ROOF]:[EXT. OTHER]],"n"),"EXTERIOR",Database[[#This Row],[DIVISION '#]]))</f>
        <v>ARCH NOTES</v>
      </c>
      <c r="AI164" s="55" t="str">
        <f>IF(OR(Database[[#This Row],[KEYTIER1]]="INTERIOR",Database[[#This Row],[KEYTIER1]]="EXTERIOR"),"",Database[[#This Row],[DIVISION NAME]])</f>
        <v>BY CATEGORY</v>
      </c>
      <c r="AJ164" s="55" t="str">
        <f>IF(Database[[#This Row],[KEYTIER1]]="INTERIOR","INT",IF(Database[[#This Row],[KEYTIER1]]="EXTERIOR","EXT",Database[[#This Row],[SECTION '#]]))</f>
        <v>STAIRS</v>
      </c>
      <c r="AK164" s="55" t="str">
        <f>IF(OR(Database[[#This Row],[KEYTIER2]]="INT",Database[[#This Row],[KEYTIER2]]="EXT"),"",IF(Database[[#This Row],[SECTION NAME]]="","",Database[[#This Row],[SECTION NAME]]))</f>
        <v/>
      </c>
    </row>
    <row r="165" spans="2:37" ht="30" x14ac:dyDescent="0.25">
      <c r="B165" s="55" t="s">
        <v>71</v>
      </c>
      <c r="C165" s="55" t="s">
        <v>72</v>
      </c>
      <c r="D165" s="55" t="s">
        <v>73</v>
      </c>
      <c r="E165" s="55" t="s">
        <v>149</v>
      </c>
      <c r="F165" s="58"/>
      <c r="G165" s="77">
        <v>1402</v>
      </c>
      <c r="H165" s="58"/>
      <c r="I165" s="69"/>
      <c r="J165" s="57"/>
      <c r="K165" s="57"/>
      <c r="L165" s="57"/>
      <c r="M165" s="57"/>
      <c r="N165" s="59"/>
      <c r="O165" s="71"/>
      <c r="P165" s="56"/>
      <c r="Q165" s="56"/>
      <c r="R165" s="56"/>
      <c r="S165" s="56"/>
      <c r="T165" s="60"/>
      <c r="U165" s="74"/>
      <c r="V165" s="55"/>
      <c r="W165" s="55"/>
      <c r="X165" s="55"/>
      <c r="Y165" s="55"/>
      <c r="Z165" s="55"/>
      <c r="AA165" s="55"/>
      <c r="AB165" s="55"/>
      <c r="AC165" s="55">
        <f>IF(COUNTIF($C$3:C165,C165)=1,1,IF(COUNTIF($E$3:E165,E165)=1,2,0))</f>
        <v>0</v>
      </c>
      <c r="AD165" s="55">
        <f>IF(ISNUMBER(SEARCH("-",Database[[#This Row],[KEYNOTE '#]])),LEFT(Database[[#This Row],[KEYNOTE '#]],FIND("-",Database[[#This Row],[KEYNOTE '#]])-1),Database[[#This Row],[KEYNOTE '#]])</f>
        <v>1402</v>
      </c>
      <c r="AE16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5" s="55" t="str">
        <f>IF(AND(ISNUMBER(SEARCH("-",Database[[#This Row],[KEYNOTE '#]]))=TRUE,ISNUMBER(--RIGHT(Database[[#This Row],[KEYNOTE '#]]))=FALSE),RIGHT(Database[[#This Row],[KEYNOTE '#]],1),"")</f>
        <v/>
      </c>
      <c r="AG165" s="55">
        <v>163</v>
      </c>
      <c r="AH165" s="55" t="str">
        <f>IF(COUNTIF(Database[[#This Row],[BASE]:[INT. OTHER]],"g"),"INTERIOR",IF(COUNTIF(Database[[#This Row],[ROOF]:[EXT. OTHER]],"n"),"EXTERIOR",Database[[#This Row],[DIVISION '#]]))</f>
        <v>ARCH NOTES</v>
      </c>
      <c r="AI165" s="55" t="str">
        <f>IF(OR(Database[[#This Row],[KEYTIER1]]="INTERIOR",Database[[#This Row],[KEYTIER1]]="EXTERIOR"),"",Database[[#This Row],[DIVISION NAME]])</f>
        <v>BY CATEGORY</v>
      </c>
      <c r="AJ165" s="55" t="str">
        <f>IF(Database[[#This Row],[KEYTIER1]]="INTERIOR","INT",IF(Database[[#This Row],[KEYTIER1]]="EXTERIOR","EXT",Database[[#This Row],[SECTION '#]]))</f>
        <v>STAIRS</v>
      </c>
      <c r="AK165" s="55" t="str">
        <f>IF(OR(Database[[#This Row],[KEYTIER2]]="INT",Database[[#This Row],[KEYTIER2]]="EXT"),"",IF(Database[[#This Row],[SECTION NAME]]="","",Database[[#This Row],[SECTION NAME]]))</f>
        <v/>
      </c>
    </row>
    <row r="166" spans="2:37" ht="30" x14ac:dyDescent="0.25">
      <c r="B166" s="55" t="s">
        <v>71</v>
      </c>
      <c r="C166" s="55" t="s">
        <v>72</v>
      </c>
      <c r="D166" s="55" t="s">
        <v>73</v>
      </c>
      <c r="E166" s="55" t="s">
        <v>149</v>
      </c>
      <c r="F166" s="58"/>
      <c r="G166" s="77">
        <v>1403</v>
      </c>
      <c r="H166" s="58"/>
      <c r="I166" s="69"/>
      <c r="J166" s="57"/>
      <c r="K166" s="57"/>
      <c r="L166" s="57"/>
      <c r="M166" s="57"/>
      <c r="N166" s="59"/>
      <c r="O166" s="71"/>
      <c r="P166" s="56"/>
      <c r="Q166" s="56"/>
      <c r="R166" s="56"/>
      <c r="S166" s="56"/>
      <c r="T166" s="60"/>
      <c r="U166" s="74"/>
      <c r="V166" s="55"/>
      <c r="W166" s="55"/>
      <c r="X166" s="55"/>
      <c r="Y166" s="55"/>
      <c r="Z166" s="55"/>
      <c r="AA166" s="55"/>
      <c r="AB166" s="55"/>
      <c r="AC166" s="55">
        <f>IF(COUNTIF($C$3:C166,C166)=1,1,IF(COUNTIF($E$3:E166,E166)=1,2,0))</f>
        <v>0</v>
      </c>
      <c r="AD166" s="55">
        <f>IF(ISNUMBER(SEARCH("-",Database[[#This Row],[KEYNOTE '#]])),LEFT(Database[[#This Row],[KEYNOTE '#]],FIND("-",Database[[#This Row],[KEYNOTE '#]])-1),Database[[#This Row],[KEYNOTE '#]])</f>
        <v>1403</v>
      </c>
      <c r="AE16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6" s="55" t="str">
        <f>IF(AND(ISNUMBER(SEARCH("-",Database[[#This Row],[KEYNOTE '#]]))=TRUE,ISNUMBER(--RIGHT(Database[[#This Row],[KEYNOTE '#]]))=FALSE),RIGHT(Database[[#This Row],[KEYNOTE '#]],1),"")</f>
        <v/>
      </c>
      <c r="AG166" s="55">
        <v>164</v>
      </c>
      <c r="AH166" s="55" t="str">
        <f>IF(COUNTIF(Database[[#This Row],[BASE]:[INT. OTHER]],"g"),"INTERIOR",IF(COUNTIF(Database[[#This Row],[ROOF]:[EXT. OTHER]],"n"),"EXTERIOR",Database[[#This Row],[DIVISION '#]]))</f>
        <v>ARCH NOTES</v>
      </c>
      <c r="AI166" s="55" t="str">
        <f>IF(OR(Database[[#This Row],[KEYTIER1]]="INTERIOR",Database[[#This Row],[KEYTIER1]]="EXTERIOR"),"",Database[[#This Row],[DIVISION NAME]])</f>
        <v>BY CATEGORY</v>
      </c>
      <c r="AJ166" s="55" t="str">
        <f>IF(Database[[#This Row],[KEYTIER1]]="INTERIOR","INT",IF(Database[[#This Row],[KEYTIER1]]="EXTERIOR","EXT",Database[[#This Row],[SECTION '#]]))</f>
        <v>STAIRS</v>
      </c>
      <c r="AK166" s="55" t="str">
        <f>IF(OR(Database[[#This Row],[KEYTIER2]]="INT",Database[[#This Row],[KEYTIER2]]="EXT"),"",IF(Database[[#This Row],[SECTION NAME]]="","",Database[[#This Row],[SECTION NAME]]))</f>
        <v/>
      </c>
    </row>
    <row r="167" spans="2:37" ht="30" x14ac:dyDescent="0.25">
      <c r="B167" s="55" t="s">
        <v>71</v>
      </c>
      <c r="C167" s="55" t="s">
        <v>72</v>
      </c>
      <c r="D167" s="55" t="s">
        <v>73</v>
      </c>
      <c r="E167" s="55" t="s">
        <v>153</v>
      </c>
      <c r="F167" s="58"/>
      <c r="G167" s="77">
        <v>1501</v>
      </c>
      <c r="H167" s="58"/>
      <c r="I167" s="69"/>
      <c r="J167" s="57"/>
      <c r="K167" s="57"/>
      <c r="L167" s="57"/>
      <c r="M167" s="57"/>
      <c r="N167" s="59"/>
      <c r="O167" s="71"/>
      <c r="P167" s="56"/>
      <c r="Q167" s="56"/>
      <c r="R167" s="56"/>
      <c r="S167" s="56"/>
      <c r="T167" s="60"/>
      <c r="U167" s="74"/>
      <c r="V167" s="55"/>
      <c r="W167" s="55"/>
      <c r="X167" s="55"/>
      <c r="Y167" s="55"/>
      <c r="Z167" s="55"/>
      <c r="AA167" s="55"/>
      <c r="AB167" s="55"/>
      <c r="AC167" s="55">
        <f>IF(COUNTIF($C$3:C167,C167)=1,1,IF(COUNTIF($E$3:E167,E167)=1,2,0))</f>
        <v>2</v>
      </c>
      <c r="AD167" s="55">
        <f>IF(ISNUMBER(SEARCH("-",Database[[#This Row],[KEYNOTE '#]])),LEFT(Database[[#This Row],[KEYNOTE '#]],FIND("-",Database[[#This Row],[KEYNOTE '#]])-1),Database[[#This Row],[KEYNOTE '#]])</f>
        <v>1501</v>
      </c>
      <c r="AE16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7" s="55" t="str">
        <f>IF(AND(ISNUMBER(SEARCH("-",Database[[#This Row],[KEYNOTE '#]]))=TRUE,ISNUMBER(--RIGHT(Database[[#This Row],[KEYNOTE '#]]))=FALSE),RIGHT(Database[[#This Row],[KEYNOTE '#]],1),"")</f>
        <v/>
      </c>
      <c r="AG167" s="55">
        <v>165</v>
      </c>
      <c r="AH167" s="55" t="str">
        <f>IF(COUNTIF(Database[[#This Row],[BASE]:[INT. OTHER]],"g"),"INTERIOR",IF(COUNTIF(Database[[#This Row],[ROOF]:[EXT. OTHER]],"n"),"EXTERIOR",Database[[#This Row],[DIVISION '#]]))</f>
        <v>ARCH NOTES</v>
      </c>
      <c r="AI167" s="55" t="str">
        <f>IF(OR(Database[[#This Row],[KEYTIER1]]="INTERIOR",Database[[#This Row],[KEYTIER1]]="EXTERIOR"),"",Database[[#This Row],[DIVISION NAME]])</f>
        <v>BY CATEGORY</v>
      </c>
      <c r="AJ167" s="55" t="str">
        <f>IF(Database[[#This Row],[KEYTIER1]]="INTERIOR","INT",IF(Database[[#This Row],[KEYTIER1]]="EXTERIOR","EXT",Database[[#This Row],[SECTION '#]]))</f>
        <v>TOILET ACCESSORIES</v>
      </c>
      <c r="AK167" s="55" t="str">
        <f>IF(OR(Database[[#This Row],[KEYTIER2]]="INT",Database[[#This Row],[KEYTIER2]]="EXT"),"",IF(Database[[#This Row],[SECTION NAME]]="","",Database[[#This Row],[SECTION NAME]]))</f>
        <v/>
      </c>
    </row>
    <row r="168" spans="2:37" ht="30" x14ac:dyDescent="0.25">
      <c r="B168" s="55" t="s">
        <v>71</v>
      </c>
      <c r="C168" s="55" t="s">
        <v>72</v>
      </c>
      <c r="D168" s="55" t="s">
        <v>73</v>
      </c>
      <c r="E168" s="55" t="s">
        <v>153</v>
      </c>
      <c r="F168" s="58"/>
      <c r="G168" s="77">
        <v>1502</v>
      </c>
      <c r="H168" s="58"/>
      <c r="I168" s="69"/>
      <c r="J168" s="57"/>
      <c r="K168" s="57"/>
      <c r="L168" s="57"/>
      <c r="M168" s="57"/>
      <c r="N168" s="59"/>
      <c r="O168" s="71"/>
      <c r="P168" s="56"/>
      <c r="Q168" s="56"/>
      <c r="R168" s="56"/>
      <c r="S168" s="56"/>
      <c r="T168" s="60"/>
      <c r="U168" s="74"/>
      <c r="V168" s="55"/>
      <c r="W168" s="55"/>
      <c r="X168" s="55"/>
      <c r="Y168" s="55"/>
      <c r="Z168" s="55"/>
      <c r="AA168" s="55"/>
      <c r="AB168" s="55"/>
      <c r="AC168" s="55">
        <f>IF(COUNTIF($C$3:C168,C168)=1,1,IF(COUNTIF($E$3:E168,E168)=1,2,0))</f>
        <v>0</v>
      </c>
      <c r="AD168" s="55">
        <f>IF(ISNUMBER(SEARCH("-",Database[[#This Row],[KEYNOTE '#]])),LEFT(Database[[#This Row],[KEYNOTE '#]],FIND("-",Database[[#This Row],[KEYNOTE '#]])-1),Database[[#This Row],[KEYNOTE '#]])</f>
        <v>1502</v>
      </c>
      <c r="AE16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8" s="55" t="str">
        <f>IF(AND(ISNUMBER(SEARCH("-",Database[[#This Row],[KEYNOTE '#]]))=TRUE,ISNUMBER(--RIGHT(Database[[#This Row],[KEYNOTE '#]]))=FALSE),RIGHT(Database[[#This Row],[KEYNOTE '#]],1),"")</f>
        <v/>
      </c>
      <c r="AG168" s="55">
        <v>166</v>
      </c>
      <c r="AH168" s="55" t="str">
        <f>IF(COUNTIF(Database[[#This Row],[BASE]:[INT. OTHER]],"g"),"INTERIOR",IF(COUNTIF(Database[[#This Row],[ROOF]:[EXT. OTHER]],"n"),"EXTERIOR",Database[[#This Row],[DIVISION '#]]))</f>
        <v>ARCH NOTES</v>
      </c>
      <c r="AI168" s="55" t="str">
        <f>IF(OR(Database[[#This Row],[KEYTIER1]]="INTERIOR",Database[[#This Row],[KEYTIER1]]="EXTERIOR"),"",Database[[#This Row],[DIVISION NAME]])</f>
        <v>BY CATEGORY</v>
      </c>
      <c r="AJ168" s="55" t="str">
        <f>IF(Database[[#This Row],[KEYTIER1]]="INTERIOR","INT",IF(Database[[#This Row],[KEYTIER1]]="EXTERIOR","EXT",Database[[#This Row],[SECTION '#]]))</f>
        <v>TOILET ACCESSORIES</v>
      </c>
      <c r="AK168" s="55" t="str">
        <f>IF(OR(Database[[#This Row],[KEYTIER2]]="INT",Database[[#This Row],[KEYTIER2]]="EXT"),"",IF(Database[[#This Row],[SECTION NAME]]="","",Database[[#This Row],[SECTION NAME]]))</f>
        <v/>
      </c>
    </row>
    <row r="169" spans="2:37" ht="30" x14ac:dyDescent="0.25">
      <c r="B169" s="55" t="s">
        <v>71</v>
      </c>
      <c r="C169" s="55" t="s">
        <v>72</v>
      </c>
      <c r="D169" s="55" t="s">
        <v>73</v>
      </c>
      <c r="E169" s="55" t="s">
        <v>153</v>
      </c>
      <c r="F169" s="58"/>
      <c r="G169" s="77">
        <v>1503</v>
      </c>
      <c r="H169" s="58"/>
      <c r="I169" s="69"/>
      <c r="J169" s="57"/>
      <c r="K169" s="57"/>
      <c r="L169" s="57"/>
      <c r="M169" s="57"/>
      <c r="N169" s="59"/>
      <c r="O169" s="71"/>
      <c r="P169" s="56"/>
      <c r="Q169" s="56"/>
      <c r="R169" s="56"/>
      <c r="S169" s="56"/>
      <c r="T169" s="60"/>
      <c r="U169" s="74"/>
      <c r="V169" s="55"/>
      <c r="W169" s="55"/>
      <c r="X169" s="55"/>
      <c r="Y169" s="55"/>
      <c r="Z169" s="55"/>
      <c r="AA169" s="55"/>
      <c r="AB169" s="55"/>
      <c r="AC169" s="55">
        <f>IF(COUNTIF($C$3:C169,C169)=1,1,IF(COUNTIF($E$3:E169,E169)=1,2,0))</f>
        <v>0</v>
      </c>
      <c r="AD169" s="55">
        <f>IF(ISNUMBER(SEARCH("-",Database[[#This Row],[KEYNOTE '#]])),LEFT(Database[[#This Row],[KEYNOTE '#]],FIND("-",Database[[#This Row],[KEYNOTE '#]])-1),Database[[#This Row],[KEYNOTE '#]])</f>
        <v>1503</v>
      </c>
      <c r="AE16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69" s="55" t="str">
        <f>IF(AND(ISNUMBER(SEARCH("-",Database[[#This Row],[KEYNOTE '#]]))=TRUE,ISNUMBER(--RIGHT(Database[[#This Row],[KEYNOTE '#]]))=FALSE),RIGHT(Database[[#This Row],[KEYNOTE '#]],1),"")</f>
        <v/>
      </c>
      <c r="AG169" s="55">
        <v>167</v>
      </c>
      <c r="AH169" s="55" t="str">
        <f>IF(COUNTIF(Database[[#This Row],[BASE]:[INT. OTHER]],"g"),"INTERIOR",IF(COUNTIF(Database[[#This Row],[ROOF]:[EXT. OTHER]],"n"),"EXTERIOR",Database[[#This Row],[DIVISION '#]]))</f>
        <v>ARCH NOTES</v>
      </c>
      <c r="AI169" s="55" t="str">
        <f>IF(OR(Database[[#This Row],[KEYTIER1]]="INTERIOR",Database[[#This Row],[KEYTIER1]]="EXTERIOR"),"",Database[[#This Row],[DIVISION NAME]])</f>
        <v>BY CATEGORY</v>
      </c>
      <c r="AJ169" s="55" t="str">
        <f>IF(Database[[#This Row],[KEYTIER1]]="INTERIOR","INT",IF(Database[[#This Row],[KEYTIER1]]="EXTERIOR","EXT",Database[[#This Row],[SECTION '#]]))</f>
        <v>TOILET ACCESSORIES</v>
      </c>
      <c r="AK169" s="55" t="str">
        <f>IF(OR(Database[[#This Row],[KEYTIER2]]="INT",Database[[#This Row],[KEYTIER2]]="EXT"),"",IF(Database[[#This Row],[SECTION NAME]]="","",Database[[#This Row],[SECTION NAME]]))</f>
        <v/>
      </c>
    </row>
    <row r="170" spans="2:37" ht="30" x14ac:dyDescent="0.25">
      <c r="B170" s="55" t="s">
        <v>71</v>
      </c>
      <c r="C170" s="55" t="s">
        <v>72</v>
      </c>
      <c r="D170" s="55" t="s">
        <v>73</v>
      </c>
      <c r="E170" s="55" t="s">
        <v>157</v>
      </c>
      <c r="F170" s="58"/>
      <c r="G170" s="77">
        <v>1601</v>
      </c>
      <c r="H170" s="58"/>
      <c r="I170" s="69"/>
      <c r="J170" s="57"/>
      <c r="K170" s="57"/>
      <c r="L170" s="57"/>
      <c r="M170" s="57"/>
      <c r="N170" s="59"/>
      <c r="O170" s="71"/>
      <c r="P170" s="56"/>
      <c r="Q170" s="56"/>
      <c r="R170" s="56"/>
      <c r="S170" s="56"/>
      <c r="T170" s="60"/>
      <c r="U170" s="74"/>
      <c r="V170" s="55"/>
      <c r="W170" s="55"/>
      <c r="X170" s="55"/>
      <c r="Y170" s="55"/>
      <c r="Z170" s="55"/>
      <c r="AA170" s="55"/>
      <c r="AB170" s="55"/>
      <c r="AC170" s="55">
        <f>IF(COUNTIF($C$3:C170,C170)=1,1,IF(COUNTIF($E$3:E170,E170)=1,2,0))</f>
        <v>2</v>
      </c>
      <c r="AD170" s="55">
        <f>IF(ISNUMBER(SEARCH("-",Database[[#This Row],[KEYNOTE '#]])),LEFT(Database[[#This Row],[KEYNOTE '#]],FIND("-",Database[[#This Row],[KEYNOTE '#]])-1),Database[[#This Row],[KEYNOTE '#]])</f>
        <v>1601</v>
      </c>
      <c r="AE17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0" s="55" t="str">
        <f>IF(AND(ISNUMBER(SEARCH("-",Database[[#This Row],[KEYNOTE '#]]))=TRUE,ISNUMBER(--RIGHT(Database[[#This Row],[KEYNOTE '#]]))=FALSE),RIGHT(Database[[#This Row],[KEYNOTE '#]],1),"")</f>
        <v/>
      </c>
      <c r="AG170" s="55">
        <v>168</v>
      </c>
      <c r="AH170" s="55" t="str">
        <f>IF(COUNTIF(Database[[#This Row],[BASE]:[INT. OTHER]],"g"),"INTERIOR",IF(COUNTIF(Database[[#This Row],[ROOF]:[EXT. OTHER]],"n"),"EXTERIOR",Database[[#This Row],[DIVISION '#]]))</f>
        <v>ARCH NOTES</v>
      </c>
      <c r="AI170" s="55" t="str">
        <f>IF(OR(Database[[#This Row],[KEYTIER1]]="INTERIOR",Database[[#This Row],[KEYTIER1]]="EXTERIOR"),"",Database[[#This Row],[DIVISION NAME]])</f>
        <v>BY CATEGORY</v>
      </c>
      <c r="AJ170" s="55" t="str">
        <f>IF(Database[[#This Row],[KEYTIER1]]="INTERIOR","INT",IF(Database[[#This Row],[KEYTIER1]]="EXTERIOR","EXT",Database[[#This Row],[SECTION '#]]))</f>
        <v>WALLS</v>
      </c>
      <c r="AK170" s="55" t="str">
        <f>IF(OR(Database[[#This Row],[KEYTIER2]]="INT",Database[[#This Row],[KEYTIER2]]="EXT"),"",IF(Database[[#This Row],[SECTION NAME]]="","",Database[[#This Row],[SECTION NAME]]))</f>
        <v/>
      </c>
    </row>
    <row r="171" spans="2:37" ht="30" x14ac:dyDescent="0.25">
      <c r="B171" s="55" t="s">
        <v>71</v>
      </c>
      <c r="C171" s="55" t="s">
        <v>72</v>
      </c>
      <c r="D171" s="55" t="s">
        <v>73</v>
      </c>
      <c r="E171" s="55" t="s">
        <v>157</v>
      </c>
      <c r="F171" s="58"/>
      <c r="G171" s="77">
        <v>1602</v>
      </c>
      <c r="H171" s="58"/>
      <c r="I171" s="69"/>
      <c r="J171" s="57"/>
      <c r="K171" s="57"/>
      <c r="L171" s="57"/>
      <c r="M171" s="57"/>
      <c r="N171" s="59"/>
      <c r="O171" s="71"/>
      <c r="P171" s="56"/>
      <c r="Q171" s="56"/>
      <c r="R171" s="56"/>
      <c r="S171" s="56"/>
      <c r="T171" s="60"/>
      <c r="U171" s="74"/>
      <c r="V171" s="55"/>
      <c r="W171" s="55"/>
      <c r="X171" s="55"/>
      <c r="Y171" s="55"/>
      <c r="Z171" s="55"/>
      <c r="AA171" s="55"/>
      <c r="AB171" s="55"/>
      <c r="AC171" s="55">
        <f>IF(COUNTIF($C$3:C171,C171)=1,1,IF(COUNTIF($E$3:E171,E171)=1,2,0))</f>
        <v>0</v>
      </c>
      <c r="AD171" s="55">
        <f>IF(ISNUMBER(SEARCH("-",Database[[#This Row],[KEYNOTE '#]])),LEFT(Database[[#This Row],[KEYNOTE '#]],FIND("-",Database[[#This Row],[KEYNOTE '#]])-1),Database[[#This Row],[KEYNOTE '#]])</f>
        <v>1602</v>
      </c>
      <c r="AE17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1" s="55" t="str">
        <f>IF(AND(ISNUMBER(SEARCH("-",Database[[#This Row],[KEYNOTE '#]]))=TRUE,ISNUMBER(--RIGHT(Database[[#This Row],[KEYNOTE '#]]))=FALSE),RIGHT(Database[[#This Row],[KEYNOTE '#]],1),"")</f>
        <v/>
      </c>
      <c r="AG171" s="55">
        <v>169</v>
      </c>
      <c r="AH171" s="55" t="str">
        <f>IF(COUNTIF(Database[[#This Row],[BASE]:[INT. OTHER]],"g"),"INTERIOR",IF(COUNTIF(Database[[#This Row],[ROOF]:[EXT. OTHER]],"n"),"EXTERIOR",Database[[#This Row],[DIVISION '#]]))</f>
        <v>ARCH NOTES</v>
      </c>
      <c r="AI171" s="55" t="str">
        <f>IF(OR(Database[[#This Row],[KEYTIER1]]="INTERIOR",Database[[#This Row],[KEYTIER1]]="EXTERIOR"),"",Database[[#This Row],[DIVISION NAME]])</f>
        <v>BY CATEGORY</v>
      </c>
      <c r="AJ171" s="55" t="str">
        <f>IF(Database[[#This Row],[KEYTIER1]]="INTERIOR","INT",IF(Database[[#This Row],[KEYTIER1]]="EXTERIOR","EXT",Database[[#This Row],[SECTION '#]]))</f>
        <v>WALLS</v>
      </c>
      <c r="AK171" s="55" t="str">
        <f>IF(OR(Database[[#This Row],[KEYTIER2]]="INT",Database[[#This Row],[KEYTIER2]]="EXT"),"",IF(Database[[#This Row],[SECTION NAME]]="","",Database[[#This Row],[SECTION NAME]]))</f>
        <v/>
      </c>
    </row>
    <row r="172" spans="2:37" ht="30" x14ac:dyDescent="0.25">
      <c r="B172" s="55" t="s">
        <v>71</v>
      </c>
      <c r="C172" s="55" t="s">
        <v>72</v>
      </c>
      <c r="D172" s="55" t="s">
        <v>73</v>
      </c>
      <c r="E172" s="55" t="s">
        <v>157</v>
      </c>
      <c r="F172" s="58"/>
      <c r="G172" s="77">
        <v>1603</v>
      </c>
      <c r="H172" s="58"/>
      <c r="I172" s="69"/>
      <c r="J172" s="57"/>
      <c r="K172" s="57"/>
      <c r="L172" s="57"/>
      <c r="M172" s="57"/>
      <c r="N172" s="59"/>
      <c r="O172" s="71"/>
      <c r="P172" s="56"/>
      <c r="Q172" s="56"/>
      <c r="R172" s="56"/>
      <c r="S172" s="56"/>
      <c r="T172" s="60"/>
      <c r="U172" s="74"/>
      <c r="V172" s="55"/>
      <c r="W172" s="55"/>
      <c r="X172" s="55"/>
      <c r="Y172" s="55"/>
      <c r="Z172" s="55"/>
      <c r="AA172" s="55"/>
      <c r="AB172" s="55"/>
      <c r="AC172" s="55">
        <f>IF(COUNTIF($C$3:C172,C172)=1,1,IF(COUNTIF($E$3:E172,E172)=1,2,0))</f>
        <v>0</v>
      </c>
      <c r="AD172" s="55">
        <f>IF(ISNUMBER(SEARCH("-",Database[[#This Row],[KEYNOTE '#]])),LEFT(Database[[#This Row],[KEYNOTE '#]],FIND("-",Database[[#This Row],[KEYNOTE '#]])-1),Database[[#This Row],[KEYNOTE '#]])</f>
        <v>1603</v>
      </c>
      <c r="AE17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2" s="55" t="str">
        <f>IF(AND(ISNUMBER(SEARCH("-",Database[[#This Row],[KEYNOTE '#]]))=TRUE,ISNUMBER(--RIGHT(Database[[#This Row],[KEYNOTE '#]]))=FALSE),RIGHT(Database[[#This Row],[KEYNOTE '#]],1),"")</f>
        <v/>
      </c>
      <c r="AG172" s="55">
        <v>170</v>
      </c>
      <c r="AH172" s="55" t="str">
        <f>IF(COUNTIF(Database[[#This Row],[BASE]:[INT. OTHER]],"g"),"INTERIOR",IF(COUNTIF(Database[[#This Row],[ROOF]:[EXT. OTHER]],"n"),"EXTERIOR",Database[[#This Row],[DIVISION '#]]))</f>
        <v>ARCH NOTES</v>
      </c>
      <c r="AI172" s="55" t="str">
        <f>IF(OR(Database[[#This Row],[KEYTIER1]]="INTERIOR",Database[[#This Row],[KEYTIER1]]="EXTERIOR"),"",Database[[#This Row],[DIVISION NAME]])</f>
        <v>BY CATEGORY</v>
      </c>
      <c r="AJ172" s="55" t="str">
        <f>IF(Database[[#This Row],[KEYTIER1]]="INTERIOR","INT",IF(Database[[#This Row],[KEYTIER1]]="EXTERIOR","EXT",Database[[#This Row],[SECTION '#]]))</f>
        <v>WALLS</v>
      </c>
      <c r="AK172" s="55" t="str">
        <f>IF(OR(Database[[#This Row],[KEYTIER2]]="INT",Database[[#This Row],[KEYTIER2]]="EXT"),"",IF(Database[[#This Row],[SECTION NAME]]="","",Database[[#This Row],[SECTION NAME]]))</f>
        <v/>
      </c>
    </row>
    <row r="173" spans="2:37" ht="30" x14ac:dyDescent="0.25">
      <c r="B173" s="55" t="s">
        <v>71</v>
      </c>
      <c r="C173" s="55" t="s">
        <v>72</v>
      </c>
      <c r="D173" s="55" t="s">
        <v>73</v>
      </c>
      <c r="E173" s="55" t="s">
        <v>161</v>
      </c>
      <c r="F173" s="58"/>
      <c r="G173" s="77">
        <v>1701</v>
      </c>
      <c r="H173" s="58"/>
      <c r="I173" s="69"/>
      <c r="J173" s="57"/>
      <c r="K173" s="57"/>
      <c r="L173" s="57"/>
      <c r="M173" s="57"/>
      <c r="N173" s="59"/>
      <c r="O173" s="71"/>
      <c r="P173" s="56"/>
      <c r="Q173" s="56"/>
      <c r="R173" s="56"/>
      <c r="S173" s="56"/>
      <c r="T173" s="60"/>
      <c r="U173" s="74"/>
      <c r="V173" s="55"/>
      <c r="W173" s="55"/>
      <c r="X173" s="55"/>
      <c r="Y173" s="55"/>
      <c r="Z173" s="55"/>
      <c r="AA173" s="55"/>
      <c r="AB173" s="55"/>
      <c r="AC173" s="55">
        <f>IF(COUNTIF($C$3:C173,C173)=1,1,IF(COUNTIF($E$3:E173,E173)=1,2,0))</f>
        <v>2</v>
      </c>
      <c r="AD173" s="55">
        <f>IF(ISNUMBER(SEARCH("-",Database[[#This Row],[KEYNOTE '#]])),LEFT(Database[[#This Row],[KEYNOTE '#]],FIND("-",Database[[#This Row],[KEYNOTE '#]])-1),Database[[#This Row],[KEYNOTE '#]])</f>
        <v>1701</v>
      </c>
      <c r="AE17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3" s="55" t="str">
        <f>IF(AND(ISNUMBER(SEARCH("-",Database[[#This Row],[KEYNOTE '#]]))=TRUE,ISNUMBER(--RIGHT(Database[[#This Row],[KEYNOTE '#]]))=FALSE),RIGHT(Database[[#This Row],[KEYNOTE '#]],1),"")</f>
        <v/>
      </c>
      <c r="AG173" s="55">
        <v>171</v>
      </c>
      <c r="AH173" s="55" t="str">
        <f>IF(COUNTIF(Database[[#This Row],[BASE]:[INT. OTHER]],"g"),"INTERIOR",IF(COUNTIF(Database[[#This Row],[ROOF]:[EXT. OTHER]],"n"),"EXTERIOR",Database[[#This Row],[DIVISION '#]]))</f>
        <v>ARCH NOTES</v>
      </c>
      <c r="AI173" s="55" t="str">
        <f>IF(OR(Database[[#This Row],[KEYTIER1]]="INTERIOR",Database[[#This Row],[KEYTIER1]]="EXTERIOR"),"",Database[[#This Row],[DIVISION NAME]])</f>
        <v>BY CATEGORY</v>
      </c>
      <c r="AJ173" s="55" t="str">
        <f>IF(Database[[#This Row],[KEYTIER1]]="INTERIOR","INT",IF(Database[[#This Row],[KEYTIER1]]="EXTERIOR","EXT",Database[[#This Row],[SECTION '#]]))</f>
        <v>WINDOWS</v>
      </c>
      <c r="AK173" s="55" t="str">
        <f>IF(OR(Database[[#This Row],[KEYTIER2]]="INT",Database[[#This Row],[KEYTIER2]]="EXT"),"",IF(Database[[#This Row],[SECTION NAME]]="","",Database[[#This Row],[SECTION NAME]]))</f>
        <v/>
      </c>
    </row>
    <row r="174" spans="2:37" ht="30" x14ac:dyDescent="0.25">
      <c r="B174" s="55" t="s">
        <v>71</v>
      </c>
      <c r="C174" s="55" t="s">
        <v>72</v>
      </c>
      <c r="D174" s="55" t="s">
        <v>73</v>
      </c>
      <c r="E174" s="55" t="s">
        <v>161</v>
      </c>
      <c r="F174" s="58"/>
      <c r="G174" s="77">
        <v>1702</v>
      </c>
      <c r="H174" s="58"/>
      <c r="I174" s="69"/>
      <c r="J174" s="57"/>
      <c r="K174" s="57"/>
      <c r="L174" s="57"/>
      <c r="M174" s="57"/>
      <c r="N174" s="59"/>
      <c r="O174" s="71"/>
      <c r="P174" s="56"/>
      <c r="Q174" s="56"/>
      <c r="R174" s="56"/>
      <c r="S174" s="56"/>
      <c r="T174" s="60"/>
      <c r="U174" s="74"/>
      <c r="V174" s="55"/>
      <c r="W174" s="55"/>
      <c r="X174" s="55"/>
      <c r="Y174" s="55"/>
      <c r="Z174" s="55"/>
      <c r="AA174" s="55"/>
      <c r="AB174" s="55"/>
      <c r="AC174" s="55">
        <f>IF(COUNTIF($C$3:C174,C174)=1,1,IF(COUNTIF($E$3:E174,E174)=1,2,0))</f>
        <v>0</v>
      </c>
      <c r="AD174" s="55">
        <f>IF(ISNUMBER(SEARCH("-",Database[[#This Row],[KEYNOTE '#]])),LEFT(Database[[#This Row],[KEYNOTE '#]],FIND("-",Database[[#This Row],[KEYNOTE '#]])-1),Database[[#This Row],[KEYNOTE '#]])</f>
        <v>1702</v>
      </c>
      <c r="AE17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4" s="55" t="str">
        <f>IF(AND(ISNUMBER(SEARCH("-",Database[[#This Row],[KEYNOTE '#]]))=TRUE,ISNUMBER(--RIGHT(Database[[#This Row],[KEYNOTE '#]]))=FALSE),RIGHT(Database[[#This Row],[KEYNOTE '#]],1),"")</f>
        <v/>
      </c>
      <c r="AG174" s="55">
        <v>172</v>
      </c>
      <c r="AH174" s="55" t="str">
        <f>IF(COUNTIF(Database[[#This Row],[BASE]:[INT. OTHER]],"g"),"INTERIOR",IF(COUNTIF(Database[[#This Row],[ROOF]:[EXT. OTHER]],"n"),"EXTERIOR",Database[[#This Row],[DIVISION '#]]))</f>
        <v>ARCH NOTES</v>
      </c>
      <c r="AI174" s="55" t="str">
        <f>IF(OR(Database[[#This Row],[KEYTIER1]]="INTERIOR",Database[[#This Row],[KEYTIER1]]="EXTERIOR"),"",Database[[#This Row],[DIVISION NAME]])</f>
        <v>BY CATEGORY</v>
      </c>
      <c r="AJ174" s="55" t="str">
        <f>IF(Database[[#This Row],[KEYTIER1]]="INTERIOR","INT",IF(Database[[#This Row],[KEYTIER1]]="EXTERIOR","EXT",Database[[#This Row],[SECTION '#]]))</f>
        <v>WINDOWS</v>
      </c>
      <c r="AK174" s="55" t="str">
        <f>IF(OR(Database[[#This Row],[KEYTIER2]]="INT",Database[[#This Row],[KEYTIER2]]="EXT"),"",IF(Database[[#This Row],[SECTION NAME]]="","",Database[[#This Row],[SECTION NAME]]))</f>
        <v/>
      </c>
    </row>
    <row r="175" spans="2:37" ht="30" x14ac:dyDescent="0.25">
      <c r="B175" s="55" t="s">
        <v>71</v>
      </c>
      <c r="C175" s="55" t="s">
        <v>72</v>
      </c>
      <c r="D175" s="55" t="s">
        <v>73</v>
      </c>
      <c r="E175" s="55" t="s">
        <v>161</v>
      </c>
      <c r="F175" s="58"/>
      <c r="G175" s="77">
        <v>1703</v>
      </c>
      <c r="H175" s="58"/>
      <c r="I175" s="69"/>
      <c r="J175" s="57"/>
      <c r="K175" s="57"/>
      <c r="L175" s="57"/>
      <c r="M175" s="57"/>
      <c r="N175" s="59"/>
      <c r="O175" s="71"/>
      <c r="P175" s="56"/>
      <c r="Q175" s="56"/>
      <c r="R175" s="56"/>
      <c r="S175" s="56"/>
      <c r="T175" s="60"/>
      <c r="U175" s="74"/>
      <c r="V175" s="55"/>
      <c r="W175" s="55"/>
      <c r="X175" s="55"/>
      <c r="Y175" s="55"/>
      <c r="Z175" s="55"/>
      <c r="AA175" s="55"/>
      <c r="AB175" s="55"/>
      <c r="AC175" s="55">
        <f>IF(COUNTIF($C$3:C175,C175)=1,1,IF(COUNTIF($E$3:E175,E175)=1,2,0))</f>
        <v>0</v>
      </c>
      <c r="AD175" s="55">
        <f>IF(ISNUMBER(SEARCH("-",Database[[#This Row],[KEYNOTE '#]])),LEFT(Database[[#This Row],[KEYNOTE '#]],FIND("-",Database[[#This Row],[KEYNOTE '#]])-1),Database[[#This Row],[KEYNOTE '#]])</f>
        <v>1703</v>
      </c>
      <c r="AE17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5" s="55" t="str">
        <f>IF(AND(ISNUMBER(SEARCH("-",Database[[#This Row],[KEYNOTE '#]]))=TRUE,ISNUMBER(--RIGHT(Database[[#This Row],[KEYNOTE '#]]))=FALSE),RIGHT(Database[[#This Row],[KEYNOTE '#]],1),"")</f>
        <v/>
      </c>
      <c r="AG175" s="55">
        <v>173</v>
      </c>
      <c r="AH175" s="55" t="str">
        <f>IF(COUNTIF(Database[[#This Row],[BASE]:[INT. OTHER]],"g"),"INTERIOR",IF(COUNTIF(Database[[#This Row],[ROOF]:[EXT. OTHER]],"n"),"EXTERIOR",Database[[#This Row],[DIVISION '#]]))</f>
        <v>ARCH NOTES</v>
      </c>
      <c r="AI175" s="55" t="str">
        <f>IF(OR(Database[[#This Row],[KEYTIER1]]="INTERIOR",Database[[#This Row],[KEYTIER1]]="EXTERIOR"),"",Database[[#This Row],[DIVISION NAME]])</f>
        <v>BY CATEGORY</v>
      </c>
      <c r="AJ175" s="55" t="str">
        <f>IF(Database[[#This Row],[KEYTIER1]]="INTERIOR","INT",IF(Database[[#This Row],[KEYTIER1]]="EXTERIOR","EXT",Database[[#This Row],[SECTION '#]]))</f>
        <v>WINDOWS</v>
      </c>
      <c r="AK175" s="55" t="str">
        <f>IF(OR(Database[[#This Row],[KEYTIER2]]="INT",Database[[#This Row],[KEYTIER2]]="EXT"),"",IF(Database[[#This Row],[SECTION NAME]]="","",Database[[#This Row],[SECTION NAME]]))</f>
        <v/>
      </c>
    </row>
    <row r="176" spans="2:37" ht="30" x14ac:dyDescent="0.25">
      <c r="B176" s="55" t="s">
        <v>71</v>
      </c>
      <c r="C176" s="55" t="s">
        <v>165</v>
      </c>
      <c r="D176" s="55" t="s">
        <v>73</v>
      </c>
      <c r="E176" s="55" t="s">
        <v>166</v>
      </c>
      <c r="F176" s="58"/>
      <c r="G176" s="77">
        <v>5101</v>
      </c>
      <c r="H176" s="58"/>
      <c r="I176" s="69"/>
      <c r="J176" s="57"/>
      <c r="K176" s="57"/>
      <c r="L176" s="57"/>
      <c r="M176" s="57"/>
      <c r="N176" s="59"/>
      <c r="O176" s="71"/>
      <c r="P176" s="56"/>
      <c r="Q176" s="56"/>
      <c r="R176" s="56"/>
      <c r="S176" s="56"/>
      <c r="T176" s="60"/>
      <c r="U176" s="74"/>
      <c r="V176" s="55"/>
      <c r="W176" s="55"/>
      <c r="X176" s="55"/>
      <c r="Y176" s="55"/>
      <c r="Z176" s="55"/>
      <c r="AA176" s="55"/>
      <c r="AB176" s="55"/>
      <c r="AC176" s="55">
        <f>IF(COUNTIF($C$3:C176,C176)=1,1,IF(COUNTIF($E$3:E176,E176)=1,2,0))</f>
        <v>1</v>
      </c>
      <c r="AD176" s="55">
        <f>IF(ISNUMBER(SEARCH("-",Database[[#This Row],[KEYNOTE '#]])),LEFT(Database[[#This Row],[KEYNOTE '#]],FIND("-",Database[[#This Row],[KEYNOTE '#]])-1),Database[[#This Row],[KEYNOTE '#]])</f>
        <v>5101</v>
      </c>
      <c r="AE17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6" s="55" t="str">
        <f>IF(AND(ISNUMBER(SEARCH("-",Database[[#This Row],[KEYNOTE '#]]))=TRUE,ISNUMBER(--RIGHT(Database[[#This Row],[KEYNOTE '#]]))=FALSE),RIGHT(Database[[#This Row],[KEYNOTE '#]],1),"")</f>
        <v/>
      </c>
      <c r="AG176" s="55">
        <v>174</v>
      </c>
      <c r="AH176" s="55" t="str">
        <f>IF(COUNTIF(Database[[#This Row],[BASE]:[INT. OTHER]],"g"),"INTERIOR",IF(COUNTIF(Database[[#This Row],[ROOF]:[EXT. OTHER]],"n"),"EXTERIOR",Database[[#This Row],[DIVISION '#]]))</f>
        <v>SYSTEM NOTES</v>
      </c>
      <c r="AI176" s="55" t="str">
        <f>IF(OR(Database[[#This Row],[KEYTIER1]]="INTERIOR",Database[[#This Row],[KEYTIER1]]="EXTERIOR"),"",Database[[#This Row],[DIVISION NAME]])</f>
        <v>BY CATEGORY</v>
      </c>
      <c r="AJ176" s="55" t="str">
        <f>IF(Database[[#This Row],[KEYTIER1]]="INTERIOR","INT",IF(Database[[#This Row],[KEYTIER1]]="EXTERIOR","EXT",Database[[#This Row],[SECTION '#]]))</f>
        <v>AV</v>
      </c>
      <c r="AK176" s="55" t="str">
        <f>IF(OR(Database[[#This Row],[KEYTIER2]]="INT",Database[[#This Row],[KEYTIER2]]="EXT"),"",IF(Database[[#This Row],[SECTION NAME]]="","",Database[[#This Row],[SECTION NAME]]))</f>
        <v/>
      </c>
    </row>
    <row r="177" spans="2:37" ht="30" x14ac:dyDescent="0.25">
      <c r="B177" s="55" t="s">
        <v>71</v>
      </c>
      <c r="C177" s="55" t="s">
        <v>165</v>
      </c>
      <c r="D177" s="55" t="s">
        <v>73</v>
      </c>
      <c r="E177" s="55" t="s">
        <v>166</v>
      </c>
      <c r="F177" s="58"/>
      <c r="G177" s="77">
        <v>5102</v>
      </c>
      <c r="H177" s="58"/>
      <c r="I177" s="69"/>
      <c r="J177" s="57"/>
      <c r="K177" s="57"/>
      <c r="L177" s="57"/>
      <c r="M177" s="57"/>
      <c r="N177" s="59"/>
      <c r="O177" s="71"/>
      <c r="P177" s="56"/>
      <c r="Q177" s="56"/>
      <c r="R177" s="56"/>
      <c r="S177" s="56"/>
      <c r="T177" s="60"/>
      <c r="U177" s="74"/>
      <c r="V177" s="55"/>
      <c r="W177" s="55"/>
      <c r="X177" s="55"/>
      <c r="Y177" s="55"/>
      <c r="Z177" s="55"/>
      <c r="AA177" s="55"/>
      <c r="AB177" s="55"/>
      <c r="AC177" s="55">
        <f>IF(COUNTIF($C$3:C177,C177)=1,1,IF(COUNTIF($E$3:E177,E177)=1,2,0))</f>
        <v>0</v>
      </c>
      <c r="AD177" s="55">
        <f>IF(ISNUMBER(SEARCH("-",Database[[#This Row],[KEYNOTE '#]])),LEFT(Database[[#This Row],[KEYNOTE '#]],FIND("-",Database[[#This Row],[KEYNOTE '#]])-1),Database[[#This Row],[KEYNOTE '#]])</f>
        <v>5102</v>
      </c>
      <c r="AE17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7" s="55" t="str">
        <f>IF(AND(ISNUMBER(SEARCH("-",Database[[#This Row],[KEYNOTE '#]]))=TRUE,ISNUMBER(--RIGHT(Database[[#This Row],[KEYNOTE '#]]))=FALSE),RIGHT(Database[[#This Row],[KEYNOTE '#]],1),"")</f>
        <v/>
      </c>
      <c r="AG177" s="55">
        <v>175</v>
      </c>
      <c r="AH177" s="55" t="str">
        <f>IF(COUNTIF(Database[[#This Row],[BASE]:[INT. OTHER]],"g"),"INTERIOR",IF(COUNTIF(Database[[#This Row],[ROOF]:[EXT. OTHER]],"n"),"EXTERIOR",Database[[#This Row],[DIVISION '#]]))</f>
        <v>SYSTEM NOTES</v>
      </c>
      <c r="AI177" s="55" t="str">
        <f>IF(OR(Database[[#This Row],[KEYTIER1]]="INTERIOR",Database[[#This Row],[KEYTIER1]]="EXTERIOR"),"",Database[[#This Row],[DIVISION NAME]])</f>
        <v>BY CATEGORY</v>
      </c>
      <c r="AJ177" s="55" t="str">
        <f>IF(Database[[#This Row],[KEYTIER1]]="INTERIOR","INT",IF(Database[[#This Row],[KEYTIER1]]="EXTERIOR","EXT",Database[[#This Row],[SECTION '#]]))</f>
        <v>AV</v>
      </c>
      <c r="AK177" s="55" t="str">
        <f>IF(OR(Database[[#This Row],[KEYTIER2]]="INT",Database[[#This Row],[KEYTIER2]]="EXT"),"",IF(Database[[#This Row],[SECTION NAME]]="","",Database[[#This Row],[SECTION NAME]]))</f>
        <v/>
      </c>
    </row>
    <row r="178" spans="2:37" ht="30" x14ac:dyDescent="0.25">
      <c r="B178" s="55" t="s">
        <v>71</v>
      </c>
      <c r="C178" s="55" t="s">
        <v>165</v>
      </c>
      <c r="D178" s="55" t="s">
        <v>73</v>
      </c>
      <c r="E178" s="55" t="s">
        <v>166</v>
      </c>
      <c r="F178" s="58"/>
      <c r="G178" s="77">
        <v>5103</v>
      </c>
      <c r="H178" s="58"/>
      <c r="I178" s="69"/>
      <c r="J178" s="57"/>
      <c r="K178" s="57"/>
      <c r="L178" s="57"/>
      <c r="M178" s="57"/>
      <c r="N178" s="59"/>
      <c r="O178" s="71"/>
      <c r="P178" s="56"/>
      <c r="Q178" s="56"/>
      <c r="R178" s="56"/>
      <c r="S178" s="56"/>
      <c r="T178" s="60"/>
      <c r="U178" s="74"/>
      <c r="V178" s="55"/>
      <c r="W178" s="55"/>
      <c r="X178" s="55"/>
      <c r="Y178" s="55"/>
      <c r="Z178" s="55"/>
      <c r="AA178" s="55"/>
      <c r="AB178" s="55"/>
      <c r="AC178" s="55">
        <f>IF(COUNTIF($C$3:C178,C178)=1,1,IF(COUNTIF($E$3:E178,E178)=1,2,0))</f>
        <v>0</v>
      </c>
      <c r="AD178" s="55">
        <f>IF(ISNUMBER(SEARCH("-",Database[[#This Row],[KEYNOTE '#]])),LEFT(Database[[#This Row],[KEYNOTE '#]],FIND("-",Database[[#This Row],[KEYNOTE '#]])-1),Database[[#This Row],[KEYNOTE '#]])</f>
        <v>5103</v>
      </c>
      <c r="AE17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8" s="55" t="str">
        <f>IF(AND(ISNUMBER(SEARCH("-",Database[[#This Row],[KEYNOTE '#]]))=TRUE,ISNUMBER(--RIGHT(Database[[#This Row],[KEYNOTE '#]]))=FALSE),RIGHT(Database[[#This Row],[KEYNOTE '#]],1),"")</f>
        <v/>
      </c>
      <c r="AG178" s="55">
        <v>176</v>
      </c>
      <c r="AH178" s="55" t="str">
        <f>IF(COUNTIF(Database[[#This Row],[BASE]:[INT. OTHER]],"g"),"INTERIOR",IF(COUNTIF(Database[[#This Row],[ROOF]:[EXT. OTHER]],"n"),"EXTERIOR",Database[[#This Row],[DIVISION '#]]))</f>
        <v>SYSTEM NOTES</v>
      </c>
      <c r="AI178" s="55" t="str">
        <f>IF(OR(Database[[#This Row],[KEYTIER1]]="INTERIOR",Database[[#This Row],[KEYTIER1]]="EXTERIOR"),"",Database[[#This Row],[DIVISION NAME]])</f>
        <v>BY CATEGORY</v>
      </c>
      <c r="AJ178" s="55" t="str">
        <f>IF(Database[[#This Row],[KEYTIER1]]="INTERIOR","INT",IF(Database[[#This Row],[KEYTIER1]]="EXTERIOR","EXT",Database[[#This Row],[SECTION '#]]))</f>
        <v>AV</v>
      </c>
      <c r="AK178" s="55" t="str">
        <f>IF(OR(Database[[#This Row],[KEYTIER2]]="INT",Database[[#This Row],[KEYTIER2]]="EXT"),"",IF(Database[[#This Row],[SECTION NAME]]="","",Database[[#This Row],[SECTION NAME]]))</f>
        <v/>
      </c>
    </row>
    <row r="179" spans="2:37" ht="30" x14ac:dyDescent="0.25">
      <c r="B179" s="55" t="s">
        <v>71</v>
      </c>
      <c r="C179" s="55" t="s">
        <v>165</v>
      </c>
      <c r="D179" s="55" t="s">
        <v>73</v>
      </c>
      <c r="E179" s="55" t="s">
        <v>170</v>
      </c>
      <c r="F179" s="58"/>
      <c r="G179" s="77">
        <v>5201</v>
      </c>
      <c r="H179" s="58"/>
      <c r="I179" s="69"/>
      <c r="J179" s="57"/>
      <c r="K179" s="57"/>
      <c r="L179" s="57"/>
      <c r="M179" s="57"/>
      <c r="N179" s="59"/>
      <c r="O179" s="71"/>
      <c r="P179" s="56"/>
      <c r="Q179" s="56"/>
      <c r="R179" s="56"/>
      <c r="S179" s="56"/>
      <c r="T179" s="60"/>
      <c r="U179" s="74"/>
      <c r="V179" s="55"/>
      <c r="W179" s="55"/>
      <c r="X179" s="55"/>
      <c r="Y179" s="55"/>
      <c r="Z179" s="55"/>
      <c r="AA179" s="55"/>
      <c r="AB179" s="55"/>
      <c r="AC179" s="55">
        <f>IF(COUNTIF($C$3:C179,C179)=1,1,IF(COUNTIF($E$3:E179,E179)=1,2,0))</f>
        <v>2</v>
      </c>
      <c r="AD179" s="55">
        <f>IF(ISNUMBER(SEARCH("-",Database[[#This Row],[KEYNOTE '#]])),LEFT(Database[[#This Row],[KEYNOTE '#]],FIND("-",Database[[#This Row],[KEYNOTE '#]])-1),Database[[#This Row],[KEYNOTE '#]])</f>
        <v>5201</v>
      </c>
      <c r="AE17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79" s="55" t="str">
        <f>IF(AND(ISNUMBER(SEARCH("-",Database[[#This Row],[KEYNOTE '#]]))=TRUE,ISNUMBER(--RIGHT(Database[[#This Row],[KEYNOTE '#]]))=FALSE),RIGHT(Database[[#This Row],[KEYNOTE '#]],1),"")</f>
        <v/>
      </c>
      <c r="AG179" s="55">
        <v>177</v>
      </c>
      <c r="AH179" s="55" t="str">
        <f>IF(COUNTIF(Database[[#This Row],[BASE]:[INT. OTHER]],"g"),"INTERIOR",IF(COUNTIF(Database[[#This Row],[ROOF]:[EXT. OTHER]],"n"),"EXTERIOR",Database[[#This Row],[DIVISION '#]]))</f>
        <v>SYSTEM NOTES</v>
      </c>
      <c r="AI179" s="55" t="str">
        <f>IF(OR(Database[[#This Row],[KEYTIER1]]="INTERIOR",Database[[#This Row],[KEYTIER1]]="EXTERIOR"),"",Database[[#This Row],[DIVISION NAME]])</f>
        <v>BY CATEGORY</v>
      </c>
      <c r="AJ179" s="55" t="str">
        <f>IF(Database[[#This Row],[KEYTIER1]]="INTERIOR","INT",IF(Database[[#This Row],[KEYTIER1]]="EXTERIOR","EXT",Database[[#This Row],[SECTION '#]]))</f>
        <v>COMM</v>
      </c>
      <c r="AK179" s="55" t="str">
        <f>IF(OR(Database[[#This Row],[KEYTIER2]]="INT",Database[[#This Row],[KEYTIER2]]="EXT"),"",IF(Database[[#This Row],[SECTION NAME]]="","",Database[[#This Row],[SECTION NAME]]))</f>
        <v/>
      </c>
    </row>
    <row r="180" spans="2:37" ht="30" x14ac:dyDescent="0.25">
      <c r="B180" s="55" t="s">
        <v>71</v>
      </c>
      <c r="C180" s="55" t="s">
        <v>165</v>
      </c>
      <c r="D180" s="55" t="s">
        <v>73</v>
      </c>
      <c r="E180" s="55" t="s">
        <v>170</v>
      </c>
      <c r="F180" s="58"/>
      <c r="G180" s="77">
        <v>5202</v>
      </c>
      <c r="H180" s="58"/>
      <c r="I180" s="69"/>
      <c r="J180" s="57"/>
      <c r="K180" s="57"/>
      <c r="L180" s="57"/>
      <c r="M180" s="57"/>
      <c r="N180" s="59"/>
      <c r="O180" s="71"/>
      <c r="P180" s="56"/>
      <c r="Q180" s="56"/>
      <c r="R180" s="56"/>
      <c r="S180" s="56"/>
      <c r="T180" s="60"/>
      <c r="U180" s="74"/>
      <c r="V180" s="55"/>
      <c r="W180" s="55"/>
      <c r="X180" s="55"/>
      <c r="Y180" s="55"/>
      <c r="Z180" s="55"/>
      <c r="AA180" s="55"/>
      <c r="AB180" s="55"/>
      <c r="AC180" s="55">
        <f>IF(COUNTIF($C$3:C180,C180)=1,1,IF(COUNTIF($E$3:E180,E180)=1,2,0))</f>
        <v>0</v>
      </c>
      <c r="AD180" s="55">
        <f>IF(ISNUMBER(SEARCH("-",Database[[#This Row],[KEYNOTE '#]])),LEFT(Database[[#This Row],[KEYNOTE '#]],FIND("-",Database[[#This Row],[KEYNOTE '#]])-1),Database[[#This Row],[KEYNOTE '#]])</f>
        <v>5202</v>
      </c>
      <c r="AE18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0" s="55" t="str">
        <f>IF(AND(ISNUMBER(SEARCH("-",Database[[#This Row],[KEYNOTE '#]]))=TRUE,ISNUMBER(--RIGHT(Database[[#This Row],[KEYNOTE '#]]))=FALSE),RIGHT(Database[[#This Row],[KEYNOTE '#]],1),"")</f>
        <v/>
      </c>
      <c r="AG180" s="55">
        <v>178</v>
      </c>
      <c r="AH180" s="55" t="str">
        <f>IF(COUNTIF(Database[[#This Row],[BASE]:[INT. OTHER]],"g"),"INTERIOR",IF(COUNTIF(Database[[#This Row],[ROOF]:[EXT. OTHER]],"n"),"EXTERIOR",Database[[#This Row],[DIVISION '#]]))</f>
        <v>SYSTEM NOTES</v>
      </c>
      <c r="AI180" s="55" t="str">
        <f>IF(OR(Database[[#This Row],[KEYTIER1]]="INTERIOR",Database[[#This Row],[KEYTIER1]]="EXTERIOR"),"",Database[[#This Row],[DIVISION NAME]])</f>
        <v>BY CATEGORY</v>
      </c>
      <c r="AJ180" s="55" t="str">
        <f>IF(Database[[#This Row],[KEYTIER1]]="INTERIOR","INT",IF(Database[[#This Row],[KEYTIER1]]="EXTERIOR","EXT",Database[[#This Row],[SECTION '#]]))</f>
        <v>COMM</v>
      </c>
      <c r="AK180" s="55" t="str">
        <f>IF(OR(Database[[#This Row],[KEYTIER2]]="INT",Database[[#This Row],[KEYTIER2]]="EXT"),"",IF(Database[[#This Row],[SECTION NAME]]="","",Database[[#This Row],[SECTION NAME]]))</f>
        <v/>
      </c>
    </row>
    <row r="181" spans="2:37" ht="30" x14ac:dyDescent="0.25">
      <c r="B181" s="55" t="s">
        <v>71</v>
      </c>
      <c r="C181" s="55" t="s">
        <v>165</v>
      </c>
      <c r="D181" s="55" t="s">
        <v>73</v>
      </c>
      <c r="E181" s="55" t="s">
        <v>170</v>
      </c>
      <c r="F181" s="58"/>
      <c r="G181" s="77">
        <v>5203</v>
      </c>
      <c r="H181" s="58"/>
      <c r="I181" s="69"/>
      <c r="J181" s="57"/>
      <c r="K181" s="57"/>
      <c r="L181" s="57"/>
      <c r="M181" s="57"/>
      <c r="N181" s="59"/>
      <c r="O181" s="71"/>
      <c r="P181" s="56"/>
      <c r="Q181" s="56"/>
      <c r="R181" s="56"/>
      <c r="S181" s="56"/>
      <c r="T181" s="60"/>
      <c r="U181" s="74"/>
      <c r="V181" s="55"/>
      <c r="W181" s="55"/>
      <c r="X181" s="55"/>
      <c r="Y181" s="55"/>
      <c r="Z181" s="55"/>
      <c r="AA181" s="55"/>
      <c r="AB181" s="55"/>
      <c r="AC181" s="55">
        <f>IF(COUNTIF($C$3:C181,C181)=1,1,IF(COUNTIF($E$3:E181,E181)=1,2,0))</f>
        <v>0</v>
      </c>
      <c r="AD181" s="55">
        <f>IF(ISNUMBER(SEARCH("-",Database[[#This Row],[KEYNOTE '#]])),LEFT(Database[[#This Row],[KEYNOTE '#]],FIND("-",Database[[#This Row],[KEYNOTE '#]])-1),Database[[#This Row],[KEYNOTE '#]])</f>
        <v>5203</v>
      </c>
      <c r="AE18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1" s="55" t="str">
        <f>IF(AND(ISNUMBER(SEARCH("-",Database[[#This Row],[KEYNOTE '#]]))=TRUE,ISNUMBER(--RIGHT(Database[[#This Row],[KEYNOTE '#]]))=FALSE),RIGHT(Database[[#This Row],[KEYNOTE '#]],1),"")</f>
        <v/>
      </c>
      <c r="AG181" s="55">
        <v>179</v>
      </c>
      <c r="AH181" s="55" t="str">
        <f>IF(COUNTIF(Database[[#This Row],[BASE]:[INT. OTHER]],"g"),"INTERIOR",IF(COUNTIF(Database[[#This Row],[ROOF]:[EXT. OTHER]],"n"),"EXTERIOR",Database[[#This Row],[DIVISION '#]]))</f>
        <v>SYSTEM NOTES</v>
      </c>
      <c r="AI181" s="55" t="str">
        <f>IF(OR(Database[[#This Row],[KEYTIER1]]="INTERIOR",Database[[#This Row],[KEYTIER1]]="EXTERIOR"),"",Database[[#This Row],[DIVISION NAME]])</f>
        <v>BY CATEGORY</v>
      </c>
      <c r="AJ181" s="55" t="str">
        <f>IF(Database[[#This Row],[KEYTIER1]]="INTERIOR","INT",IF(Database[[#This Row],[KEYTIER1]]="EXTERIOR","EXT",Database[[#This Row],[SECTION '#]]))</f>
        <v>COMM</v>
      </c>
      <c r="AK181" s="55" t="str">
        <f>IF(OR(Database[[#This Row],[KEYTIER2]]="INT",Database[[#This Row],[KEYTIER2]]="EXT"),"",IF(Database[[#This Row],[SECTION NAME]]="","",Database[[#This Row],[SECTION NAME]]))</f>
        <v/>
      </c>
    </row>
    <row r="182" spans="2:37" ht="30" x14ac:dyDescent="0.25">
      <c r="B182" s="55" t="s">
        <v>71</v>
      </c>
      <c r="C182" s="55" t="s">
        <v>165</v>
      </c>
      <c r="D182" s="55" t="s">
        <v>73</v>
      </c>
      <c r="E182" s="55" t="s">
        <v>174</v>
      </c>
      <c r="F182" s="58"/>
      <c r="G182" s="77">
        <v>5301</v>
      </c>
      <c r="H182" s="58"/>
      <c r="I182" s="69"/>
      <c r="J182" s="57"/>
      <c r="K182" s="57"/>
      <c r="L182" s="57"/>
      <c r="M182" s="57"/>
      <c r="N182" s="59"/>
      <c r="O182" s="71"/>
      <c r="P182" s="56"/>
      <c r="Q182" s="56"/>
      <c r="R182" s="56"/>
      <c r="S182" s="56"/>
      <c r="T182" s="60"/>
      <c r="U182" s="74"/>
      <c r="V182" s="55"/>
      <c r="W182" s="55"/>
      <c r="X182" s="55"/>
      <c r="Y182" s="55"/>
      <c r="Z182" s="55"/>
      <c r="AA182" s="55"/>
      <c r="AB182" s="55"/>
      <c r="AC182" s="55">
        <f>IF(COUNTIF($C$3:C182,C182)=1,1,IF(COUNTIF($E$3:E182,E182)=1,2,0))</f>
        <v>2</v>
      </c>
      <c r="AD182" s="55">
        <f>IF(ISNUMBER(SEARCH("-",Database[[#This Row],[KEYNOTE '#]])),LEFT(Database[[#This Row],[KEYNOTE '#]],FIND("-",Database[[#This Row],[KEYNOTE '#]])-1),Database[[#This Row],[KEYNOTE '#]])</f>
        <v>5301</v>
      </c>
      <c r="AE18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2" s="55" t="str">
        <f>IF(AND(ISNUMBER(SEARCH("-",Database[[#This Row],[KEYNOTE '#]]))=TRUE,ISNUMBER(--RIGHT(Database[[#This Row],[KEYNOTE '#]]))=FALSE),RIGHT(Database[[#This Row],[KEYNOTE '#]],1),"")</f>
        <v/>
      </c>
      <c r="AG182" s="55">
        <v>180</v>
      </c>
      <c r="AH182" s="55" t="str">
        <f>IF(COUNTIF(Database[[#This Row],[BASE]:[INT. OTHER]],"g"),"INTERIOR",IF(COUNTIF(Database[[#This Row],[ROOF]:[EXT. OTHER]],"n"),"EXTERIOR",Database[[#This Row],[DIVISION '#]]))</f>
        <v>SYSTEM NOTES</v>
      </c>
      <c r="AI182" s="55" t="str">
        <f>IF(OR(Database[[#This Row],[KEYTIER1]]="INTERIOR",Database[[#This Row],[KEYTIER1]]="EXTERIOR"),"",Database[[#This Row],[DIVISION NAME]])</f>
        <v>BY CATEGORY</v>
      </c>
      <c r="AJ182" s="55" t="str">
        <f>IF(Database[[#This Row],[KEYTIER1]]="INTERIOR","INT",IF(Database[[#This Row],[KEYTIER1]]="EXTERIOR","EXT",Database[[#This Row],[SECTION '#]]))</f>
        <v>ELECTRICAL</v>
      </c>
      <c r="AK182" s="55" t="str">
        <f>IF(OR(Database[[#This Row],[KEYTIER2]]="INT",Database[[#This Row],[KEYTIER2]]="EXT"),"",IF(Database[[#This Row],[SECTION NAME]]="","",Database[[#This Row],[SECTION NAME]]))</f>
        <v/>
      </c>
    </row>
    <row r="183" spans="2:37" ht="30" x14ac:dyDescent="0.25">
      <c r="B183" s="55" t="s">
        <v>71</v>
      </c>
      <c r="C183" s="55" t="s">
        <v>165</v>
      </c>
      <c r="D183" s="55" t="s">
        <v>73</v>
      </c>
      <c r="E183" s="55" t="s">
        <v>174</v>
      </c>
      <c r="F183" s="58"/>
      <c r="G183" s="77">
        <v>5302</v>
      </c>
      <c r="H183" s="58"/>
      <c r="I183" s="69"/>
      <c r="J183" s="57"/>
      <c r="K183" s="57"/>
      <c r="L183" s="57"/>
      <c r="M183" s="57"/>
      <c r="N183" s="59"/>
      <c r="O183" s="71"/>
      <c r="P183" s="56"/>
      <c r="Q183" s="56"/>
      <c r="R183" s="56"/>
      <c r="S183" s="56"/>
      <c r="T183" s="60"/>
      <c r="U183" s="74"/>
      <c r="V183" s="55"/>
      <c r="W183" s="55"/>
      <c r="X183" s="55"/>
      <c r="Y183" s="55"/>
      <c r="Z183" s="55"/>
      <c r="AA183" s="55"/>
      <c r="AB183" s="55"/>
      <c r="AC183" s="55">
        <f>IF(COUNTIF($C$3:C183,C183)=1,1,IF(COUNTIF($E$3:E183,E183)=1,2,0))</f>
        <v>0</v>
      </c>
      <c r="AD183" s="55">
        <f>IF(ISNUMBER(SEARCH("-",Database[[#This Row],[KEYNOTE '#]])),LEFT(Database[[#This Row],[KEYNOTE '#]],FIND("-",Database[[#This Row],[KEYNOTE '#]])-1),Database[[#This Row],[KEYNOTE '#]])</f>
        <v>5302</v>
      </c>
      <c r="AE18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3" s="55" t="str">
        <f>IF(AND(ISNUMBER(SEARCH("-",Database[[#This Row],[KEYNOTE '#]]))=TRUE,ISNUMBER(--RIGHT(Database[[#This Row],[KEYNOTE '#]]))=FALSE),RIGHT(Database[[#This Row],[KEYNOTE '#]],1),"")</f>
        <v/>
      </c>
      <c r="AG183" s="55">
        <v>181</v>
      </c>
      <c r="AH183" s="55" t="str">
        <f>IF(COUNTIF(Database[[#This Row],[BASE]:[INT. OTHER]],"g"),"INTERIOR",IF(COUNTIF(Database[[#This Row],[ROOF]:[EXT. OTHER]],"n"),"EXTERIOR",Database[[#This Row],[DIVISION '#]]))</f>
        <v>SYSTEM NOTES</v>
      </c>
      <c r="AI183" s="55" t="str">
        <f>IF(OR(Database[[#This Row],[KEYTIER1]]="INTERIOR",Database[[#This Row],[KEYTIER1]]="EXTERIOR"),"",Database[[#This Row],[DIVISION NAME]])</f>
        <v>BY CATEGORY</v>
      </c>
      <c r="AJ183" s="55" t="str">
        <f>IF(Database[[#This Row],[KEYTIER1]]="INTERIOR","INT",IF(Database[[#This Row],[KEYTIER1]]="EXTERIOR","EXT",Database[[#This Row],[SECTION '#]]))</f>
        <v>ELECTRICAL</v>
      </c>
      <c r="AK183" s="55" t="str">
        <f>IF(OR(Database[[#This Row],[KEYTIER2]]="INT",Database[[#This Row],[KEYTIER2]]="EXT"),"",IF(Database[[#This Row],[SECTION NAME]]="","",Database[[#This Row],[SECTION NAME]]))</f>
        <v/>
      </c>
    </row>
    <row r="184" spans="2:37" ht="30" x14ac:dyDescent="0.25">
      <c r="B184" s="55" t="s">
        <v>71</v>
      </c>
      <c r="C184" s="55" t="s">
        <v>165</v>
      </c>
      <c r="D184" s="55" t="s">
        <v>73</v>
      </c>
      <c r="E184" s="55" t="s">
        <v>174</v>
      </c>
      <c r="F184" s="58"/>
      <c r="G184" s="77">
        <v>5303</v>
      </c>
      <c r="H184" s="58"/>
      <c r="I184" s="69"/>
      <c r="J184" s="57"/>
      <c r="K184" s="57"/>
      <c r="L184" s="57"/>
      <c r="M184" s="57"/>
      <c r="N184" s="59"/>
      <c r="O184" s="71"/>
      <c r="P184" s="56"/>
      <c r="Q184" s="56"/>
      <c r="R184" s="56"/>
      <c r="S184" s="56"/>
      <c r="T184" s="60"/>
      <c r="U184" s="74"/>
      <c r="V184" s="55"/>
      <c r="W184" s="55"/>
      <c r="X184" s="55"/>
      <c r="Y184" s="55"/>
      <c r="Z184" s="55"/>
      <c r="AA184" s="55"/>
      <c r="AB184" s="55"/>
      <c r="AC184" s="55">
        <f>IF(COUNTIF($C$3:C184,C184)=1,1,IF(COUNTIF($E$3:E184,E184)=1,2,0))</f>
        <v>0</v>
      </c>
      <c r="AD184" s="55">
        <f>IF(ISNUMBER(SEARCH("-",Database[[#This Row],[KEYNOTE '#]])),LEFT(Database[[#This Row],[KEYNOTE '#]],FIND("-",Database[[#This Row],[KEYNOTE '#]])-1),Database[[#This Row],[KEYNOTE '#]])</f>
        <v>5303</v>
      </c>
      <c r="AE18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4" s="55" t="str">
        <f>IF(AND(ISNUMBER(SEARCH("-",Database[[#This Row],[KEYNOTE '#]]))=TRUE,ISNUMBER(--RIGHT(Database[[#This Row],[KEYNOTE '#]]))=FALSE),RIGHT(Database[[#This Row],[KEYNOTE '#]],1),"")</f>
        <v/>
      </c>
      <c r="AG184" s="55">
        <v>182</v>
      </c>
      <c r="AH184" s="55" t="str">
        <f>IF(COUNTIF(Database[[#This Row],[BASE]:[INT. OTHER]],"g"),"INTERIOR",IF(COUNTIF(Database[[#This Row],[ROOF]:[EXT. OTHER]],"n"),"EXTERIOR",Database[[#This Row],[DIVISION '#]]))</f>
        <v>SYSTEM NOTES</v>
      </c>
      <c r="AI184" s="55" t="str">
        <f>IF(OR(Database[[#This Row],[KEYTIER1]]="INTERIOR",Database[[#This Row],[KEYTIER1]]="EXTERIOR"),"",Database[[#This Row],[DIVISION NAME]])</f>
        <v>BY CATEGORY</v>
      </c>
      <c r="AJ184" s="55" t="str">
        <f>IF(Database[[#This Row],[KEYTIER1]]="INTERIOR","INT",IF(Database[[#This Row],[KEYTIER1]]="EXTERIOR","EXT",Database[[#This Row],[SECTION '#]]))</f>
        <v>ELECTRICAL</v>
      </c>
      <c r="AK184" s="55" t="str">
        <f>IF(OR(Database[[#This Row],[KEYTIER2]]="INT",Database[[#This Row],[KEYTIER2]]="EXT"),"",IF(Database[[#This Row],[SECTION NAME]]="","",Database[[#This Row],[SECTION NAME]]))</f>
        <v/>
      </c>
    </row>
    <row r="185" spans="2:37" ht="30" x14ac:dyDescent="0.25">
      <c r="B185" s="55" t="s">
        <v>71</v>
      </c>
      <c r="C185" s="55" t="s">
        <v>165</v>
      </c>
      <c r="D185" s="55" t="s">
        <v>73</v>
      </c>
      <c r="E185" s="55" t="s">
        <v>178</v>
      </c>
      <c r="F185" s="58"/>
      <c r="G185" s="77">
        <v>5401</v>
      </c>
      <c r="H185" s="58"/>
      <c r="I185" s="69"/>
      <c r="J185" s="57"/>
      <c r="K185" s="57"/>
      <c r="L185" s="57"/>
      <c r="M185" s="57"/>
      <c r="N185" s="59"/>
      <c r="O185" s="71"/>
      <c r="P185" s="56"/>
      <c r="Q185" s="56"/>
      <c r="R185" s="56"/>
      <c r="S185" s="56"/>
      <c r="T185" s="60"/>
      <c r="U185" s="74"/>
      <c r="V185" s="55"/>
      <c r="W185" s="55"/>
      <c r="X185" s="55"/>
      <c r="Y185" s="55"/>
      <c r="Z185" s="55"/>
      <c r="AA185" s="55"/>
      <c r="AB185" s="55"/>
      <c r="AC185" s="55">
        <f>IF(COUNTIF($C$3:C185,C185)=1,1,IF(COUNTIF($E$3:E185,E185)=1,2,0))</f>
        <v>2</v>
      </c>
      <c r="AD185" s="55">
        <f>IF(ISNUMBER(SEARCH("-",Database[[#This Row],[KEYNOTE '#]])),LEFT(Database[[#This Row],[KEYNOTE '#]],FIND("-",Database[[#This Row],[KEYNOTE '#]])-1),Database[[#This Row],[KEYNOTE '#]])</f>
        <v>5401</v>
      </c>
      <c r="AE18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5" s="55" t="str">
        <f>IF(AND(ISNUMBER(SEARCH("-",Database[[#This Row],[KEYNOTE '#]]))=TRUE,ISNUMBER(--RIGHT(Database[[#This Row],[KEYNOTE '#]]))=FALSE),RIGHT(Database[[#This Row],[KEYNOTE '#]],1),"")</f>
        <v/>
      </c>
      <c r="AG185" s="55">
        <v>183</v>
      </c>
      <c r="AH185" s="55" t="str">
        <f>IF(COUNTIF(Database[[#This Row],[BASE]:[INT. OTHER]],"g"),"INTERIOR",IF(COUNTIF(Database[[#This Row],[ROOF]:[EXT. OTHER]],"n"),"EXTERIOR",Database[[#This Row],[DIVISION '#]]))</f>
        <v>SYSTEM NOTES</v>
      </c>
      <c r="AI185" s="55" t="str">
        <f>IF(OR(Database[[#This Row],[KEYTIER1]]="INTERIOR",Database[[#This Row],[KEYTIER1]]="EXTERIOR"),"",Database[[#This Row],[DIVISION NAME]])</f>
        <v>BY CATEGORY</v>
      </c>
      <c r="AJ185" s="55" t="str">
        <f>IF(Database[[#This Row],[KEYTIER1]]="INTERIOR","INT",IF(Database[[#This Row],[KEYTIER1]]="EXTERIOR","EXT",Database[[#This Row],[SECTION '#]]))</f>
        <v>FIRE PROTECTION</v>
      </c>
      <c r="AK185" s="55" t="str">
        <f>IF(OR(Database[[#This Row],[KEYTIER2]]="INT",Database[[#This Row],[KEYTIER2]]="EXT"),"",IF(Database[[#This Row],[SECTION NAME]]="","",Database[[#This Row],[SECTION NAME]]))</f>
        <v/>
      </c>
    </row>
    <row r="186" spans="2:37" ht="30" x14ac:dyDescent="0.25">
      <c r="B186" s="55" t="s">
        <v>71</v>
      </c>
      <c r="C186" s="55" t="s">
        <v>165</v>
      </c>
      <c r="D186" s="55" t="s">
        <v>73</v>
      </c>
      <c r="E186" s="55" t="s">
        <v>178</v>
      </c>
      <c r="F186" s="58"/>
      <c r="G186" s="77">
        <v>5402</v>
      </c>
      <c r="H186" s="58"/>
      <c r="I186" s="69"/>
      <c r="J186" s="57"/>
      <c r="K186" s="57"/>
      <c r="L186" s="57"/>
      <c r="M186" s="57"/>
      <c r="N186" s="59"/>
      <c r="O186" s="71"/>
      <c r="P186" s="56"/>
      <c r="Q186" s="56"/>
      <c r="R186" s="56"/>
      <c r="S186" s="56"/>
      <c r="T186" s="60"/>
      <c r="U186" s="74"/>
      <c r="V186" s="55"/>
      <c r="W186" s="55"/>
      <c r="X186" s="55"/>
      <c r="Y186" s="55"/>
      <c r="Z186" s="55"/>
      <c r="AA186" s="55"/>
      <c r="AB186" s="55"/>
      <c r="AC186" s="55">
        <f>IF(COUNTIF($C$3:C186,C186)=1,1,IF(COUNTIF($E$3:E186,E186)=1,2,0))</f>
        <v>0</v>
      </c>
      <c r="AD186" s="55">
        <f>IF(ISNUMBER(SEARCH("-",Database[[#This Row],[KEYNOTE '#]])),LEFT(Database[[#This Row],[KEYNOTE '#]],FIND("-",Database[[#This Row],[KEYNOTE '#]])-1),Database[[#This Row],[KEYNOTE '#]])</f>
        <v>5402</v>
      </c>
      <c r="AE18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6" s="55" t="str">
        <f>IF(AND(ISNUMBER(SEARCH("-",Database[[#This Row],[KEYNOTE '#]]))=TRUE,ISNUMBER(--RIGHT(Database[[#This Row],[KEYNOTE '#]]))=FALSE),RIGHT(Database[[#This Row],[KEYNOTE '#]],1),"")</f>
        <v/>
      </c>
      <c r="AG186" s="55">
        <v>184</v>
      </c>
      <c r="AH186" s="55" t="str">
        <f>IF(COUNTIF(Database[[#This Row],[BASE]:[INT. OTHER]],"g"),"INTERIOR",IF(COUNTIF(Database[[#This Row],[ROOF]:[EXT. OTHER]],"n"),"EXTERIOR",Database[[#This Row],[DIVISION '#]]))</f>
        <v>SYSTEM NOTES</v>
      </c>
      <c r="AI186" s="55" t="str">
        <f>IF(OR(Database[[#This Row],[KEYTIER1]]="INTERIOR",Database[[#This Row],[KEYTIER1]]="EXTERIOR"),"",Database[[#This Row],[DIVISION NAME]])</f>
        <v>BY CATEGORY</v>
      </c>
      <c r="AJ186" s="55" t="str">
        <f>IF(Database[[#This Row],[KEYTIER1]]="INTERIOR","INT",IF(Database[[#This Row],[KEYTIER1]]="EXTERIOR","EXT",Database[[#This Row],[SECTION '#]]))</f>
        <v>FIRE PROTECTION</v>
      </c>
      <c r="AK186" s="55" t="str">
        <f>IF(OR(Database[[#This Row],[KEYTIER2]]="INT",Database[[#This Row],[KEYTIER2]]="EXT"),"",IF(Database[[#This Row],[SECTION NAME]]="","",Database[[#This Row],[SECTION NAME]]))</f>
        <v/>
      </c>
    </row>
    <row r="187" spans="2:37" ht="30" x14ac:dyDescent="0.25">
      <c r="B187" s="55" t="s">
        <v>71</v>
      </c>
      <c r="C187" s="55" t="s">
        <v>165</v>
      </c>
      <c r="D187" s="55" t="s">
        <v>73</v>
      </c>
      <c r="E187" s="55" t="s">
        <v>178</v>
      </c>
      <c r="F187" s="58"/>
      <c r="G187" s="77">
        <v>5403</v>
      </c>
      <c r="H187" s="58"/>
      <c r="I187" s="69"/>
      <c r="J187" s="57"/>
      <c r="K187" s="57"/>
      <c r="L187" s="57"/>
      <c r="M187" s="57"/>
      <c r="N187" s="59"/>
      <c r="O187" s="71"/>
      <c r="P187" s="56"/>
      <c r="Q187" s="56"/>
      <c r="R187" s="56"/>
      <c r="S187" s="56"/>
      <c r="T187" s="60"/>
      <c r="U187" s="74"/>
      <c r="V187" s="55"/>
      <c r="W187" s="55"/>
      <c r="X187" s="55"/>
      <c r="Y187" s="55"/>
      <c r="Z187" s="55"/>
      <c r="AA187" s="55"/>
      <c r="AB187" s="55"/>
      <c r="AC187" s="55">
        <f>IF(COUNTIF($C$3:C187,C187)=1,1,IF(COUNTIF($E$3:E187,E187)=1,2,0))</f>
        <v>0</v>
      </c>
      <c r="AD187" s="55">
        <f>IF(ISNUMBER(SEARCH("-",Database[[#This Row],[KEYNOTE '#]])),LEFT(Database[[#This Row],[KEYNOTE '#]],FIND("-",Database[[#This Row],[KEYNOTE '#]])-1),Database[[#This Row],[KEYNOTE '#]])</f>
        <v>5403</v>
      </c>
      <c r="AE18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7" s="55" t="str">
        <f>IF(AND(ISNUMBER(SEARCH("-",Database[[#This Row],[KEYNOTE '#]]))=TRUE,ISNUMBER(--RIGHT(Database[[#This Row],[KEYNOTE '#]]))=FALSE),RIGHT(Database[[#This Row],[KEYNOTE '#]],1),"")</f>
        <v/>
      </c>
      <c r="AG187" s="55">
        <v>185</v>
      </c>
      <c r="AH187" s="55" t="str">
        <f>IF(COUNTIF(Database[[#This Row],[BASE]:[INT. OTHER]],"g"),"INTERIOR",IF(COUNTIF(Database[[#This Row],[ROOF]:[EXT. OTHER]],"n"),"EXTERIOR",Database[[#This Row],[DIVISION '#]]))</f>
        <v>SYSTEM NOTES</v>
      </c>
      <c r="AI187" s="55" t="str">
        <f>IF(OR(Database[[#This Row],[KEYTIER1]]="INTERIOR",Database[[#This Row],[KEYTIER1]]="EXTERIOR"),"",Database[[#This Row],[DIVISION NAME]])</f>
        <v>BY CATEGORY</v>
      </c>
      <c r="AJ187" s="55" t="str">
        <f>IF(Database[[#This Row],[KEYTIER1]]="INTERIOR","INT",IF(Database[[#This Row],[KEYTIER1]]="EXTERIOR","EXT",Database[[#This Row],[SECTION '#]]))</f>
        <v>FIRE PROTECTION</v>
      </c>
      <c r="AK187" s="55" t="str">
        <f>IF(OR(Database[[#This Row],[KEYTIER2]]="INT",Database[[#This Row],[KEYTIER2]]="EXT"),"",IF(Database[[#This Row],[SECTION NAME]]="","",Database[[#This Row],[SECTION NAME]]))</f>
        <v/>
      </c>
    </row>
    <row r="188" spans="2:37" ht="30" x14ac:dyDescent="0.25">
      <c r="B188" s="55" t="s">
        <v>71</v>
      </c>
      <c r="C188" s="55" t="s">
        <v>165</v>
      </c>
      <c r="D188" s="55" t="s">
        <v>73</v>
      </c>
      <c r="E188" s="55" t="s">
        <v>182</v>
      </c>
      <c r="F188" s="58"/>
      <c r="G188" s="77">
        <v>5501</v>
      </c>
      <c r="H188" s="58"/>
      <c r="I188" s="69"/>
      <c r="J188" s="57"/>
      <c r="K188" s="57"/>
      <c r="L188" s="57"/>
      <c r="M188" s="57"/>
      <c r="N188" s="59"/>
      <c r="O188" s="71"/>
      <c r="P188" s="56"/>
      <c r="Q188" s="56"/>
      <c r="R188" s="56"/>
      <c r="S188" s="56"/>
      <c r="T188" s="60"/>
      <c r="U188" s="74"/>
      <c r="V188" s="55"/>
      <c r="W188" s="55"/>
      <c r="X188" s="55"/>
      <c r="Y188" s="55"/>
      <c r="Z188" s="55"/>
      <c r="AA188" s="55"/>
      <c r="AB188" s="55"/>
      <c r="AC188" s="55">
        <f>IF(COUNTIF($C$3:C188,C188)=1,1,IF(COUNTIF($E$3:E188,E188)=1,2,0))</f>
        <v>2</v>
      </c>
      <c r="AD188" s="55">
        <f>IF(ISNUMBER(SEARCH("-",Database[[#This Row],[KEYNOTE '#]])),LEFT(Database[[#This Row],[KEYNOTE '#]],FIND("-",Database[[#This Row],[KEYNOTE '#]])-1),Database[[#This Row],[KEYNOTE '#]])</f>
        <v>5501</v>
      </c>
      <c r="AE18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8" s="55" t="str">
        <f>IF(AND(ISNUMBER(SEARCH("-",Database[[#This Row],[KEYNOTE '#]]))=TRUE,ISNUMBER(--RIGHT(Database[[#This Row],[KEYNOTE '#]]))=FALSE),RIGHT(Database[[#This Row],[KEYNOTE '#]],1),"")</f>
        <v/>
      </c>
      <c r="AG188" s="55">
        <v>186</v>
      </c>
      <c r="AH188" s="55" t="str">
        <f>IF(COUNTIF(Database[[#This Row],[BASE]:[INT. OTHER]],"g"),"INTERIOR",IF(COUNTIF(Database[[#This Row],[ROOF]:[EXT. OTHER]],"n"),"EXTERIOR",Database[[#This Row],[DIVISION '#]]))</f>
        <v>SYSTEM NOTES</v>
      </c>
      <c r="AI188" s="55" t="str">
        <f>IF(OR(Database[[#This Row],[KEYTIER1]]="INTERIOR",Database[[#This Row],[KEYTIER1]]="EXTERIOR"),"",Database[[#This Row],[DIVISION NAME]])</f>
        <v>BY CATEGORY</v>
      </c>
      <c r="AJ188" s="55" t="str">
        <f>IF(Database[[#This Row],[KEYTIER1]]="INTERIOR","INT",IF(Database[[#This Row],[KEYTIER1]]="EXTERIOR","EXT",Database[[#This Row],[SECTION '#]]))</f>
        <v>LAB</v>
      </c>
      <c r="AK188" s="55" t="str">
        <f>IF(OR(Database[[#This Row],[KEYTIER2]]="INT",Database[[#This Row],[KEYTIER2]]="EXT"),"",IF(Database[[#This Row],[SECTION NAME]]="","",Database[[#This Row],[SECTION NAME]]))</f>
        <v/>
      </c>
    </row>
    <row r="189" spans="2:37" ht="30" x14ac:dyDescent="0.25">
      <c r="B189" s="55" t="s">
        <v>71</v>
      </c>
      <c r="C189" s="55" t="s">
        <v>165</v>
      </c>
      <c r="D189" s="55" t="s">
        <v>73</v>
      </c>
      <c r="E189" s="55" t="s">
        <v>182</v>
      </c>
      <c r="F189" s="58"/>
      <c r="G189" s="77">
        <v>5502</v>
      </c>
      <c r="H189" s="58"/>
      <c r="I189" s="69"/>
      <c r="J189" s="57"/>
      <c r="K189" s="57"/>
      <c r="L189" s="57"/>
      <c r="M189" s="57"/>
      <c r="N189" s="59"/>
      <c r="O189" s="71"/>
      <c r="P189" s="56"/>
      <c r="Q189" s="56"/>
      <c r="R189" s="56"/>
      <c r="S189" s="56"/>
      <c r="T189" s="60"/>
      <c r="U189" s="74"/>
      <c r="V189" s="55"/>
      <c r="W189" s="55"/>
      <c r="X189" s="55"/>
      <c r="Y189" s="55"/>
      <c r="Z189" s="55"/>
      <c r="AA189" s="55"/>
      <c r="AB189" s="55"/>
      <c r="AC189" s="55">
        <f>IF(COUNTIF($C$3:C189,C189)=1,1,IF(COUNTIF($E$3:E189,E189)=1,2,0))</f>
        <v>0</v>
      </c>
      <c r="AD189" s="55">
        <f>IF(ISNUMBER(SEARCH("-",Database[[#This Row],[KEYNOTE '#]])),LEFT(Database[[#This Row],[KEYNOTE '#]],FIND("-",Database[[#This Row],[KEYNOTE '#]])-1),Database[[#This Row],[KEYNOTE '#]])</f>
        <v>5502</v>
      </c>
      <c r="AE18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89" s="55" t="str">
        <f>IF(AND(ISNUMBER(SEARCH("-",Database[[#This Row],[KEYNOTE '#]]))=TRUE,ISNUMBER(--RIGHT(Database[[#This Row],[KEYNOTE '#]]))=FALSE),RIGHT(Database[[#This Row],[KEYNOTE '#]],1),"")</f>
        <v/>
      </c>
      <c r="AG189" s="55">
        <v>187</v>
      </c>
      <c r="AH189" s="55" t="str">
        <f>IF(COUNTIF(Database[[#This Row],[BASE]:[INT. OTHER]],"g"),"INTERIOR",IF(COUNTIF(Database[[#This Row],[ROOF]:[EXT. OTHER]],"n"),"EXTERIOR",Database[[#This Row],[DIVISION '#]]))</f>
        <v>SYSTEM NOTES</v>
      </c>
      <c r="AI189" s="55" t="str">
        <f>IF(OR(Database[[#This Row],[KEYTIER1]]="INTERIOR",Database[[#This Row],[KEYTIER1]]="EXTERIOR"),"",Database[[#This Row],[DIVISION NAME]])</f>
        <v>BY CATEGORY</v>
      </c>
      <c r="AJ189" s="55" t="str">
        <f>IF(Database[[#This Row],[KEYTIER1]]="INTERIOR","INT",IF(Database[[#This Row],[KEYTIER1]]="EXTERIOR","EXT",Database[[#This Row],[SECTION '#]]))</f>
        <v>LAB</v>
      </c>
      <c r="AK189" s="55" t="str">
        <f>IF(OR(Database[[#This Row],[KEYTIER2]]="INT",Database[[#This Row],[KEYTIER2]]="EXT"),"",IF(Database[[#This Row],[SECTION NAME]]="","",Database[[#This Row],[SECTION NAME]]))</f>
        <v/>
      </c>
    </row>
    <row r="190" spans="2:37" ht="30" x14ac:dyDescent="0.25">
      <c r="B190" s="55" t="s">
        <v>71</v>
      </c>
      <c r="C190" s="55" t="s">
        <v>165</v>
      </c>
      <c r="D190" s="55" t="s">
        <v>73</v>
      </c>
      <c r="E190" s="55" t="s">
        <v>182</v>
      </c>
      <c r="F190" s="58"/>
      <c r="G190" s="77">
        <v>5503</v>
      </c>
      <c r="H190" s="58"/>
      <c r="I190" s="69"/>
      <c r="J190" s="57"/>
      <c r="K190" s="57"/>
      <c r="L190" s="57"/>
      <c r="M190" s="57"/>
      <c r="N190" s="59"/>
      <c r="O190" s="71"/>
      <c r="P190" s="56"/>
      <c r="Q190" s="56"/>
      <c r="R190" s="56"/>
      <c r="S190" s="56"/>
      <c r="T190" s="60"/>
      <c r="U190" s="74"/>
      <c r="V190" s="55"/>
      <c r="W190" s="55"/>
      <c r="X190" s="55"/>
      <c r="Y190" s="55"/>
      <c r="Z190" s="55"/>
      <c r="AA190" s="55"/>
      <c r="AB190" s="55"/>
      <c r="AC190" s="55">
        <f>IF(COUNTIF($C$3:C190,C190)=1,1,IF(COUNTIF($E$3:E190,E190)=1,2,0))</f>
        <v>0</v>
      </c>
      <c r="AD190" s="55">
        <f>IF(ISNUMBER(SEARCH("-",Database[[#This Row],[KEYNOTE '#]])),LEFT(Database[[#This Row],[KEYNOTE '#]],FIND("-",Database[[#This Row],[KEYNOTE '#]])-1),Database[[#This Row],[KEYNOTE '#]])</f>
        <v>5503</v>
      </c>
      <c r="AE19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0" s="55" t="str">
        <f>IF(AND(ISNUMBER(SEARCH("-",Database[[#This Row],[KEYNOTE '#]]))=TRUE,ISNUMBER(--RIGHT(Database[[#This Row],[KEYNOTE '#]]))=FALSE),RIGHT(Database[[#This Row],[KEYNOTE '#]],1),"")</f>
        <v/>
      </c>
      <c r="AG190" s="55">
        <v>188</v>
      </c>
      <c r="AH190" s="55" t="str">
        <f>IF(COUNTIF(Database[[#This Row],[BASE]:[INT. OTHER]],"g"),"INTERIOR",IF(COUNTIF(Database[[#This Row],[ROOF]:[EXT. OTHER]],"n"),"EXTERIOR",Database[[#This Row],[DIVISION '#]]))</f>
        <v>SYSTEM NOTES</v>
      </c>
      <c r="AI190" s="55" t="str">
        <f>IF(OR(Database[[#This Row],[KEYTIER1]]="INTERIOR",Database[[#This Row],[KEYTIER1]]="EXTERIOR"),"",Database[[#This Row],[DIVISION NAME]])</f>
        <v>BY CATEGORY</v>
      </c>
      <c r="AJ190" s="55" t="str">
        <f>IF(Database[[#This Row],[KEYTIER1]]="INTERIOR","INT",IF(Database[[#This Row],[KEYTIER1]]="EXTERIOR","EXT",Database[[#This Row],[SECTION '#]]))</f>
        <v>LAB</v>
      </c>
      <c r="AK190" s="55" t="str">
        <f>IF(OR(Database[[#This Row],[KEYTIER2]]="INT",Database[[#This Row],[KEYTIER2]]="EXT"),"",IF(Database[[#This Row],[SECTION NAME]]="","",Database[[#This Row],[SECTION NAME]]))</f>
        <v/>
      </c>
    </row>
    <row r="191" spans="2:37" ht="30" x14ac:dyDescent="0.25">
      <c r="B191" s="55" t="s">
        <v>71</v>
      </c>
      <c r="C191" s="55" t="s">
        <v>165</v>
      </c>
      <c r="D191" s="55" t="s">
        <v>73</v>
      </c>
      <c r="E191" s="55" t="s">
        <v>186</v>
      </c>
      <c r="F191" s="58"/>
      <c r="G191" s="77">
        <v>5601</v>
      </c>
      <c r="H191" s="58"/>
      <c r="I191" s="69"/>
      <c r="J191" s="57"/>
      <c r="K191" s="57"/>
      <c r="L191" s="57"/>
      <c r="M191" s="57"/>
      <c r="N191" s="59"/>
      <c r="O191" s="71"/>
      <c r="P191" s="56"/>
      <c r="Q191" s="56"/>
      <c r="R191" s="56"/>
      <c r="S191" s="56"/>
      <c r="T191" s="60"/>
      <c r="U191" s="74"/>
      <c r="V191" s="55"/>
      <c r="W191" s="55"/>
      <c r="X191" s="55"/>
      <c r="Y191" s="55"/>
      <c r="Z191" s="55"/>
      <c r="AA191" s="55"/>
      <c r="AB191" s="55"/>
      <c r="AC191" s="55">
        <f>IF(COUNTIF($C$3:C191,C191)=1,1,IF(COUNTIF($E$3:E191,E191)=1,2,0))</f>
        <v>2</v>
      </c>
      <c r="AD191" s="55">
        <f>IF(ISNUMBER(SEARCH("-",Database[[#This Row],[KEYNOTE '#]])),LEFT(Database[[#This Row],[KEYNOTE '#]],FIND("-",Database[[#This Row],[KEYNOTE '#]])-1),Database[[#This Row],[KEYNOTE '#]])</f>
        <v>5601</v>
      </c>
      <c r="AE19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1" s="55" t="str">
        <f>IF(AND(ISNUMBER(SEARCH("-",Database[[#This Row],[KEYNOTE '#]]))=TRUE,ISNUMBER(--RIGHT(Database[[#This Row],[KEYNOTE '#]]))=FALSE),RIGHT(Database[[#This Row],[KEYNOTE '#]],1),"")</f>
        <v/>
      </c>
      <c r="AG191" s="55">
        <v>189</v>
      </c>
      <c r="AH191" s="55" t="str">
        <f>IF(COUNTIF(Database[[#This Row],[BASE]:[INT. OTHER]],"g"),"INTERIOR",IF(COUNTIF(Database[[#This Row],[ROOF]:[EXT. OTHER]],"n"),"EXTERIOR",Database[[#This Row],[DIVISION '#]]))</f>
        <v>SYSTEM NOTES</v>
      </c>
      <c r="AI191" s="55" t="str">
        <f>IF(OR(Database[[#This Row],[KEYTIER1]]="INTERIOR",Database[[#This Row],[KEYTIER1]]="EXTERIOR"),"",Database[[#This Row],[DIVISION NAME]])</f>
        <v>BY CATEGORY</v>
      </c>
      <c r="AJ191" s="55" t="str">
        <f>IF(Database[[#This Row],[KEYTIER1]]="INTERIOR","INT",IF(Database[[#This Row],[KEYTIER1]]="EXTERIOR","EXT",Database[[#This Row],[SECTION '#]]))</f>
        <v>LIGHTING</v>
      </c>
      <c r="AK191" s="55" t="str">
        <f>IF(OR(Database[[#This Row],[KEYTIER2]]="INT",Database[[#This Row],[KEYTIER2]]="EXT"),"",IF(Database[[#This Row],[SECTION NAME]]="","",Database[[#This Row],[SECTION NAME]]))</f>
        <v/>
      </c>
    </row>
    <row r="192" spans="2:37" ht="30" x14ac:dyDescent="0.25">
      <c r="B192" s="55" t="s">
        <v>71</v>
      </c>
      <c r="C192" s="55" t="s">
        <v>165</v>
      </c>
      <c r="D192" s="55" t="s">
        <v>73</v>
      </c>
      <c r="E192" s="55" t="s">
        <v>186</v>
      </c>
      <c r="F192" s="58"/>
      <c r="G192" s="77">
        <v>5602</v>
      </c>
      <c r="H192" s="58"/>
      <c r="I192" s="69"/>
      <c r="J192" s="57"/>
      <c r="K192" s="57"/>
      <c r="L192" s="57"/>
      <c r="M192" s="57"/>
      <c r="N192" s="59"/>
      <c r="O192" s="71"/>
      <c r="P192" s="56"/>
      <c r="Q192" s="56"/>
      <c r="R192" s="56"/>
      <c r="S192" s="56"/>
      <c r="T192" s="60"/>
      <c r="U192" s="74"/>
      <c r="V192" s="55"/>
      <c r="W192" s="55"/>
      <c r="X192" s="55"/>
      <c r="Y192" s="55"/>
      <c r="Z192" s="55"/>
      <c r="AA192" s="55"/>
      <c r="AB192" s="55"/>
      <c r="AC192" s="55">
        <f>IF(COUNTIF($C$3:C192,C192)=1,1,IF(COUNTIF($E$3:E192,E192)=1,2,0))</f>
        <v>0</v>
      </c>
      <c r="AD192" s="55">
        <f>IF(ISNUMBER(SEARCH("-",Database[[#This Row],[KEYNOTE '#]])),LEFT(Database[[#This Row],[KEYNOTE '#]],FIND("-",Database[[#This Row],[KEYNOTE '#]])-1),Database[[#This Row],[KEYNOTE '#]])</f>
        <v>5602</v>
      </c>
      <c r="AE19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2" s="55" t="str">
        <f>IF(AND(ISNUMBER(SEARCH("-",Database[[#This Row],[KEYNOTE '#]]))=TRUE,ISNUMBER(--RIGHT(Database[[#This Row],[KEYNOTE '#]]))=FALSE),RIGHT(Database[[#This Row],[KEYNOTE '#]],1),"")</f>
        <v/>
      </c>
      <c r="AG192" s="55">
        <v>190</v>
      </c>
      <c r="AH192" s="55" t="str">
        <f>IF(COUNTIF(Database[[#This Row],[BASE]:[INT. OTHER]],"g"),"INTERIOR",IF(COUNTIF(Database[[#This Row],[ROOF]:[EXT. OTHER]],"n"),"EXTERIOR",Database[[#This Row],[DIVISION '#]]))</f>
        <v>SYSTEM NOTES</v>
      </c>
      <c r="AI192" s="55" t="str">
        <f>IF(OR(Database[[#This Row],[KEYTIER1]]="INTERIOR",Database[[#This Row],[KEYTIER1]]="EXTERIOR"),"",Database[[#This Row],[DIVISION NAME]])</f>
        <v>BY CATEGORY</v>
      </c>
      <c r="AJ192" s="55" t="str">
        <f>IF(Database[[#This Row],[KEYTIER1]]="INTERIOR","INT",IF(Database[[#This Row],[KEYTIER1]]="EXTERIOR","EXT",Database[[#This Row],[SECTION '#]]))</f>
        <v>LIGHTING</v>
      </c>
      <c r="AK192" s="55" t="str">
        <f>IF(OR(Database[[#This Row],[KEYTIER2]]="INT",Database[[#This Row],[KEYTIER2]]="EXT"),"",IF(Database[[#This Row],[SECTION NAME]]="","",Database[[#This Row],[SECTION NAME]]))</f>
        <v/>
      </c>
    </row>
    <row r="193" spans="2:37" ht="30" x14ac:dyDescent="0.25">
      <c r="B193" s="55" t="s">
        <v>71</v>
      </c>
      <c r="C193" s="55" t="s">
        <v>165</v>
      </c>
      <c r="D193" s="55" t="s">
        <v>73</v>
      </c>
      <c r="E193" s="55" t="s">
        <v>186</v>
      </c>
      <c r="F193" s="58"/>
      <c r="G193" s="77">
        <v>5603</v>
      </c>
      <c r="H193" s="58"/>
      <c r="I193" s="69"/>
      <c r="J193" s="57"/>
      <c r="K193" s="57"/>
      <c r="L193" s="57"/>
      <c r="M193" s="57"/>
      <c r="N193" s="59"/>
      <c r="O193" s="71"/>
      <c r="P193" s="56"/>
      <c r="Q193" s="56"/>
      <c r="R193" s="56"/>
      <c r="S193" s="56"/>
      <c r="T193" s="60"/>
      <c r="U193" s="74"/>
      <c r="V193" s="55"/>
      <c r="W193" s="55"/>
      <c r="X193" s="55"/>
      <c r="Y193" s="55"/>
      <c r="Z193" s="55"/>
      <c r="AA193" s="55"/>
      <c r="AB193" s="55"/>
      <c r="AC193" s="55">
        <f>IF(COUNTIF($C$3:C193,C193)=1,1,IF(COUNTIF($E$3:E193,E193)=1,2,0))</f>
        <v>0</v>
      </c>
      <c r="AD193" s="55">
        <f>IF(ISNUMBER(SEARCH("-",Database[[#This Row],[KEYNOTE '#]])),LEFT(Database[[#This Row],[KEYNOTE '#]],FIND("-",Database[[#This Row],[KEYNOTE '#]])-1),Database[[#This Row],[KEYNOTE '#]])</f>
        <v>5603</v>
      </c>
      <c r="AE19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3" s="55" t="str">
        <f>IF(AND(ISNUMBER(SEARCH("-",Database[[#This Row],[KEYNOTE '#]]))=TRUE,ISNUMBER(--RIGHT(Database[[#This Row],[KEYNOTE '#]]))=FALSE),RIGHT(Database[[#This Row],[KEYNOTE '#]],1),"")</f>
        <v/>
      </c>
      <c r="AG193" s="55">
        <v>191</v>
      </c>
      <c r="AH193" s="55" t="str">
        <f>IF(COUNTIF(Database[[#This Row],[BASE]:[INT. OTHER]],"g"),"INTERIOR",IF(COUNTIF(Database[[#This Row],[ROOF]:[EXT. OTHER]],"n"),"EXTERIOR",Database[[#This Row],[DIVISION '#]]))</f>
        <v>SYSTEM NOTES</v>
      </c>
      <c r="AI193" s="55" t="str">
        <f>IF(OR(Database[[#This Row],[KEYTIER1]]="INTERIOR",Database[[#This Row],[KEYTIER1]]="EXTERIOR"),"",Database[[#This Row],[DIVISION NAME]])</f>
        <v>BY CATEGORY</v>
      </c>
      <c r="AJ193" s="55" t="str">
        <f>IF(Database[[#This Row],[KEYTIER1]]="INTERIOR","INT",IF(Database[[#This Row],[KEYTIER1]]="EXTERIOR","EXT",Database[[#This Row],[SECTION '#]]))</f>
        <v>LIGHTING</v>
      </c>
      <c r="AK193" s="55" t="str">
        <f>IF(OR(Database[[#This Row],[KEYTIER2]]="INT",Database[[#This Row],[KEYTIER2]]="EXT"),"",IF(Database[[#This Row],[SECTION NAME]]="","",Database[[#This Row],[SECTION NAME]]))</f>
        <v/>
      </c>
    </row>
    <row r="194" spans="2:37" ht="30" x14ac:dyDescent="0.25">
      <c r="B194" s="55" t="s">
        <v>71</v>
      </c>
      <c r="C194" s="55" t="s">
        <v>165</v>
      </c>
      <c r="D194" s="55" t="s">
        <v>73</v>
      </c>
      <c r="E194" s="55" t="s">
        <v>190</v>
      </c>
      <c r="F194" s="58"/>
      <c r="G194" s="77">
        <v>5701</v>
      </c>
      <c r="H194" s="58"/>
      <c r="I194" s="69"/>
      <c r="J194" s="57"/>
      <c r="K194" s="57"/>
      <c r="L194" s="57"/>
      <c r="M194" s="57"/>
      <c r="N194" s="59"/>
      <c r="O194" s="71"/>
      <c r="P194" s="56"/>
      <c r="Q194" s="56"/>
      <c r="R194" s="56"/>
      <c r="S194" s="56"/>
      <c r="T194" s="60"/>
      <c r="U194" s="74"/>
      <c r="V194" s="55"/>
      <c r="W194" s="55"/>
      <c r="X194" s="55"/>
      <c r="Y194" s="55"/>
      <c r="Z194" s="55"/>
      <c r="AA194" s="55"/>
      <c r="AB194" s="55"/>
      <c r="AC194" s="55">
        <f>IF(COUNTIF($C$3:C194,C194)=1,1,IF(COUNTIF($E$3:E194,E194)=1,2,0))</f>
        <v>2</v>
      </c>
      <c r="AD194" s="55">
        <f>IF(ISNUMBER(SEARCH("-",Database[[#This Row],[KEYNOTE '#]])),LEFT(Database[[#This Row],[KEYNOTE '#]],FIND("-",Database[[#This Row],[KEYNOTE '#]])-1),Database[[#This Row],[KEYNOTE '#]])</f>
        <v>5701</v>
      </c>
      <c r="AE19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4" s="55" t="str">
        <f>IF(AND(ISNUMBER(SEARCH("-",Database[[#This Row],[KEYNOTE '#]]))=TRUE,ISNUMBER(--RIGHT(Database[[#This Row],[KEYNOTE '#]]))=FALSE),RIGHT(Database[[#This Row],[KEYNOTE '#]],1),"")</f>
        <v/>
      </c>
      <c r="AG194" s="55">
        <v>192</v>
      </c>
      <c r="AH194" s="55" t="str">
        <f>IF(COUNTIF(Database[[#This Row],[BASE]:[INT. OTHER]],"g"),"INTERIOR",IF(COUNTIF(Database[[#This Row],[ROOF]:[EXT. OTHER]],"n"),"EXTERIOR",Database[[#This Row],[DIVISION '#]]))</f>
        <v>SYSTEM NOTES</v>
      </c>
      <c r="AI194" s="55" t="str">
        <f>IF(OR(Database[[#This Row],[KEYTIER1]]="INTERIOR",Database[[#This Row],[KEYTIER1]]="EXTERIOR"),"",Database[[#This Row],[DIVISION NAME]])</f>
        <v>BY CATEGORY</v>
      </c>
      <c r="AJ194" s="55" t="str">
        <f>IF(Database[[#This Row],[KEYTIER1]]="INTERIOR","INT",IF(Database[[#This Row],[KEYTIER1]]="EXTERIOR","EXT",Database[[#This Row],[SECTION '#]]))</f>
        <v>MECHANICAL</v>
      </c>
      <c r="AK194" s="55" t="str">
        <f>IF(OR(Database[[#This Row],[KEYTIER2]]="INT",Database[[#This Row],[KEYTIER2]]="EXT"),"",IF(Database[[#This Row],[SECTION NAME]]="","",Database[[#This Row],[SECTION NAME]]))</f>
        <v/>
      </c>
    </row>
    <row r="195" spans="2:37" ht="30" x14ac:dyDescent="0.25">
      <c r="B195" s="55" t="s">
        <v>71</v>
      </c>
      <c r="C195" s="55" t="s">
        <v>165</v>
      </c>
      <c r="D195" s="55" t="s">
        <v>73</v>
      </c>
      <c r="E195" s="55" t="s">
        <v>190</v>
      </c>
      <c r="F195" s="58"/>
      <c r="G195" s="77">
        <v>5702</v>
      </c>
      <c r="H195" s="58"/>
      <c r="I195" s="69"/>
      <c r="J195" s="57"/>
      <c r="K195" s="57"/>
      <c r="L195" s="57"/>
      <c r="M195" s="57"/>
      <c r="N195" s="59"/>
      <c r="O195" s="71"/>
      <c r="P195" s="56"/>
      <c r="Q195" s="56"/>
      <c r="R195" s="56"/>
      <c r="S195" s="56"/>
      <c r="T195" s="60"/>
      <c r="U195" s="74"/>
      <c r="V195" s="55"/>
      <c r="W195" s="55"/>
      <c r="X195" s="55"/>
      <c r="Y195" s="55"/>
      <c r="Z195" s="55"/>
      <c r="AA195" s="55"/>
      <c r="AB195" s="55"/>
      <c r="AC195" s="55">
        <f>IF(COUNTIF($C$3:C195,C195)=1,1,IF(COUNTIF($E$3:E195,E195)=1,2,0))</f>
        <v>0</v>
      </c>
      <c r="AD195" s="55">
        <f>IF(ISNUMBER(SEARCH("-",Database[[#This Row],[KEYNOTE '#]])),LEFT(Database[[#This Row],[KEYNOTE '#]],FIND("-",Database[[#This Row],[KEYNOTE '#]])-1),Database[[#This Row],[KEYNOTE '#]])</f>
        <v>5702</v>
      </c>
      <c r="AE19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5" s="55" t="str">
        <f>IF(AND(ISNUMBER(SEARCH("-",Database[[#This Row],[KEYNOTE '#]]))=TRUE,ISNUMBER(--RIGHT(Database[[#This Row],[KEYNOTE '#]]))=FALSE),RIGHT(Database[[#This Row],[KEYNOTE '#]],1),"")</f>
        <v/>
      </c>
      <c r="AG195" s="55">
        <v>193</v>
      </c>
      <c r="AH195" s="55" t="str">
        <f>IF(COUNTIF(Database[[#This Row],[BASE]:[INT. OTHER]],"g"),"INTERIOR",IF(COUNTIF(Database[[#This Row],[ROOF]:[EXT. OTHER]],"n"),"EXTERIOR",Database[[#This Row],[DIVISION '#]]))</f>
        <v>SYSTEM NOTES</v>
      </c>
      <c r="AI195" s="55" t="str">
        <f>IF(OR(Database[[#This Row],[KEYTIER1]]="INTERIOR",Database[[#This Row],[KEYTIER1]]="EXTERIOR"),"",Database[[#This Row],[DIVISION NAME]])</f>
        <v>BY CATEGORY</v>
      </c>
      <c r="AJ195" s="55" t="str">
        <f>IF(Database[[#This Row],[KEYTIER1]]="INTERIOR","INT",IF(Database[[#This Row],[KEYTIER1]]="EXTERIOR","EXT",Database[[#This Row],[SECTION '#]]))</f>
        <v>MECHANICAL</v>
      </c>
      <c r="AK195" s="55" t="str">
        <f>IF(OR(Database[[#This Row],[KEYTIER2]]="INT",Database[[#This Row],[KEYTIER2]]="EXT"),"",IF(Database[[#This Row],[SECTION NAME]]="","",Database[[#This Row],[SECTION NAME]]))</f>
        <v/>
      </c>
    </row>
    <row r="196" spans="2:37" ht="30" x14ac:dyDescent="0.25">
      <c r="B196" s="55" t="s">
        <v>71</v>
      </c>
      <c r="C196" s="55" t="s">
        <v>165</v>
      </c>
      <c r="D196" s="55" t="s">
        <v>73</v>
      </c>
      <c r="E196" s="55" t="s">
        <v>190</v>
      </c>
      <c r="F196" s="58"/>
      <c r="G196" s="77">
        <v>5703</v>
      </c>
      <c r="H196" s="58"/>
      <c r="I196" s="69"/>
      <c r="J196" s="57"/>
      <c r="K196" s="57"/>
      <c r="L196" s="57"/>
      <c r="M196" s="57"/>
      <c r="N196" s="59"/>
      <c r="O196" s="71"/>
      <c r="P196" s="56"/>
      <c r="Q196" s="56"/>
      <c r="R196" s="56"/>
      <c r="S196" s="56"/>
      <c r="T196" s="60"/>
      <c r="U196" s="74"/>
      <c r="V196" s="55"/>
      <c r="W196" s="55"/>
      <c r="X196" s="55"/>
      <c r="Y196" s="55"/>
      <c r="Z196" s="55"/>
      <c r="AA196" s="55"/>
      <c r="AB196" s="55"/>
      <c r="AC196" s="55">
        <f>IF(COUNTIF($C$3:C196,C196)=1,1,IF(COUNTIF($E$3:E196,E196)=1,2,0))</f>
        <v>0</v>
      </c>
      <c r="AD196" s="55">
        <f>IF(ISNUMBER(SEARCH("-",Database[[#This Row],[KEYNOTE '#]])),LEFT(Database[[#This Row],[KEYNOTE '#]],FIND("-",Database[[#This Row],[KEYNOTE '#]])-1),Database[[#This Row],[KEYNOTE '#]])</f>
        <v>5703</v>
      </c>
      <c r="AE196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6" s="55" t="str">
        <f>IF(AND(ISNUMBER(SEARCH("-",Database[[#This Row],[KEYNOTE '#]]))=TRUE,ISNUMBER(--RIGHT(Database[[#This Row],[KEYNOTE '#]]))=FALSE),RIGHT(Database[[#This Row],[KEYNOTE '#]],1),"")</f>
        <v/>
      </c>
      <c r="AG196" s="55">
        <v>194</v>
      </c>
      <c r="AH196" s="55" t="str">
        <f>IF(COUNTIF(Database[[#This Row],[BASE]:[INT. OTHER]],"g"),"INTERIOR",IF(COUNTIF(Database[[#This Row],[ROOF]:[EXT. OTHER]],"n"),"EXTERIOR",Database[[#This Row],[DIVISION '#]]))</f>
        <v>SYSTEM NOTES</v>
      </c>
      <c r="AI196" s="55" t="str">
        <f>IF(OR(Database[[#This Row],[KEYTIER1]]="INTERIOR",Database[[#This Row],[KEYTIER1]]="EXTERIOR"),"",Database[[#This Row],[DIVISION NAME]])</f>
        <v>BY CATEGORY</v>
      </c>
      <c r="AJ196" s="55" t="str">
        <f>IF(Database[[#This Row],[KEYTIER1]]="INTERIOR","INT",IF(Database[[#This Row],[KEYTIER1]]="EXTERIOR","EXT",Database[[#This Row],[SECTION '#]]))</f>
        <v>MECHANICAL</v>
      </c>
      <c r="AK196" s="55" t="str">
        <f>IF(OR(Database[[#This Row],[KEYTIER2]]="INT",Database[[#This Row],[KEYTIER2]]="EXT"),"",IF(Database[[#This Row],[SECTION NAME]]="","",Database[[#This Row],[SECTION NAME]]))</f>
        <v/>
      </c>
    </row>
    <row r="197" spans="2:37" ht="30" x14ac:dyDescent="0.25">
      <c r="B197" s="55" t="s">
        <v>71</v>
      </c>
      <c r="C197" s="55" t="s">
        <v>165</v>
      </c>
      <c r="D197" s="55" t="s">
        <v>73</v>
      </c>
      <c r="E197" s="55" t="s">
        <v>194</v>
      </c>
      <c r="F197" s="58"/>
      <c r="G197" s="77">
        <v>5704</v>
      </c>
      <c r="H197" s="58"/>
      <c r="I197" s="69"/>
      <c r="J197" s="57"/>
      <c r="K197" s="57"/>
      <c r="L197" s="57"/>
      <c r="M197" s="57"/>
      <c r="N197" s="59"/>
      <c r="O197" s="71"/>
      <c r="P197" s="56"/>
      <c r="Q197" s="56"/>
      <c r="R197" s="56"/>
      <c r="S197" s="56"/>
      <c r="T197" s="60"/>
      <c r="U197" s="74"/>
      <c r="V197" s="55"/>
      <c r="W197" s="55"/>
      <c r="X197" s="55"/>
      <c r="Y197" s="55"/>
      <c r="Z197" s="55"/>
      <c r="AA197" s="55"/>
      <c r="AB197" s="55"/>
      <c r="AC197" s="55">
        <f>IF(COUNTIF($C$3:C197,C197)=1,1,IF(COUNTIF($E$3:E197,E197)=1,2,0))</f>
        <v>2</v>
      </c>
      <c r="AD197" s="55">
        <f>IF(ISNUMBER(SEARCH("-",Database[[#This Row],[KEYNOTE '#]])),LEFT(Database[[#This Row],[KEYNOTE '#]],FIND("-",Database[[#This Row],[KEYNOTE '#]])-1),Database[[#This Row],[KEYNOTE '#]])</f>
        <v>5704</v>
      </c>
      <c r="AE197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7" s="55" t="str">
        <f>IF(AND(ISNUMBER(SEARCH("-",Database[[#This Row],[KEYNOTE '#]]))=TRUE,ISNUMBER(--RIGHT(Database[[#This Row],[KEYNOTE '#]]))=FALSE),RIGHT(Database[[#This Row],[KEYNOTE '#]],1),"")</f>
        <v/>
      </c>
      <c r="AG197" s="55">
        <v>195</v>
      </c>
      <c r="AH197" s="55" t="str">
        <f>IF(COUNTIF(Database[[#This Row],[BASE]:[INT. OTHER]],"g"),"INTERIOR",IF(COUNTIF(Database[[#This Row],[ROOF]:[EXT. OTHER]],"n"),"EXTERIOR",Database[[#This Row],[DIVISION '#]]))</f>
        <v>SYSTEM NOTES</v>
      </c>
      <c r="AI197" s="55" t="str">
        <f>IF(OR(Database[[#This Row],[KEYTIER1]]="INTERIOR",Database[[#This Row],[KEYTIER1]]="EXTERIOR"),"",Database[[#This Row],[DIVISION NAME]])</f>
        <v>BY CATEGORY</v>
      </c>
      <c r="AJ197" s="55" t="str">
        <f>IF(Database[[#This Row],[KEYTIER1]]="INTERIOR","INT",IF(Database[[#This Row],[KEYTIER1]]="EXTERIOR","EXT",Database[[#This Row],[SECTION '#]]))</f>
        <v>PLUMBING</v>
      </c>
      <c r="AK197" s="55" t="str">
        <f>IF(OR(Database[[#This Row],[KEYTIER2]]="INT",Database[[#This Row],[KEYTIER2]]="EXT"),"",IF(Database[[#This Row],[SECTION NAME]]="","",Database[[#This Row],[SECTION NAME]]))</f>
        <v/>
      </c>
    </row>
    <row r="198" spans="2:37" ht="30" x14ac:dyDescent="0.25">
      <c r="B198" s="55" t="s">
        <v>71</v>
      </c>
      <c r="C198" s="55" t="s">
        <v>165</v>
      </c>
      <c r="D198" s="55" t="s">
        <v>73</v>
      </c>
      <c r="E198" s="55" t="s">
        <v>194</v>
      </c>
      <c r="F198" s="58"/>
      <c r="G198" s="77">
        <v>5705</v>
      </c>
      <c r="H198" s="58"/>
      <c r="I198" s="69"/>
      <c r="J198" s="57"/>
      <c r="K198" s="57"/>
      <c r="L198" s="57"/>
      <c r="M198" s="57"/>
      <c r="N198" s="59"/>
      <c r="O198" s="71"/>
      <c r="P198" s="56"/>
      <c r="Q198" s="56"/>
      <c r="R198" s="56"/>
      <c r="S198" s="56"/>
      <c r="T198" s="60"/>
      <c r="U198" s="74"/>
      <c r="V198" s="55"/>
      <c r="W198" s="55"/>
      <c r="X198" s="55"/>
      <c r="Y198" s="55"/>
      <c r="Z198" s="55"/>
      <c r="AA198" s="55"/>
      <c r="AB198" s="55"/>
      <c r="AC198" s="55">
        <f>IF(COUNTIF($C$3:C198,C198)=1,1,IF(COUNTIF($E$3:E198,E198)=1,2,0))</f>
        <v>0</v>
      </c>
      <c r="AD198" s="55">
        <f>IF(ISNUMBER(SEARCH("-",Database[[#This Row],[KEYNOTE '#]])),LEFT(Database[[#This Row],[KEYNOTE '#]],FIND("-",Database[[#This Row],[KEYNOTE '#]])-1),Database[[#This Row],[KEYNOTE '#]])</f>
        <v>5705</v>
      </c>
      <c r="AE198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8" s="55" t="str">
        <f>IF(AND(ISNUMBER(SEARCH("-",Database[[#This Row],[KEYNOTE '#]]))=TRUE,ISNUMBER(--RIGHT(Database[[#This Row],[KEYNOTE '#]]))=FALSE),RIGHT(Database[[#This Row],[KEYNOTE '#]],1),"")</f>
        <v/>
      </c>
      <c r="AG198" s="55">
        <v>196</v>
      </c>
      <c r="AH198" s="55" t="str">
        <f>IF(COUNTIF(Database[[#This Row],[BASE]:[INT. OTHER]],"g"),"INTERIOR",IF(COUNTIF(Database[[#This Row],[ROOF]:[EXT. OTHER]],"n"),"EXTERIOR",Database[[#This Row],[DIVISION '#]]))</f>
        <v>SYSTEM NOTES</v>
      </c>
      <c r="AI198" s="55" t="str">
        <f>IF(OR(Database[[#This Row],[KEYTIER1]]="INTERIOR",Database[[#This Row],[KEYTIER1]]="EXTERIOR"),"",Database[[#This Row],[DIVISION NAME]])</f>
        <v>BY CATEGORY</v>
      </c>
      <c r="AJ198" s="55" t="str">
        <f>IF(Database[[#This Row],[KEYTIER1]]="INTERIOR","INT",IF(Database[[#This Row],[KEYTIER1]]="EXTERIOR","EXT",Database[[#This Row],[SECTION '#]]))</f>
        <v>PLUMBING</v>
      </c>
      <c r="AK198" s="55" t="str">
        <f>IF(OR(Database[[#This Row],[KEYTIER2]]="INT",Database[[#This Row],[KEYTIER2]]="EXT"),"",IF(Database[[#This Row],[SECTION NAME]]="","",Database[[#This Row],[SECTION NAME]]))</f>
        <v/>
      </c>
    </row>
    <row r="199" spans="2:37" ht="30" x14ac:dyDescent="0.25">
      <c r="B199" s="55" t="s">
        <v>71</v>
      </c>
      <c r="C199" s="55" t="s">
        <v>165</v>
      </c>
      <c r="D199" s="55" t="s">
        <v>73</v>
      </c>
      <c r="E199" s="55" t="s">
        <v>194</v>
      </c>
      <c r="F199" s="58"/>
      <c r="G199" s="77">
        <v>5706</v>
      </c>
      <c r="H199" s="58"/>
      <c r="I199" s="69"/>
      <c r="J199" s="57"/>
      <c r="K199" s="57"/>
      <c r="L199" s="57"/>
      <c r="M199" s="57"/>
      <c r="N199" s="59"/>
      <c r="O199" s="71"/>
      <c r="P199" s="56"/>
      <c r="Q199" s="56"/>
      <c r="R199" s="56"/>
      <c r="S199" s="56"/>
      <c r="T199" s="60"/>
      <c r="U199" s="74"/>
      <c r="V199" s="55"/>
      <c r="W199" s="55"/>
      <c r="X199" s="55"/>
      <c r="Y199" s="55"/>
      <c r="Z199" s="55"/>
      <c r="AA199" s="55"/>
      <c r="AB199" s="55"/>
      <c r="AC199" s="55">
        <f>IF(COUNTIF($C$3:C199,C199)=1,1,IF(COUNTIF($E$3:E199,E199)=1,2,0))</f>
        <v>0</v>
      </c>
      <c r="AD199" s="55">
        <f>IF(ISNUMBER(SEARCH("-",Database[[#This Row],[KEYNOTE '#]])),LEFT(Database[[#This Row],[KEYNOTE '#]],FIND("-",Database[[#This Row],[KEYNOTE '#]])-1),Database[[#This Row],[KEYNOTE '#]])</f>
        <v>5706</v>
      </c>
      <c r="AE199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199" s="55" t="str">
        <f>IF(AND(ISNUMBER(SEARCH("-",Database[[#This Row],[KEYNOTE '#]]))=TRUE,ISNUMBER(--RIGHT(Database[[#This Row],[KEYNOTE '#]]))=FALSE),RIGHT(Database[[#This Row],[KEYNOTE '#]],1),"")</f>
        <v/>
      </c>
      <c r="AG199" s="55">
        <v>197</v>
      </c>
      <c r="AH199" s="55" t="str">
        <f>IF(COUNTIF(Database[[#This Row],[BASE]:[INT. OTHER]],"g"),"INTERIOR",IF(COUNTIF(Database[[#This Row],[ROOF]:[EXT. OTHER]],"n"),"EXTERIOR",Database[[#This Row],[DIVISION '#]]))</f>
        <v>SYSTEM NOTES</v>
      </c>
      <c r="AI199" s="55" t="str">
        <f>IF(OR(Database[[#This Row],[KEYTIER1]]="INTERIOR",Database[[#This Row],[KEYTIER1]]="EXTERIOR"),"",Database[[#This Row],[DIVISION NAME]])</f>
        <v>BY CATEGORY</v>
      </c>
      <c r="AJ199" s="55" t="str">
        <f>IF(Database[[#This Row],[KEYTIER1]]="INTERIOR","INT",IF(Database[[#This Row],[KEYTIER1]]="EXTERIOR","EXT",Database[[#This Row],[SECTION '#]]))</f>
        <v>PLUMBING</v>
      </c>
      <c r="AK199" s="55" t="str">
        <f>IF(OR(Database[[#This Row],[KEYTIER2]]="INT",Database[[#This Row],[KEYTIER2]]="EXT"),"",IF(Database[[#This Row],[SECTION NAME]]="","",Database[[#This Row],[SECTION NAME]]))</f>
        <v/>
      </c>
    </row>
    <row r="200" spans="2:37" ht="30" x14ac:dyDescent="0.25">
      <c r="B200" s="55" t="s">
        <v>71</v>
      </c>
      <c r="C200" s="55" t="s">
        <v>165</v>
      </c>
      <c r="D200" s="55" t="s">
        <v>73</v>
      </c>
      <c r="E200" s="55" t="s">
        <v>198</v>
      </c>
      <c r="F200" s="58"/>
      <c r="G200" s="77">
        <v>7101</v>
      </c>
      <c r="H200" s="58"/>
      <c r="I200" s="69"/>
      <c r="J200" s="57"/>
      <c r="K200" s="57"/>
      <c r="L200" s="57"/>
      <c r="M200" s="57"/>
      <c r="N200" s="59"/>
      <c r="O200" s="71"/>
      <c r="P200" s="56"/>
      <c r="Q200" s="56"/>
      <c r="R200" s="56"/>
      <c r="S200" s="56"/>
      <c r="T200" s="60"/>
      <c r="U200" s="74"/>
      <c r="V200" s="55"/>
      <c r="W200" s="55"/>
      <c r="X200" s="55"/>
      <c r="Y200" s="55"/>
      <c r="Z200" s="55"/>
      <c r="AA200" s="55"/>
      <c r="AB200" s="55"/>
      <c r="AC200" s="55">
        <f>IF(COUNTIF($C$3:C200,C200)=1,1,IF(COUNTIF($E$3:E200,E200)=1,2,0))</f>
        <v>2</v>
      </c>
      <c r="AD200" s="55">
        <f>IF(ISNUMBER(SEARCH("-",Database[[#This Row],[KEYNOTE '#]])),LEFT(Database[[#This Row],[KEYNOTE '#]],FIND("-",Database[[#This Row],[KEYNOTE '#]])-1),Database[[#This Row],[KEYNOTE '#]])</f>
        <v>7101</v>
      </c>
      <c r="AE200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0" s="55" t="str">
        <f>IF(AND(ISNUMBER(SEARCH("-",Database[[#This Row],[KEYNOTE '#]]))=TRUE,ISNUMBER(--RIGHT(Database[[#This Row],[KEYNOTE '#]]))=FALSE),RIGHT(Database[[#This Row],[KEYNOTE '#]],1),"")</f>
        <v/>
      </c>
      <c r="AG200" s="55">
        <v>198</v>
      </c>
      <c r="AH200" s="55" t="str">
        <f>IF(COUNTIF(Database[[#This Row],[BASE]:[INT. OTHER]],"g"),"INTERIOR",IF(COUNTIF(Database[[#This Row],[ROOF]:[EXT. OTHER]],"n"),"EXTERIOR",Database[[#This Row],[DIVISION '#]]))</f>
        <v>SYSTEM NOTES</v>
      </c>
      <c r="AI200" s="55" t="str">
        <f>IF(OR(Database[[#This Row],[KEYTIER1]]="INTERIOR",Database[[#This Row],[KEYTIER1]]="EXTERIOR"),"",Database[[#This Row],[DIVISION NAME]])</f>
        <v>BY CATEGORY</v>
      </c>
      <c r="AJ200" s="55" t="str">
        <f>IF(Database[[#This Row],[KEYTIER1]]="INTERIOR","INT",IF(Database[[#This Row],[KEYTIER1]]="EXTERIOR","EXT",Database[[#This Row],[SECTION '#]]))</f>
        <v>STRUCTURAL</v>
      </c>
      <c r="AK200" s="55" t="str">
        <f>IF(OR(Database[[#This Row],[KEYTIER2]]="INT",Database[[#This Row],[KEYTIER2]]="EXT"),"",IF(Database[[#This Row],[SECTION NAME]]="","",Database[[#This Row],[SECTION NAME]]))</f>
        <v/>
      </c>
    </row>
    <row r="201" spans="2:37" ht="30" x14ac:dyDescent="0.25">
      <c r="B201" s="55" t="s">
        <v>71</v>
      </c>
      <c r="C201" s="55" t="s">
        <v>165</v>
      </c>
      <c r="D201" s="55" t="s">
        <v>73</v>
      </c>
      <c r="E201" s="55" t="s">
        <v>198</v>
      </c>
      <c r="F201" s="58"/>
      <c r="G201" s="77">
        <v>7102</v>
      </c>
      <c r="H201" s="58"/>
      <c r="I201" s="69"/>
      <c r="J201" s="57"/>
      <c r="K201" s="57"/>
      <c r="L201" s="57"/>
      <c r="M201" s="57"/>
      <c r="N201" s="59"/>
      <c r="O201" s="71"/>
      <c r="P201" s="56"/>
      <c r="Q201" s="56"/>
      <c r="R201" s="56"/>
      <c r="S201" s="56"/>
      <c r="T201" s="60"/>
      <c r="U201" s="74"/>
      <c r="V201" s="55"/>
      <c r="W201" s="55"/>
      <c r="X201" s="55"/>
      <c r="Y201" s="55"/>
      <c r="Z201" s="55"/>
      <c r="AA201" s="55"/>
      <c r="AB201" s="55"/>
      <c r="AC201" s="55">
        <f>IF(COUNTIF($C$3:C201,C201)=1,1,IF(COUNTIF($E$3:E201,E201)=1,2,0))</f>
        <v>0</v>
      </c>
      <c r="AD201" s="55">
        <f>IF(ISNUMBER(SEARCH("-",Database[[#This Row],[KEYNOTE '#]])),LEFT(Database[[#This Row],[KEYNOTE '#]],FIND("-",Database[[#This Row],[KEYNOTE '#]])-1),Database[[#This Row],[KEYNOTE '#]])</f>
        <v>7102</v>
      </c>
      <c r="AE201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1" s="55" t="str">
        <f>IF(AND(ISNUMBER(SEARCH("-",Database[[#This Row],[KEYNOTE '#]]))=TRUE,ISNUMBER(--RIGHT(Database[[#This Row],[KEYNOTE '#]]))=FALSE),RIGHT(Database[[#This Row],[KEYNOTE '#]],1),"")</f>
        <v/>
      </c>
      <c r="AG201" s="55">
        <v>199</v>
      </c>
      <c r="AH201" s="55" t="str">
        <f>IF(COUNTIF(Database[[#This Row],[BASE]:[INT. OTHER]],"g"),"INTERIOR",IF(COUNTIF(Database[[#This Row],[ROOF]:[EXT. OTHER]],"n"),"EXTERIOR",Database[[#This Row],[DIVISION '#]]))</f>
        <v>SYSTEM NOTES</v>
      </c>
      <c r="AI201" s="55" t="str">
        <f>IF(OR(Database[[#This Row],[KEYTIER1]]="INTERIOR",Database[[#This Row],[KEYTIER1]]="EXTERIOR"),"",Database[[#This Row],[DIVISION NAME]])</f>
        <v>BY CATEGORY</v>
      </c>
      <c r="AJ201" s="55" t="str">
        <f>IF(Database[[#This Row],[KEYTIER1]]="INTERIOR","INT",IF(Database[[#This Row],[KEYTIER1]]="EXTERIOR","EXT",Database[[#This Row],[SECTION '#]]))</f>
        <v>STRUCTURAL</v>
      </c>
      <c r="AK201" s="55" t="str">
        <f>IF(OR(Database[[#This Row],[KEYTIER2]]="INT",Database[[#This Row],[KEYTIER2]]="EXT"),"",IF(Database[[#This Row],[SECTION NAME]]="","",Database[[#This Row],[SECTION NAME]]))</f>
        <v/>
      </c>
    </row>
    <row r="202" spans="2:37" ht="30" x14ac:dyDescent="0.25">
      <c r="B202" s="55" t="s">
        <v>71</v>
      </c>
      <c r="C202" s="55" t="s">
        <v>165</v>
      </c>
      <c r="D202" s="55" t="s">
        <v>73</v>
      </c>
      <c r="E202" s="55" t="s">
        <v>198</v>
      </c>
      <c r="F202" s="58"/>
      <c r="G202" s="77">
        <v>7103</v>
      </c>
      <c r="H202" s="58"/>
      <c r="I202" s="69"/>
      <c r="J202" s="57"/>
      <c r="K202" s="57"/>
      <c r="L202" s="57"/>
      <c r="M202" s="57"/>
      <c r="N202" s="59"/>
      <c r="O202" s="71"/>
      <c r="P202" s="56"/>
      <c r="Q202" s="56"/>
      <c r="R202" s="56"/>
      <c r="S202" s="56"/>
      <c r="T202" s="60"/>
      <c r="U202" s="74"/>
      <c r="V202" s="55"/>
      <c r="W202" s="55"/>
      <c r="X202" s="55"/>
      <c r="Y202" s="55"/>
      <c r="Z202" s="55"/>
      <c r="AA202" s="55"/>
      <c r="AB202" s="55"/>
      <c r="AC202" s="55">
        <f>IF(COUNTIF($C$3:C202,C202)=1,1,IF(COUNTIF($E$3:E202,E202)=1,2,0))</f>
        <v>0</v>
      </c>
      <c r="AD202" s="55">
        <f>IF(ISNUMBER(SEARCH("-",Database[[#This Row],[KEYNOTE '#]])),LEFT(Database[[#This Row],[KEYNOTE '#]],FIND("-",Database[[#This Row],[KEYNOTE '#]])-1),Database[[#This Row],[KEYNOTE '#]])</f>
        <v>7103</v>
      </c>
      <c r="AE202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2" s="55" t="str">
        <f>IF(AND(ISNUMBER(SEARCH("-",Database[[#This Row],[KEYNOTE '#]]))=TRUE,ISNUMBER(--RIGHT(Database[[#This Row],[KEYNOTE '#]]))=FALSE),RIGHT(Database[[#This Row],[KEYNOTE '#]],1),"")</f>
        <v/>
      </c>
      <c r="AG202" s="55">
        <v>200</v>
      </c>
      <c r="AH202" s="55" t="str">
        <f>IF(COUNTIF(Database[[#This Row],[BASE]:[INT. OTHER]],"g"),"INTERIOR",IF(COUNTIF(Database[[#This Row],[ROOF]:[EXT. OTHER]],"n"),"EXTERIOR",Database[[#This Row],[DIVISION '#]]))</f>
        <v>SYSTEM NOTES</v>
      </c>
      <c r="AI202" s="55" t="str">
        <f>IF(OR(Database[[#This Row],[KEYTIER1]]="INTERIOR",Database[[#This Row],[KEYTIER1]]="EXTERIOR"),"",Database[[#This Row],[DIVISION NAME]])</f>
        <v>BY CATEGORY</v>
      </c>
      <c r="AJ202" s="55" t="str">
        <f>IF(Database[[#This Row],[KEYTIER1]]="INTERIOR","INT",IF(Database[[#This Row],[KEYTIER1]]="EXTERIOR","EXT",Database[[#This Row],[SECTION '#]]))</f>
        <v>STRUCTURAL</v>
      </c>
      <c r="AK202" s="55" t="str">
        <f>IF(OR(Database[[#This Row],[KEYTIER2]]="INT",Database[[#This Row],[KEYTIER2]]="EXT"),"",IF(Database[[#This Row],[SECTION NAME]]="","",Database[[#This Row],[SECTION NAME]]))</f>
        <v/>
      </c>
    </row>
    <row r="203" spans="2:37" x14ac:dyDescent="0.25">
      <c r="B203" s="55" t="s">
        <v>202</v>
      </c>
      <c r="C203" s="55" t="s">
        <v>203</v>
      </c>
      <c r="D203" s="55" t="s">
        <v>204</v>
      </c>
      <c r="E203" s="55" t="s">
        <v>205</v>
      </c>
      <c r="F203" s="58" t="s">
        <v>206</v>
      </c>
      <c r="G203" s="77" t="s">
        <v>207</v>
      </c>
      <c r="H203" s="58" t="s">
        <v>208</v>
      </c>
      <c r="I203" s="69"/>
      <c r="J203" s="57"/>
      <c r="K203" s="57"/>
      <c r="L203" s="57"/>
      <c r="M203" s="57"/>
      <c r="N203" s="59"/>
      <c r="O203" s="71"/>
      <c r="P203" s="56"/>
      <c r="Q203" s="56"/>
      <c r="R203" s="56"/>
      <c r="S203" s="56"/>
      <c r="T203" s="60"/>
      <c r="U203" s="74"/>
      <c r="V203" s="55"/>
      <c r="W203" s="55"/>
      <c r="X203" s="55"/>
      <c r="Y203" s="55"/>
      <c r="Z203" s="55"/>
      <c r="AA203" s="55"/>
      <c r="AB203" s="55"/>
      <c r="AC203" s="55">
        <f>IF(COUNTIF($C$3:C203,C203)=1,1,IF(COUNTIF($E$3:E203,E203)=1,2,0))</f>
        <v>1</v>
      </c>
      <c r="AD203" s="55" t="str">
        <f>IF(ISNUMBER(SEARCH("-",Database[[#This Row],[KEYNOTE '#]])),LEFT(Database[[#This Row],[KEYNOTE '#]],FIND("-",Database[[#This Row],[KEYNOTE '#]])-1),Database[[#This Row],[KEYNOTE '#]])</f>
        <v>B2010.20</v>
      </c>
      <c r="AE203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3" s="55" t="str">
        <f>IF(AND(ISNUMBER(SEARCH("-",Database[[#This Row],[KEYNOTE '#]]))=TRUE,ISNUMBER(--RIGHT(Database[[#This Row],[KEYNOTE '#]]))=FALSE),RIGHT(Database[[#This Row],[KEYNOTE '#]],1),"")</f>
        <v/>
      </c>
      <c r="AG203" s="55">
        <v>201</v>
      </c>
      <c r="AH203" s="55" t="str">
        <f>IF(COUNTIF(Database[[#This Row],[BASE]:[INT. OTHER]],"g"),"INTERIOR",IF(COUNTIF(Database[[#This Row],[ROOF]:[EXT. OTHER]],"n"),"EXTERIOR",Database[[#This Row],[DIVISION '#]]))</f>
        <v>B</v>
      </c>
      <c r="AI203" s="55" t="str">
        <f>IF(OR(Database[[#This Row],[KEYTIER1]]="INTERIOR",Database[[#This Row],[KEYTIER1]]="EXTERIOR"),"",Database[[#This Row],[DIVISION NAME]])</f>
        <v>SHELL</v>
      </c>
      <c r="AJ203" s="55" t="str">
        <f>IF(Database[[#This Row],[KEYTIER1]]="INTERIOR","INT",IF(Database[[#This Row],[KEYTIER1]]="EXTERIOR","EXT",Database[[#This Row],[SECTION '#]]))</f>
        <v>B20</v>
      </c>
      <c r="AK203" s="55" t="str">
        <f>IF(OR(Database[[#This Row],[KEYTIER2]]="INT",Database[[#This Row],[KEYTIER2]]="EXT"),"",IF(Database[[#This Row],[SECTION NAME]]="","",Database[[#This Row],[SECTION NAME]]))</f>
        <v>Exterior Vertical Enclosures</v>
      </c>
    </row>
    <row r="204" spans="2:37" x14ac:dyDescent="0.25">
      <c r="B204" s="55" t="s">
        <v>202</v>
      </c>
      <c r="C204" s="55" t="s">
        <v>203</v>
      </c>
      <c r="D204" s="55" t="s">
        <v>204</v>
      </c>
      <c r="E204" s="55" t="s">
        <v>205</v>
      </c>
      <c r="F204" s="58" t="s">
        <v>206</v>
      </c>
      <c r="G204" s="77" t="s">
        <v>209</v>
      </c>
      <c r="H204" s="58" t="s">
        <v>210</v>
      </c>
      <c r="I204" s="69"/>
      <c r="J204" s="57"/>
      <c r="K204" s="57"/>
      <c r="L204" s="57"/>
      <c r="M204" s="57"/>
      <c r="N204" s="59"/>
      <c r="O204" s="71"/>
      <c r="P204" s="56"/>
      <c r="Q204" s="56"/>
      <c r="R204" s="56"/>
      <c r="S204" s="56"/>
      <c r="T204" s="60"/>
      <c r="U204" s="74"/>
      <c r="V204" s="55"/>
      <c r="W204" s="55"/>
      <c r="X204" s="55"/>
      <c r="Y204" s="55"/>
      <c r="Z204" s="55"/>
      <c r="AA204" s="55"/>
      <c r="AB204" s="55"/>
      <c r="AC204" s="55">
        <f>IF(COUNTIF($C$3:C204,C204)=1,1,IF(COUNTIF($E$3:E204,E204)=1,2,0))</f>
        <v>0</v>
      </c>
      <c r="AD204" s="55" t="str">
        <f>IF(ISNUMBER(SEARCH("-",Database[[#This Row],[KEYNOTE '#]])),LEFT(Database[[#This Row],[KEYNOTE '#]],FIND("-",Database[[#This Row],[KEYNOTE '#]])-1),Database[[#This Row],[KEYNOTE '#]])</f>
        <v>B2020.30</v>
      </c>
      <c r="AE204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4" s="55" t="str">
        <f>IF(AND(ISNUMBER(SEARCH("-",Database[[#This Row],[KEYNOTE '#]]))=TRUE,ISNUMBER(--RIGHT(Database[[#This Row],[KEYNOTE '#]]))=FALSE),RIGHT(Database[[#This Row],[KEYNOTE '#]],1),"")</f>
        <v/>
      </c>
      <c r="AG204" s="55">
        <v>202</v>
      </c>
      <c r="AH204" s="55" t="str">
        <f>IF(COUNTIF(Database[[#This Row],[BASE]:[INT. OTHER]],"g"),"INTERIOR",IF(COUNTIF(Database[[#This Row],[ROOF]:[EXT. OTHER]],"n"),"EXTERIOR",Database[[#This Row],[DIVISION '#]]))</f>
        <v>B</v>
      </c>
      <c r="AI204" s="55" t="str">
        <f>IF(OR(Database[[#This Row],[KEYTIER1]]="INTERIOR",Database[[#This Row],[KEYTIER1]]="EXTERIOR"),"",Database[[#This Row],[DIVISION NAME]])</f>
        <v>SHELL</v>
      </c>
      <c r="AJ204" s="55" t="str">
        <f>IF(Database[[#This Row],[KEYTIER1]]="INTERIOR","INT",IF(Database[[#This Row],[KEYTIER1]]="EXTERIOR","EXT",Database[[#This Row],[SECTION '#]]))</f>
        <v>B20</v>
      </c>
      <c r="AK204" s="55" t="str">
        <f>IF(OR(Database[[#This Row],[KEYTIER2]]="INT",Database[[#This Row],[KEYTIER2]]="EXT"),"",IF(Database[[#This Row],[SECTION NAME]]="","",Database[[#This Row],[SECTION NAME]]))</f>
        <v>Exterior Vertical Enclosures</v>
      </c>
    </row>
    <row r="205" spans="2:37" x14ac:dyDescent="0.25">
      <c r="B205" s="55" t="s">
        <v>202</v>
      </c>
      <c r="C205" s="55" t="s">
        <v>211</v>
      </c>
      <c r="D205" s="55" t="s">
        <v>212</v>
      </c>
      <c r="E205" s="55" t="s">
        <v>213</v>
      </c>
      <c r="F205" s="58" t="s">
        <v>214</v>
      </c>
      <c r="G205" s="77" t="s">
        <v>215</v>
      </c>
      <c r="H205" s="58" t="s">
        <v>216</v>
      </c>
      <c r="I205" s="69"/>
      <c r="J205" s="57"/>
      <c r="K205" s="57"/>
      <c r="L205" s="57"/>
      <c r="M205" s="57"/>
      <c r="N205" s="59"/>
      <c r="O205" s="71"/>
      <c r="P205" s="56"/>
      <c r="Q205" s="56"/>
      <c r="R205" s="56"/>
      <c r="S205" s="56"/>
      <c r="T205" s="60"/>
      <c r="U205" s="74"/>
      <c r="V205" s="55"/>
      <c r="W205" s="55"/>
      <c r="X205" s="55"/>
      <c r="Y205" s="55"/>
      <c r="Z205" s="55"/>
      <c r="AA205" s="55"/>
      <c r="AB205" s="55"/>
      <c r="AC205" s="55">
        <f>IF(COUNTIF($C$3:C205,C205)=1,1,IF(COUNTIF($E$3:E205,E205)=1,2,0))</f>
        <v>1</v>
      </c>
      <c r="AD205" s="55" t="str">
        <f>IF(ISNUMBER(SEARCH("-",Database[[#This Row],[KEYNOTE '#]])),LEFT(Database[[#This Row],[KEYNOTE '#]],FIND("-",Database[[#This Row],[KEYNOTE '#]])-1),Database[[#This Row],[KEYNOTE '#]])</f>
        <v>C1010.10</v>
      </c>
      <c r="AE205" s="55" t="str">
        <f>IF(AND(ISNUMBER(SEARCH("-",Database[[#This Row],[KEYNOTE '#]])),ISNUMBER(--RIGHT(Database[[#This Row],[KEYNOTE '#]]))=TRUE),MID(Database[[#This Row],[KEYNOTE '#]],FIND("-",Database[[#This Row],[KEYNOTE '#]])+1,2),IF(AND(ISNUMBER(SEARCH("-",Database[[#This Row],[KEYNOTE '#]])),ISNUMBER(--RIGHT(Database[[#This Row],[KEYNOTE '#]]))=FALSE),LEFT(MID(Database[[#This Row],[KEYNOTE '#]],FIND("-",Database[[#This Row],[KEYNOTE '#]])+1,2),LEN(MID(Database[[#This Row],[KEYNOTE '#]],FIND("-",Database[[#This Row],[KEYNOTE '#]])+1,2))-1),""))</f>
        <v/>
      </c>
      <c r="AF205" s="55" t="str">
        <f>IF(AND(ISNUMBER(SEARCH("-",Database[[#This Row],[KEYNOTE '#]]))=TRUE,ISNUMBER(--RIGHT(Database[[#This Row],[KEYNOTE '#]]))=FALSE),RIGHT(Database[[#This Row],[KEYNOTE '#]],1),"")</f>
        <v/>
      </c>
      <c r="AG205" s="55">
        <v>203</v>
      </c>
      <c r="AH205" s="55" t="str">
        <f>IF(COUNTIF(Database[[#This Row],[BASE]:[INT. OTHER]],"g"),"INTERIOR",IF(COUNTIF(Database[[#This Row],[ROOF]:[EXT. OTHER]],"n"),"EXTERIOR",Database[[#This Row],[DIVISION '#]]))</f>
        <v>C</v>
      </c>
      <c r="AI205" s="55" t="str">
        <f>IF(OR(Database[[#This Row],[KEYTIER1]]="INTERIOR",Database[[#This Row],[KEYTIER1]]="EXTERIOR"),"",Database[[#This Row],[DIVISION NAME]])</f>
        <v>INTERIORS</v>
      </c>
      <c r="AJ205" s="55" t="str">
        <f>IF(Database[[#This Row],[KEYTIER1]]="INTERIOR","INT",IF(Database[[#This Row],[KEYTIER1]]="EXTERIOR","EXT",Database[[#This Row],[SECTION '#]]))</f>
        <v>C10</v>
      </c>
      <c r="AK205" s="55" t="str">
        <f>IF(OR(Database[[#This Row],[KEYTIER2]]="INT",Database[[#This Row],[KEYTIER2]]="EXT"),"",IF(Database[[#This Row],[SECTION NAME]]="","",Database[[#This Row],[SECTION NAME]]))</f>
        <v>Interior Construction</v>
      </c>
    </row>
  </sheetData>
  <mergeCells count="2">
    <mergeCell ref="I1:N1"/>
    <mergeCell ref="O1:T1"/>
  </mergeCells>
  <phoneticPr fontId="10" type="noConversion"/>
  <conditionalFormatting sqref="G3:G205">
    <cfRule type="duplicateValues" dxfId="42" priority="1"/>
  </conditionalFormatting>
  <conditionalFormatting sqref="B3:AK205">
    <cfRule type="expression" dxfId="41" priority="2">
      <formula>$AC3=1</formula>
    </cfRule>
    <cfRule type="expression" dxfId="40" priority="3">
      <formula>$AC3=2</formula>
    </cfRule>
    <cfRule type="expression" dxfId="39" priority="4">
      <formula>AND(SUMPRODUCT(--($I3:$T3&lt;&gt;""))=0,$B3&lt;&gt;"NOTES")</formula>
    </cfRule>
  </conditionalFormatting>
  <conditionalFormatting sqref="I3:T205">
    <cfRule type="expression" dxfId="38" priority="5">
      <formula>$B3="NOTES"</formula>
    </cfRule>
  </conditionalFormatting>
  <pageMargins left="0.7" right="0.7" top="0.75" bottom="0.75" header="0.3" footer="0.3"/>
  <pageSetup paperSize="3" scale="87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08775-DFDC-49FB-BBDA-C651FC0CB3F4}">
  <sheetPr codeName="Sheet3"/>
  <dimension ref="A1:M98"/>
  <sheetViews>
    <sheetView showGridLines="0" tabSelected="1" zoomScale="70" zoomScaleNormal="70" workbookViewId="0">
      <selection activeCell="L29" sqref="L29"/>
    </sheetView>
  </sheetViews>
  <sheetFormatPr defaultColWidth="8.85546875" defaultRowHeight="16.5" x14ac:dyDescent="0.3"/>
  <cols>
    <col min="1" max="1" width="8.85546875" style="18"/>
    <col min="2" max="2" width="15" style="18" customWidth="1"/>
    <col min="3" max="3" width="52.7109375" style="18" customWidth="1"/>
    <col min="4" max="4" width="49.7109375" style="18" customWidth="1"/>
    <col min="5" max="5" width="43.42578125" style="18" customWidth="1"/>
    <col min="6" max="6" width="38.85546875" style="18" customWidth="1"/>
    <col min="7" max="7" width="40" style="18" customWidth="1"/>
    <col min="8" max="8" width="42.28515625" style="18" customWidth="1"/>
    <col min="9" max="11" width="49.7109375" style="18" customWidth="1"/>
    <col min="12" max="12" width="99.7109375" style="18" customWidth="1"/>
    <col min="13" max="16384" width="8.85546875" style="18"/>
  </cols>
  <sheetData>
    <row r="1" spans="1:13" x14ac:dyDescent="0.3">
      <c r="B1" s="88" t="s">
        <v>217</v>
      </c>
      <c r="C1" s="88" t="s">
        <v>8</v>
      </c>
      <c r="D1" s="88" t="s">
        <v>218</v>
      </c>
      <c r="E1" s="88"/>
      <c r="F1" s="88" t="s">
        <v>219</v>
      </c>
      <c r="G1" s="88" t="s">
        <v>22</v>
      </c>
      <c r="H1" s="88" t="s">
        <v>23</v>
      </c>
      <c r="I1" s="88" t="s">
        <v>24</v>
      </c>
      <c r="J1" s="88" t="s">
        <v>25</v>
      </c>
      <c r="K1" s="88" t="s">
        <v>220</v>
      </c>
      <c r="L1" s="88" t="s">
        <v>26</v>
      </c>
      <c r="M1" s="19"/>
    </row>
    <row r="2" spans="1:13" x14ac:dyDescent="0.3">
      <c r="B2" s="89"/>
      <c r="C2" s="88"/>
      <c r="D2" s="67" t="s">
        <v>19</v>
      </c>
      <c r="E2" s="67" t="s">
        <v>20</v>
      </c>
      <c r="F2" s="88"/>
      <c r="G2" s="88"/>
      <c r="H2" s="88"/>
      <c r="I2" s="88"/>
      <c r="J2" s="88"/>
      <c r="K2" s="88"/>
      <c r="L2" s="88"/>
      <c r="M2" s="19"/>
    </row>
    <row r="3" spans="1:13" x14ac:dyDescent="0.3">
      <c r="B3" s="20"/>
    </row>
    <row r="4" spans="1:13" x14ac:dyDescent="0.3">
      <c r="A4" s="21"/>
      <c r="B4" s="20" t="s">
        <v>9</v>
      </c>
    </row>
    <row r="5" spans="1:13" s="64" customFormat="1" ht="19.899999999999999" customHeight="1" x14ac:dyDescent="0.25">
      <c r="A5" s="61"/>
      <c r="B5" s="62" t="s">
        <v>8418</v>
      </c>
      <c r="C5" s="62" t="s">
        <v>8419</v>
      </c>
      <c r="D5" s="62"/>
      <c r="E5" s="62"/>
      <c r="F5" s="62"/>
      <c r="G5" s="62"/>
      <c r="H5" s="62"/>
      <c r="I5" s="62"/>
      <c r="J5" s="62"/>
      <c r="K5" s="63">
        <v>96513</v>
      </c>
      <c r="L5" s="62"/>
    </row>
    <row r="6" spans="1:13" s="64" customFormat="1" ht="19.899999999999999" customHeight="1" x14ac:dyDescent="0.25">
      <c r="A6" s="61"/>
      <c r="B6" s="62" t="s">
        <v>8329</v>
      </c>
      <c r="C6" s="62" t="s">
        <v>8330</v>
      </c>
      <c r="D6" s="62"/>
      <c r="E6" s="62"/>
      <c r="F6" s="62"/>
      <c r="G6" s="62"/>
      <c r="H6" s="62"/>
      <c r="I6" s="62"/>
      <c r="J6" s="62"/>
      <c r="K6" s="63">
        <v>64023</v>
      </c>
      <c r="L6" s="62"/>
    </row>
    <row r="7" spans="1:13" s="64" customFormat="1" ht="19.899999999999999" customHeight="1" x14ac:dyDescent="0.25">
      <c r="A7" s="61"/>
    </row>
    <row r="8" spans="1:13" s="64" customFormat="1" ht="19.899999999999999" customHeight="1" x14ac:dyDescent="0.25">
      <c r="A8" s="61"/>
      <c r="B8" s="65" t="s">
        <v>225</v>
      </c>
    </row>
    <row r="9" spans="1:13" s="64" customFormat="1" ht="19.899999999999999" customHeight="1" x14ac:dyDescent="0.25">
      <c r="A9" s="61"/>
      <c r="B9" s="62" t="s">
        <v>8441</v>
      </c>
      <c r="C9" s="62" t="s">
        <v>8442</v>
      </c>
      <c r="D9" s="62"/>
      <c r="E9" s="62"/>
      <c r="F9" s="62"/>
      <c r="G9" s="62"/>
      <c r="H9" s="62"/>
      <c r="I9" s="62"/>
      <c r="J9" s="62"/>
      <c r="K9" s="63">
        <v>97723</v>
      </c>
      <c r="L9" s="62"/>
    </row>
    <row r="10" spans="1:13" s="64" customFormat="1" ht="19.899999999999999" customHeight="1" x14ac:dyDescent="0.25">
      <c r="A10" s="61"/>
      <c r="B10" s="62" t="s">
        <v>8359</v>
      </c>
      <c r="C10" s="62" t="s">
        <v>8360</v>
      </c>
      <c r="D10" s="62"/>
      <c r="E10" s="62"/>
      <c r="F10" s="62"/>
      <c r="G10" s="62"/>
      <c r="H10" s="62"/>
      <c r="I10" s="62"/>
      <c r="J10" s="62"/>
      <c r="K10" s="63">
        <v>88000</v>
      </c>
      <c r="L10" s="62"/>
    </row>
    <row r="11" spans="1:13" s="64" customFormat="1" ht="19.899999999999999" customHeight="1" x14ac:dyDescent="0.25">
      <c r="A11" s="61"/>
      <c r="B11" s="62" t="s">
        <v>8361</v>
      </c>
      <c r="C11" s="62" t="s">
        <v>8362</v>
      </c>
      <c r="D11" s="62"/>
      <c r="E11" s="62"/>
      <c r="F11" s="62"/>
      <c r="G11" s="62"/>
      <c r="H11" s="62"/>
      <c r="I11" s="62"/>
      <c r="J11" s="62"/>
      <c r="K11" s="63">
        <v>88000</v>
      </c>
      <c r="L11" s="62"/>
    </row>
    <row r="12" spans="1:13" s="64" customFormat="1" ht="19.899999999999999" customHeight="1" x14ac:dyDescent="0.25">
      <c r="A12" s="61"/>
      <c r="B12" s="62" t="s">
        <v>8363</v>
      </c>
      <c r="C12" s="62" t="s">
        <v>8364</v>
      </c>
      <c r="D12" s="62"/>
      <c r="E12" s="62"/>
      <c r="F12" s="62"/>
      <c r="G12" s="62"/>
      <c r="H12" s="62"/>
      <c r="I12" s="62"/>
      <c r="J12" s="62"/>
      <c r="K12" s="63">
        <v>88000</v>
      </c>
      <c r="L12" s="62"/>
    </row>
    <row r="13" spans="1:13" s="64" customFormat="1" ht="19.899999999999999" customHeight="1" x14ac:dyDescent="0.25">
      <c r="A13" s="61"/>
      <c r="B13" s="62" t="s">
        <v>8365</v>
      </c>
      <c r="C13" s="62" t="s">
        <v>8366</v>
      </c>
      <c r="D13" s="62"/>
      <c r="E13" s="62"/>
      <c r="F13" s="62"/>
      <c r="G13" s="62"/>
      <c r="H13" s="62"/>
      <c r="I13" s="62"/>
      <c r="J13" s="62"/>
      <c r="K13" s="63">
        <v>88000</v>
      </c>
      <c r="L13" s="62"/>
    </row>
    <row r="14" spans="1:13" s="64" customFormat="1" ht="19.899999999999999" customHeight="1" x14ac:dyDescent="0.25">
      <c r="A14" s="61"/>
      <c r="B14" s="62" t="s">
        <v>8367</v>
      </c>
      <c r="C14" s="62" t="s">
        <v>8368</v>
      </c>
      <c r="D14" s="62"/>
      <c r="E14" s="62"/>
      <c r="F14" s="62"/>
      <c r="G14" s="62"/>
      <c r="H14" s="62"/>
      <c r="I14" s="62"/>
      <c r="J14" s="62"/>
      <c r="K14" s="63">
        <v>88000</v>
      </c>
      <c r="L14" s="62"/>
    </row>
    <row r="15" spans="1:13" s="64" customFormat="1" ht="19.899999999999999" customHeight="1" x14ac:dyDescent="0.25">
      <c r="A15" s="61"/>
      <c r="B15" s="62" t="s">
        <v>8369</v>
      </c>
      <c r="C15" s="62" t="s">
        <v>8370</v>
      </c>
      <c r="D15" s="62"/>
      <c r="E15" s="62"/>
      <c r="F15" s="62"/>
      <c r="G15" s="62"/>
      <c r="H15" s="62"/>
      <c r="I15" s="62"/>
      <c r="J15" s="62"/>
      <c r="K15" s="63">
        <v>88000</v>
      </c>
      <c r="L15" s="62"/>
    </row>
    <row r="16" spans="1:13" s="64" customFormat="1" ht="19.899999999999999" customHeight="1" x14ac:dyDescent="0.25">
      <c r="A16" s="61"/>
      <c r="B16" s="62" t="s">
        <v>8341</v>
      </c>
      <c r="C16" s="62" t="s">
        <v>8342</v>
      </c>
      <c r="D16" s="62"/>
      <c r="E16" s="62"/>
      <c r="F16" s="62"/>
      <c r="G16" s="62"/>
      <c r="H16" s="62"/>
      <c r="I16" s="62"/>
      <c r="J16" s="62"/>
      <c r="K16" s="63">
        <v>66113</v>
      </c>
      <c r="L16" s="62"/>
    </row>
    <row r="17" spans="1:12" s="64" customFormat="1" ht="19.899999999999999" customHeight="1" x14ac:dyDescent="0.25">
      <c r="A17" s="61"/>
      <c r="B17" s="62" t="s">
        <v>8450</v>
      </c>
      <c r="C17" s="62" t="s">
        <v>8451</v>
      </c>
      <c r="D17" s="62"/>
      <c r="E17" s="62"/>
      <c r="F17" s="62"/>
      <c r="G17" s="62"/>
      <c r="H17" s="62"/>
      <c r="I17" s="62"/>
      <c r="J17" s="62"/>
      <c r="K17" s="63">
        <v>99100</v>
      </c>
      <c r="L17" s="62"/>
    </row>
    <row r="18" spans="1:12" s="64" customFormat="1" ht="19.899999999999999" customHeight="1" x14ac:dyDescent="0.25">
      <c r="A18" s="61"/>
      <c r="B18" s="62" t="s">
        <v>8438</v>
      </c>
      <c r="C18" s="62" t="s">
        <v>8439</v>
      </c>
      <c r="D18" s="62"/>
      <c r="E18" s="62"/>
      <c r="F18" s="62"/>
      <c r="G18" s="62"/>
      <c r="H18" s="62"/>
      <c r="I18" s="62"/>
      <c r="J18" s="62"/>
      <c r="K18" s="63">
        <v>97500</v>
      </c>
      <c r="L18" s="62"/>
    </row>
    <row r="19" spans="1:12" s="64" customFormat="1" ht="19.899999999999999" customHeight="1" x14ac:dyDescent="0.25">
      <c r="A19" s="61"/>
      <c r="B19" s="62" t="s">
        <v>8387</v>
      </c>
      <c r="C19" s="62" t="s">
        <v>8388</v>
      </c>
      <c r="D19" s="62"/>
      <c r="E19" s="62"/>
      <c r="F19" s="62"/>
      <c r="G19" s="62"/>
      <c r="H19" s="62"/>
      <c r="I19" s="62"/>
      <c r="J19" s="62"/>
      <c r="K19" s="63">
        <v>93000</v>
      </c>
      <c r="L19" s="62"/>
    </row>
    <row r="20" spans="1:12" s="64" customFormat="1" ht="19.899999999999999" customHeight="1" x14ac:dyDescent="0.25">
      <c r="A20" s="61"/>
      <c r="B20" s="62" t="s">
        <v>8435</v>
      </c>
      <c r="C20" s="62" t="s">
        <v>8436</v>
      </c>
      <c r="D20" s="62"/>
      <c r="E20" s="62"/>
      <c r="F20" s="62"/>
      <c r="G20" s="62"/>
      <c r="H20" s="62"/>
      <c r="I20" s="62"/>
      <c r="J20" s="62"/>
      <c r="K20" s="63">
        <v>97200</v>
      </c>
      <c r="L20" s="62"/>
    </row>
    <row r="21" spans="1:12" s="64" customFormat="1" ht="19.899999999999999" customHeight="1" x14ac:dyDescent="0.25">
      <c r="A21" s="61"/>
      <c r="B21" s="62" t="s">
        <v>8335</v>
      </c>
      <c r="C21" s="62" t="s">
        <v>8336</v>
      </c>
      <c r="D21" s="62"/>
      <c r="E21" s="62"/>
      <c r="F21" s="62"/>
      <c r="G21" s="62"/>
      <c r="H21" s="62"/>
      <c r="I21" s="62"/>
      <c r="J21" s="62"/>
      <c r="K21" s="63">
        <v>64200</v>
      </c>
      <c r="L21" s="62"/>
    </row>
    <row r="22" spans="1:12" s="64" customFormat="1" ht="19.899999999999999" customHeight="1" x14ac:dyDescent="0.25">
      <c r="A22" s="61"/>
    </row>
    <row r="23" spans="1:12" s="64" customFormat="1" ht="19.899999999999999" customHeight="1" x14ac:dyDescent="0.25">
      <c r="A23" s="61"/>
      <c r="B23" s="65" t="s">
        <v>11</v>
      </c>
    </row>
    <row r="24" spans="1:12" s="64" customFormat="1" ht="19.899999999999999" customHeight="1" x14ac:dyDescent="0.25">
      <c r="A24" s="61"/>
      <c r="B24" s="62" t="s">
        <v>8392</v>
      </c>
      <c r="C24" s="62" t="s">
        <v>8581</v>
      </c>
      <c r="D24" s="62"/>
      <c r="E24" s="62"/>
      <c r="F24" s="62"/>
      <c r="G24" s="62"/>
      <c r="H24" s="62"/>
      <c r="I24" s="62"/>
      <c r="J24" s="62"/>
      <c r="K24" s="63">
        <v>95113</v>
      </c>
      <c r="L24" s="62"/>
    </row>
    <row r="25" spans="1:12" s="64" customFormat="1" ht="19.899999999999999" customHeight="1" x14ac:dyDescent="0.25">
      <c r="A25" s="61"/>
      <c r="B25" s="62" t="s">
        <v>8394</v>
      </c>
      <c r="C25" s="62" t="s">
        <v>8395</v>
      </c>
      <c r="D25" s="62"/>
      <c r="E25" s="62"/>
      <c r="F25" s="62"/>
      <c r="G25" s="62"/>
      <c r="H25" s="62"/>
      <c r="I25" s="62"/>
      <c r="J25" s="62"/>
      <c r="K25" s="63">
        <v>95123</v>
      </c>
      <c r="L25" s="62"/>
    </row>
    <row r="26" spans="1:12" s="64" customFormat="1" ht="19.899999999999999" customHeight="1" x14ac:dyDescent="0.25">
      <c r="A26" s="61"/>
      <c r="B26" s="62" t="s">
        <v>8553</v>
      </c>
      <c r="C26" s="62" t="s">
        <v>8395</v>
      </c>
      <c r="D26" s="62"/>
      <c r="E26" s="62"/>
      <c r="F26" s="62"/>
      <c r="G26" s="62"/>
      <c r="H26" s="62"/>
      <c r="I26" s="62"/>
      <c r="J26" s="62"/>
      <c r="K26" s="63">
        <v>95123</v>
      </c>
      <c r="L26" s="62"/>
    </row>
    <row r="27" spans="1:12" s="64" customFormat="1" ht="19.899999999999999" customHeight="1" x14ac:dyDescent="0.25">
      <c r="A27" s="61"/>
      <c r="B27" s="62" t="s">
        <v>8554</v>
      </c>
      <c r="C27" s="62" t="s">
        <v>8395</v>
      </c>
      <c r="D27" s="62"/>
      <c r="E27" s="62"/>
      <c r="F27" s="62"/>
      <c r="G27" s="62"/>
      <c r="H27" s="62"/>
      <c r="I27" s="62"/>
      <c r="J27" s="62"/>
      <c r="K27" s="63">
        <v>95123</v>
      </c>
      <c r="L27" s="62"/>
    </row>
    <row r="28" spans="1:12" s="64" customFormat="1" ht="19.899999999999999" customHeight="1" x14ac:dyDescent="0.25">
      <c r="A28" s="61"/>
      <c r="B28" s="62" t="s">
        <v>8444</v>
      </c>
      <c r="C28" s="62" t="s">
        <v>8445</v>
      </c>
      <c r="D28" s="62"/>
      <c r="E28" s="62"/>
      <c r="F28" s="62"/>
      <c r="G28" s="62"/>
      <c r="H28" s="62"/>
      <c r="I28" s="62"/>
      <c r="J28" s="62"/>
      <c r="K28" s="63">
        <v>98000</v>
      </c>
      <c r="L28" s="62"/>
    </row>
    <row r="29" spans="1:12" s="64" customFormat="1" ht="19.899999999999999" customHeight="1" x14ac:dyDescent="0.25">
      <c r="A29" s="61"/>
      <c r="B29" s="62" t="s">
        <v>8563</v>
      </c>
      <c r="C29" s="62" t="s">
        <v>8564</v>
      </c>
      <c r="D29" s="62"/>
      <c r="E29" s="62"/>
      <c r="F29" s="62"/>
      <c r="G29" s="62"/>
      <c r="H29" s="62"/>
      <c r="I29" s="62"/>
      <c r="J29" s="62"/>
      <c r="K29" s="63">
        <v>95446</v>
      </c>
      <c r="L29" s="62"/>
    </row>
    <row r="30" spans="1:12" s="64" customFormat="1" ht="19.899999999999999" customHeight="1" x14ac:dyDescent="0.25">
      <c r="A30" s="61"/>
      <c r="B30" s="62" t="s">
        <v>8569</v>
      </c>
      <c r="C30" s="62" t="s">
        <v>8571</v>
      </c>
      <c r="D30" s="62"/>
      <c r="E30" s="62"/>
      <c r="F30" s="62"/>
      <c r="G30" s="62"/>
      <c r="H30" s="62"/>
      <c r="I30" s="62"/>
      <c r="J30" s="62"/>
      <c r="K30" s="63">
        <v>92900</v>
      </c>
      <c r="L30" s="62"/>
    </row>
    <row r="31" spans="1:12" s="64" customFormat="1" ht="19.899999999999999" customHeight="1" x14ac:dyDescent="0.25">
      <c r="A31" s="61"/>
      <c r="B31" s="62" t="s">
        <v>8570</v>
      </c>
      <c r="C31" s="62" t="s">
        <v>8572</v>
      </c>
      <c r="D31" s="62"/>
      <c r="E31" s="62"/>
      <c r="F31" s="62"/>
      <c r="G31" s="62"/>
      <c r="H31" s="62"/>
      <c r="I31" s="62"/>
      <c r="J31" s="62"/>
      <c r="K31" s="63">
        <v>92900</v>
      </c>
      <c r="L31" s="62"/>
    </row>
    <row r="32" spans="1:12" s="64" customFormat="1" ht="19.899999999999999" customHeight="1" x14ac:dyDescent="0.25">
      <c r="A32" s="61"/>
      <c r="B32" s="62" t="s">
        <v>8565</v>
      </c>
      <c r="C32" s="62" t="s">
        <v>8566</v>
      </c>
      <c r="D32" s="62"/>
      <c r="E32" s="62"/>
      <c r="F32" s="62"/>
      <c r="G32" s="62"/>
      <c r="H32" s="62"/>
      <c r="I32" s="62"/>
      <c r="J32" s="62"/>
      <c r="K32" s="63">
        <v>97700</v>
      </c>
      <c r="L32" s="62"/>
    </row>
    <row r="33" spans="1:12" s="64" customFormat="1" ht="19.899999999999999" customHeight="1" x14ac:dyDescent="0.25">
      <c r="A33" s="61"/>
      <c r="B33" s="62" t="s">
        <v>8552</v>
      </c>
      <c r="C33" s="62" t="s">
        <v>8559</v>
      </c>
      <c r="D33" s="62"/>
      <c r="E33" s="62"/>
      <c r="F33" s="62"/>
      <c r="G33" s="62"/>
      <c r="H33" s="62"/>
      <c r="I33" s="62"/>
      <c r="J33" s="62"/>
      <c r="K33" s="63">
        <v>92226</v>
      </c>
      <c r="L33" s="62"/>
    </row>
    <row r="34" spans="1:12" s="64" customFormat="1" ht="19.899999999999999" customHeight="1" x14ac:dyDescent="0.25">
      <c r="A34" s="61"/>
      <c r="B34" s="62" t="s">
        <v>8562</v>
      </c>
      <c r="C34" s="62" t="s">
        <v>8560</v>
      </c>
      <c r="D34" s="62"/>
      <c r="E34" s="62"/>
      <c r="F34" s="62"/>
      <c r="G34" s="62"/>
      <c r="H34" s="62"/>
      <c r="I34" s="62"/>
      <c r="J34" s="62"/>
      <c r="K34" s="63">
        <v>92226</v>
      </c>
      <c r="L34" s="62"/>
    </row>
    <row r="35" spans="1:12" s="64" customFormat="1" ht="19.899999999999999" customHeight="1" x14ac:dyDescent="0.25">
      <c r="A35" s="61"/>
      <c r="B35" s="62" t="s">
        <v>8401</v>
      </c>
      <c r="C35" s="62" t="s">
        <v>8402</v>
      </c>
      <c r="D35" s="62"/>
      <c r="E35" s="62"/>
      <c r="F35" s="62"/>
      <c r="G35" s="62"/>
      <c r="H35" s="62"/>
      <c r="I35" s="62"/>
      <c r="J35" s="62"/>
      <c r="K35" s="63">
        <v>95133</v>
      </c>
      <c r="L35" s="62"/>
    </row>
    <row r="36" spans="1:12" s="64" customFormat="1" ht="19.899999999999999" customHeight="1" x14ac:dyDescent="0.25">
      <c r="A36" s="61"/>
      <c r="B36" s="62" t="s">
        <v>8574</v>
      </c>
      <c r="C36" s="62" t="s">
        <v>8402</v>
      </c>
      <c r="D36" s="62"/>
      <c r="E36" s="62"/>
      <c r="F36" s="62"/>
      <c r="G36" s="62"/>
      <c r="H36" s="62"/>
      <c r="I36" s="62"/>
      <c r="J36" s="62"/>
      <c r="K36" s="63">
        <v>95133</v>
      </c>
      <c r="L36" s="62"/>
    </row>
    <row r="37" spans="1:12" s="64" customFormat="1" ht="19.899999999999999" customHeight="1" x14ac:dyDescent="0.25">
      <c r="A37" s="61"/>
      <c r="B37" s="62" t="s">
        <v>8575</v>
      </c>
      <c r="C37" s="62" t="s">
        <v>8402</v>
      </c>
      <c r="D37" s="62"/>
      <c r="E37" s="62"/>
      <c r="F37" s="62"/>
      <c r="G37" s="62"/>
      <c r="H37" s="62"/>
      <c r="I37" s="62"/>
      <c r="J37" s="62"/>
      <c r="K37" s="63">
        <v>95133</v>
      </c>
      <c r="L37" s="62"/>
    </row>
    <row r="38" spans="1:12" s="64" customFormat="1" ht="19.899999999999999" customHeight="1" x14ac:dyDescent="0.25">
      <c r="A38" s="61"/>
      <c r="B38" s="62" t="s">
        <v>8403</v>
      </c>
      <c r="C38" s="62" t="s">
        <v>8592</v>
      </c>
      <c r="D38" s="62"/>
      <c r="E38" s="62"/>
      <c r="F38" s="62"/>
      <c r="G38" s="62"/>
      <c r="H38" s="62"/>
      <c r="I38" s="62"/>
      <c r="J38" s="62"/>
      <c r="K38" s="63">
        <v>95133</v>
      </c>
      <c r="L38" s="62"/>
    </row>
    <row r="39" spans="1:12" s="64" customFormat="1" ht="19.899999999999999" customHeight="1" x14ac:dyDescent="0.25">
      <c r="A39" s="61"/>
      <c r="B39" s="62" t="s">
        <v>8576</v>
      </c>
      <c r="C39" s="62" t="s">
        <v>8592</v>
      </c>
      <c r="D39" s="62"/>
      <c r="E39" s="62"/>
      <c r="F39" s="62"/>
      <c r="G39" s="62"/>
      <c r="H39" s="62"/>
      <c r="I39" s="62"/>
      <c r="J39" s="62"/>
      <c r="K39" s="63">
        <v>95133</v>
      </c>
      <c r="L39" s="62"/>
    </row>
    <row r="40" spans="1:12" s="64" customFormat="1" ht="19.899999999999999" customHeight="1" x14ac:dyDescent="0.25">
      <c r="A40" s="61"/>
      <c r="B40" s="62" t="s">
        <v>8577</v>
      </c>
      <c r="C40" s="62" t="s">
        <v>8592</v>
      </c>
      <c r="D40" s="62"/>
      <c r="E40" s="62"/>
      <c r="F40" s="62"/>
      <c r="G40" s="62"/>
      <c r="H40" s="62"/>
      <c r="I40" s="62"/>
      <c r="J40" s="62"/>
      <c r="K40" s="63">
        <v>95133</v>
      </c>
      <c r="L40" s="62"/>
    </row>
    <row r="41" spans="1:12" s="64" customFormat="1" ht="19.899999999999999" customHeight="1" x14ac:dyDescent="0.25">
      <c r="A41" s="61"/>
      <c r="B41" s="62" t="s">
        <v>8578</v>
      </c>
      <c r="C41" s="62" t="s">
        <v>8593</v>
      </c>
      <c r="D41" s="62"/>
      <c r="E41" s="62"/>
      <c r="F41" s="62"/>
      <c r="G41" s="62"/>
      <c r="H41" s="62"/>
      <c r="I41" s="62"/>
      <c r="J41" s="62"/>
      <c r="K41" s="63">
        <v>95423</v>
      </c>
      <c r="L41" s="62"/>
    </row>
    <row r="42" spans="1:12" s="64" customFormat="1" ht="19.899999999999999" customHeight="1" x14ac:dyDescent="0.25">
      <c r="A42" s="61"/>
      <c r="B42" s="62" t="s">
        <v>8579</v>
      </c>
      <c r="C42" s="62" t="s">
        <v>8593</v>
      </c>
      <c r="D42" s="62"/>
      <c r="E42" s="62"/>
      <c r="F42" s="62"/>
      <c r="G42" s="62"/>
      <c r="H42" s="62"/>
      <c r="I42" s="62"/>
      <c r="J42" s="62"/>
      <c r="K42" s="63">
        <v>95423</v>
      </c>
      <c r="L42" s="62"/>
    </row>
    <row r="43" spans="1:12" s="64" customFormat="1" ht="19.899999999999999" customHeight="1" x14ac:dyDescent="0.25">
      <c r="A43" s="61"/>
      <c r="B43" s="62" t="s">
        <v>8580</v>
      </c>
      <c r="C43" s="62" t="s">
        <v>8593</v>
      </c>
      <c r="D43" s="62"/>
      <c r="E43" s="62"/>
      <c r="F43" s="62"/>
      <c r="G43" s="62"/>
      <c r="H43" s="62"/>
      <c r="I43" s="62"/>
      <c r="J43" s="62"/>
      <c r="K43" s="63">
        <v>95423</v>
      </c>
      <c r="L43" s="62"/>
    </row>
    <row r="44" spans="1:12" s="64" customFormat="1" ht="19.899999999999999" customHeight="1" x14ac:dyDescent="0.25">
      <c r="A44" s="61"/>
      <c r="B44" s="62" t="s">
        <v>8585</v>
      </c>
      <c r="C44" s="62" t="s">
        <v>8568</v>
      </c>
      <c r="D44" s="62"/>
      <c r="E44" s="62"/>
      <c r="F44" s="62"/>
      <c r="G44" s="62"/>
      <c r="H44" s="62"/>
      <c r="I44" s="62"/>
      <c r="J44" s="62"/>
      <c r="K44" s="63">
        <v>95436</v>
      </c>
      <c r="L44" s="62"/>
    </row>
    <row r="45" spans="1:12" s="64" customFormat="1" ht="19.899999999999999" customHeight="1" x14ac:dyDescent="0.25">
      <c r="A45" s="61"/>
      <c r="B45" s="62" t="s">
        <v>8567</v>
      </c>
      <c r="C45" s="62" t="s">
        <v>8568</v>
      </c>
      <c r="D45" s="62"/>
      <c r="E45" s="62"/>
      <c r="F45" s="62"/>
      <c r="G45" s="62"/>
      <c r="H45" s="62"/>
      <c r="I45" s="62"/>
      <c r="J45" s="62"/>
      <c r="K45" s="63">
        <v>95436</v>
      </c>
      <c r="L45" s="62"/>
    </row>
    <row r="46" spans="1:12" s="64" customFormat="1" ht="19.899999999999999" customHeight="1" x14ac:dyDescent="0.25">
      <c r="A46" s="61"/>
      <c r="B46" s="62" t="s">
        <v>8573</v>
      </c>
      <c r="C46" s="62" t="s">
        <v>8586</v>
      </c>
      <c r="D46" s="62"/>
      <c r="E46" s="62"/>
      <c r="F46" s="62"/>
      <c r="G46" s="62"/>
      <c r="H46" s="62"/>
      <c r="I46" s="62"/>
      <c r="J46" s="62"/>
      <c r="K46" s="63">
        <v>98316</v>
      </c>
      <c r="L46" s="62"/>
    </row>
    <row r="47" spans="1:12" s="64" customFormat="1" ht="19.899999999999999" customHeight="1" x14ac:dyDescent="0.25">
      <c r="A47" s="61"/>
      <c r="B47" s="62" t="s">
        <v>8583</v>
      </c>
      <c r="C47" s="62" t="s">
        <v>8584</v>
      </c>
      <c r="D47" s="62"/>
      <c r="E47" s="62"/>
      <c r="F47" s="62"/>
      <c r="G47" s="62"/>
      <c r="H47" s="62"/>
      <c r="I47" s="62"/>
      <c r="J47" s="62"/>
      <c r="K47" s="63">
        <v>92400</v>
      </c>
      <c r="L47" s="62"/>
    </row>
    <row r="48" spans="1:12" s="64" customFormat="1" ht="19.899999999999999" customHeight="1" x14ac:dyDescent="0.25">
      <c r="A48" s="61"/>
      <c r="B48" s="62" t="s">
        <v>8396</v>
      </c>
      <c r="C48" s="62" t="s">
        <v>8399</v>
      </c>
      <c r="D48" s="62"/>
      <c r="E48" s="62"/>
      <c r="F48" s="62"/>
      <c r="G48" s="62"/>
      <c r="H48" s="62"/>
      <c r="I48" s="62"/>
      <c r="J48" s="62"/>
      <c r="K48" s="63">
        <v>95426</v>
      </c>
      <c r="L48" s="62"/>
    </row>
    <row r="49" spans="1:12" s="64" customFormat="1" ht="19.899999999999999" customHeight="1" x14ac:dyDescent="0.25">
      <c r="A49" s="61"/>
      <c r="B49" s="62" t="s">
        <v>8555</v>
      </c>
      <c r="C49" s="62" t="s">
        <v>8399</v>
      </c>
      <c r="D49" s="62"/>
      <c r="E49" s="62"/>
      <c r="F49" s="62"/>
      <c r="G49" s="62"/>
      <c r="H49" s="62"/>
      <c r="I49" s="62"/>
      <c r="J49" s="62"/>
      <c r="K49" s="63">
        <v>95426</v>
      </c>
      <c r="L49" s="62"/>
    </row>
    <row r="50" spans="1:12" s="64" customFormat="1" ht="19.899999999999999" customHeight="1" x14ac:dyDescent="0.25">
      <c r="A50" s="61"/>
      <c r="B50" s="62" t="s">
        <v>8556</v>
      </c>
      <c r="C50" s="62" t="s">
        <v>8399</v>
      </c>
      <c r="D50" s="62"/>
      <c r="E50" s="62"/>
      <c r="F50" s="62"/>
      <c r="G50" s="62"/>
      <c r="H50" s="62"/>
      <c r="I50" s="62"/>
      <c r="J50" s="62"/>
      <c r="K50" s="63">
        <v>95426</v>
      </c>
      <c r="L50" s="62"/>
    </row>
    <row r="51" spans="1:12" s="64" customFormat="1" ht="19.899999999999999" customHeight="1" x14ac:dyDescent="0.25">
      <c r="A51" s="61"/>
      <c r="B51" s="62" t="s">
        <v>8398</v>
      </c>
      <c r="C51" s="62" t="s">
        <v>8397</v>
      </c>
      <c r="D51" s="62"/>
      <c r="E51" s="62"/>
      <c r="F51" s="62"/>
      <c r="G51" s="62"/>
      <c r="H51" s="62"/>
      <c r="I51" s="62"/>
      <c r="J51" s="62"/>
      <c r="K51" s="63">
        <v>95426</v>
      </c>
      <c r="L51" s="62"/>
    </row>
    <row r="52" spans="1:12" s="64" customFormat="1" ht="19.899999999999999" customHeight="1" x14ac:dyDescent="0.25">
      <c r="A52" s="61"/>
      <c r="B52" s="62" t="s">
        <v>8557</v>
      </c>
      <c r="C52" s="62" t="s">
        <v>8397</v>
      </c>
      <c r="D52" s="62"/>
      <c r="E52" s="62"/>
      <c r="F52" s="62"/>
      <c r="G52" s="62"/>
      <c r="H52" s="62"/>
      <c r="I52" s="62"/>
      <c r="J52" s="62"/>
      <c r="K52" s="63">
        <v>95426</v>
      </c>
      <c r="L52" s="62"/>
    </row>
    <row r="53" spans="1:12" s="64" customFormat="1" ht="19.899999999999999" customHeight="1" x14ac:dyDescent="0.25">
      <c r="A53" s="61"/>
      <c r="B53" s="62" t="s">
        <v>8558</v>
      </c>
      <c r="C53" s="62" t="s">
        <v>8397</v>
      </c>
      <c r="D53" s="62"/>
      <c r="E53" s="62"/>
      <c r="F53" s="62"/>
      <c r="G53" s="62"/>
      <c r="H53" s="62"/>
      <c r="I53" s="62"/>
      <c r="J53" s="62"/>
      <c r="K53" s="63">
        <v>95426</v>
      </c>
      <c r="L53" s="62"/>
    </row>
    <row r="54" spans="1:12" s="64" customFormat="1" ht="19.899999999999999" customHeight="1" x14ac:dyDescent="0.25">
      <c r="A54" s="61"/>
      <c r="B54" s="62" t="s">
        <v>8447</v>
      </c>
      <c r="C54" s="62" t="s">
        <v>8448</v>
      </c>
      <c r="D54" s="62"/>
      <c r="E54" s="62"/>
      <c r="F54" s="62"/>
      <c r="G54" s="62"/>
      <c r="H54" s="62"/>
      <c r="I54" s="62"/>
      <c r="J54" s="62"/>
      <c r="K54" s="63">
        <v>98443</v>
      </c>
      <c r="L54" s="62"/>
    </row>
    <row r="55" spans="1:12" s="64" customFormat="1" ht="19.899999999999999" customHeight="1" x14ac:dyDescent="0.25">
      <c r="A55" s="61"/>
    </row>
    <row r="56" spans="1:12" s="64" customFormat="1" ht="19.899999999999999" customHeight="1" x14ac:dyDescent="0.25">
      <c r="A56" s="61"/>
      <c r="B56" s="65" t="s">
        <v>12</v>
      </c>
    </row>
    <row r="57" spans="1:12" s="64" customFormat="1" ht="19.899999999999999" customHeight="1" x14ac:dyDescent="0.25">
      <c r="A57" s="61"/>
      <c r="B57" s="62" t="s">
        <v>8287</v>
      </c>
      <c r="C57" s="62" t="s">
        <v>8288</v>
      </c>
      <c r="D57" s="62"/>
      <c r="E57" s="62"/>
      <c r="F57" s="62"/>
      <c r="G57" s="62"/>
      <c r="H57" s="62"/>
      <c r="I57" s="62"/>
      <c r="J57" s="62"/>
      <c r="K57" s="63">
        <v>33300</v>
      </c>
      <c r="L57" s="62"/>
    </row>
    <row r="58" spans="1:12" s="64" customFormat="1" ht="19.899999999999999" customHeight="1" x14ac:dyDescent="0.25">
      <c r="A58" s="61"/>
      <c r="B58" s="62" t="s">
        <v>8289</v>
      </c>
      <c r="C58" s="62" t="s">
        <v>8290</v>
      </c>
      <c r="D58" s="62"/>
      <c r="E58" s="62"/>
      <c r="F58" s="62"/>
      <c r="G58" s="62"/>
      <c r="H58" s="62"/>
      <c r="I58" s="62"/>
      <c r="J58" s="62"/>
      <c r="K58" s="63">
        <v>33300</v>
      </c>
      <c r="L58" s="62"/>
    </row>
    <row r="59" spans="1:12" s="64" customFormat="1" ht="19.899999999999999" customHeight="1" x14ac:dyDescent="0.25">
      <c r="A59" s="61"/>
      <c r="B59" s="62" t="s">
        <v>8429</v>
      </c>
      <c r="C59" s="62" t="s">
        <v>8430</v>
      </c>
      <c r="D59" s="62"/>
      <c r="E59" s="62"/>
      <c r="F59" s="62"/>
      <c r="G59" s="62"/>
      <c r="H59" s="62"/>
      <c r="I59" s="62"/>
      <c r="J59" s="62"/>
      <c r="K59" s="63">
        <v>96813</v>
      </c>
      <c r="L59" s="62"/>
    </row>
    <row r="60" spans="1:12" s="64" customFormat="1" ht="19.899999999999999" customHeight="1" x14ac:dyDescent="0.25">
      <c r="A60" s="61"/>
      <c r="B60" s="62" t="s">
        <v>8432</v>
      </c>
      <c r="C60" s="62" t="s">
        <v>8433</v>
      </c>
      <c r="D60" s="62"/>
      <c r="E60" s="62"/>
      <c r="F60" s="62"/>
      <c r="G60" s="62"/>
      <c r="H60" s="62"/>
      <c r="I60" s="62"/>
      <c r="J60" s="62"/>
      <c r="K60" s="63">
        <v>96816</v>
      </c>
      <c r="L60" s="62"/>
    </row>
    <row r="61" spans="1:12" s="64" customFormat="1" ht="19.899999999999999" customHeight="1" x14ac:dyDescent="0.25">
      <c r="A61" s="61"/>
      <c r="B61" s="62" t="s">
        <v>8415</v>
      </c>
      <c r="C61" s="62" t="s">
        <v>8416</v>
      </c>
      <c r="D61" s="62"/>
      <c r="E61" s="62"/>
      <c r="F61" s="62"/>
      <c r="G61" s="62"/>
      <c r="H61" s="62"/>
      <c r="I61" s="62"/>
      <c r="J61" s="62"/>
      <c r="K61" s="63">
        <v>96500</v>
      </c>
      <c r="L61" s="62"/>
    </row>
    <row r="62" spans="1:12" s="64" customFormat="1" ht="19.899999999999999" customHeight="1" x14ac:dyDescent="0.25">
      <c r="A62" s="61"/>
      <c r="B62" s="62" t="s">
        <v>8426</v>
      </c>
      <c r="C62" s="62" t="s">
        <v>8427</v>
      </c>
      <c r="D62" s="62"/>
      <c r="E62" s="62"/>
      <c r="F62" s="62"/>
      <c r="G62" s="62"/>
      <c r="H62" s="62"/>
      <c r="I62" s="62"/>
      <c r="J62" s="62"/>
      <c r="K62" s="63">
        <v>96700</v>
      </c>
      <c r="L62" s="62"/>
    </row>
    <row r="63" spans="1:12" s="64" customFormat="1" ht="19.899999999999999" customHeight="1" x14ac:dyDescent="0.25">
      <c r="A63" s="61"/>
      <c r="B63" s="62" t="s">
        <v>8405</v>
      </c>
      <c r="C63" s="62" t="s">
        <v>8406</v>
      </c>
      <c r="D63" s="62"/>
      <c r="E63" s="62"/>
      <c r="F63" s="62"/>
      <c r="G63" s="62"/>
      <c r="H63" s="62"/>
      <c r="I63" s="62"/>
      <c r="J63" s="62"/>
      <c r="K63" s="63">
        <v>96340</v>
      </c>
      <c r="L63" s="62"/>
    </row>
    <row r="64" spans="1:12" s="64" customFormat="1" ht="19.899999999999999" customHeight="1" x14ac:dyDescent="0.25">
      <c r="A64" s="61"/>
      <c r="B64" s="62" t="s">
        <v>8389</v>
      </c>
      <c r="C64" s="62" t="s">
        <v>8390</v>
      </c>
      <c r="D64" s="62"/>
      <c r="E64" s="62"/>
      <c r="F64" s="62"/>
      <c r="G64" s="62"/>
      <c r="H64" s="62"/>
      <c r="I64" s="62"/>
      <c r="J64" s="62"/>
      <c r="K64" s="63">
        <v>93000</v>
      </c>
      <c r="L64" s="62"/>
    </row>
    <row r="65" spans="1:12" s="64" customFormat="1" ht="19.899999999999999" customHeight="1" x14ac:dyDescent="0.25">
      <c r="A65" s="61"/>
      <c r="B65" s="62" t="s">
        <v>8421</v>
      </c>
      <c r="C65" s="62" t="s">
        <v>8422</v>
      </c>
      <c r="D65" s="62"/>
      <c r="E65" s="62"/>
      <c r="F65" s="62"/>
      <c r="G65" s="62"/>
      <c r="H65" s="62"/>
      <c r="I65" s="62"/>
      <c r="J65" s="62"/>
      <c r="K65" s="63">
        <v>96600</v>
      </c>
      <c r="L65" s="62"/>
    </row>
    <row r="66" spans="1:12" s="64" customFormat="1" ht="19.899999999999999" customHeight="1" x14ac:dyDescent="0.25">
      <c r="A66" s="61"/>
      <c r="B66" s="62" t="s">
        <v>8423</v>
      </c>
      <c r="C66" s="62" t="s">
        <v>8424</v>
      </c>
      <c r="D66" s="62"/>
      <c r="E66" s="62"/>
      <c r="F66" s="62"/>
      <c r="G66" s="62"/>
      <c r="H66" s="62"/>
      <c r="I66" s="62"/>
      <c r="J66" s="62"/>
      <c r="K66" s="63">
        <v>96600</v>
      </c>
      <c r="L66" s="62"/>
    </row>
    <row r="67" spans="1:12" s="64" customFormat="1" ht="19.899999999999999" customHeight="1" x14ac:dyDescent="0.25">
      <c r="A67" s="61"/>
      <c r="B67" s="62" t="s">
        <v>8410</v>
      </c>
      <c r="C67" s="62" t="s">
        <v>8411</v>
      </c>
      <c r="D67" s="62"/>
      <c r="E67" s="62"/>
      <c r="F67" s="62"/>
      <c r="G67" s="62"/>
      <c r="H67" s="62"/>
      <c r="I67" s="62"/>
      <c r="J67" s="62"/>
      <c r="K67" s="63">
        <v>96400</v>
      </c>
      <c r="L67" s="62"/>
    </row>
    <row r="68" spans="1:12" s="64" customFormat="1" ht="19.899999999999999" customHeight="1" x14ac:dyDescent="0.25">
      <c r="A68" s="61"/>
      <c r="B68" s="62" t="s">
        <v>8412</v>
      </c>
      <c r="C68" s="62" t="s">
        <v>8413</v>
      </c>
      <c r="D68" s="62"/>
      <c r="E68" s="62"/>
      <c r="F68" s="62"/>
      <c r="G68" s="62"/>
      <c r="H68" s="62"/>
      <c r="I68" s="62"/>
      <c r="J68" s="62"/>
      <c r="K68" s="63">
        <v>96400</v>
      </c>
      <c r="L68" s="62"/>
    </row>
    <row r="69" spans="1:12" s="64" customFormat="1" ht="19.899999999999999" customHeight="1" x14ac:dyDescent="0.25">
      <c r="A69" s="61"/>
    </row>
    <row r="70" spans="1:12" s="64" customFormat="1" ht="19.899999999999999" customHeight="1" x14ac:dyDescent="0.25">
      <c r="A70" s="61"/>
      <c r="B70" s="65" t="s">
        <v>13</v>
      </c>
    </row>
    <row r="71" spans="1:12" s="64" customFormat="1" ht="19.899999999999999" customHeight="1" x14ac:dyDescent="0.25">
      <c r="A71" s="61"/>
      <c r="B71" s="62" t="s">
        <v>8332</v>
      </c>
      <c r="C71" s="62" t="s">
        <v>8333</v>
      </c>
      <c r="D71" s="62"/>
      <c r="E71" s="62"/>
      <c r="F71" s="62"/>
      <c r="G71" s="62"/>
      <c r="H71" s="62"/>
      <c r="I71" s="62"/>
      <c r="J71" s="62"/>
      <c r="K71" s="63">
        <v>64116</v>
      </c>
      <c r="L71" s="62"/>
    </row>
    <row r="72" spans="1:12" s="64" customFormat="1" ht="33" x14ac:dyDescent="0.25">
      <c r="A72" s="61"/>
      <c r="B72" s="22" t="s">
        <v>8487</v>
      </c>
      <c r="C72" s="22" t="s">
        <v>8488</v>
      </c>
      <c r="D72" s="22"/>
      <c r="E72" s="22"/>
      <c r="F72" s="22"/>
      <c r="G72" s="22"/>
      <c r="H72" s="22"/>
      <c r="I72" s="22"/>
      <c r="J72" s="22"/>
      <c r="K72" s="23">
        <v>123661</v>
      </c>
      <c r="L72" s="22"/>
    </row>
    <row r="73" spans="1:12" s="64" customFormat="1" ht="19.899999999999999" customHeight="1" x14ac:dyDescent="0.25">
      <c r="A73" s="61"/>
      <c r="B73" s="62" t="s">
        <v>8484</v>
      </c>
      <c r="C73" s="62" t="s">
        <v>8485</v>
      </c>
      <c r="D73" s="62"/>
      <c r="E73" s="62"/>
      <c r="F73" s="62"/>
      <c r="G73" s="62"/>
      <c r="H73" s="62"/>
      <c r="I73" s="62"/>
      <c r="J73" s="62"/>
      <c r="K73" s="63">
        <v>123640</v>
      </c>
      <c r="L73" s="62"/>
    </row>
    <row r="74" spans="1:12" s="64" customFormat="1" ht="19.899999999999999" customHeight="1" x14ac:dyDescent="0.25">
      <c r="A74" s="61"/>
      <c r="B74" s="62" t="s">
        <v>8326</v>
      </c>
      <c r="C74" s="62" t="s">
        <v>8327</v>
      </c>
      <c r="D74" s="62"/>
      <c r="E74" s="62"/>
      <c r="F74" s="62"/>
      <c r="G74" s="62"/>
      <c r="H74" s="62"/>
      <c r="I74" s="62"/>
      <c r="J74" s="62"/>
      <c r="K74" s="63">
        <v>64000</v>
      </c>
      <c r="L74" s="62"/>
    </row>
    <row r="75" spans="1:12" s="64" customFormat="1" ht="19.899999999999999" customHeight="1" x14ac:dyDescent="0.25">
      <c r="A75" s="61"/>
    </row>
    <row r="76" spans="1:12" s="64" customFormat="1" ht="19.899999999999999" customHeight="1" x14ac:dyDescent="0.25">
      <c r="A76" s="61"/>
      <c r="B76" s="65" t="s">
        <v>226</v>
      </c>
    </row>
    <row r="77" spans="1:12" s="64" customFormat="1" ht="19.899999999999999" customHeight="1" x14ac:dyDescent="0.25">
      <c r="A77" s="61"/>
      <c r="B77" s="62" t="s">
        <v>8456</v>
      </c>
      <c r="C77" s="62" t="s">
        <v>8457</v>
      </c>
      <c r="D77" s="62"/>
      <c r="E77" s="62"/>
      <c r="F77" s="62"/>
      <c r="G77" s="62"/>
      <c r="H77" s="62"/>
      <c r="I77" s="62"/>
      <c r="J77" s="62"/>
      <c r="K77" s="63">
        <v>99600</v>
      </c>
      <c r="L77" s="62"/>
    </row>
    <row r="78" spans="1:12" s="64" customFormat="1" ht="19.899999999999999" customHeight="1" x14ac:dyDescent="0.25">
      <c r="A78" s="61"/>
      <c r="B78" s="62" t="s">
        <v>8314</v>
      </c>
      <c r="C78" s="62" t="s">
        <v>8315</v>
      </c>
      <c r="D78" s="62"/>
      <c r="E78" s="62"/>
      <c r="F78" s="62"/>
      <c r="G78" s="62"/>
      <c r="H78" s="62"/>
      <c r="I78" s="62"/>
      <c r="J78" s="62"/>
      <c r="K78" s="63">
        <v>57000</v>
      </c>
      <c r="L78" s="62"/>
    </row>
    <row r="79" spans="1:12" s="64" customFormat="1" ht="19.899999999999999" customHeight="1" x14ac:dyDescent="0.25">
      <c r="A79" s="61"/>
      <c r="B79" s="62" t="s">
        <v>8316</v>
      </c>
      <c r="C79" s="62" t="s">
        <v>8317</v>
      </c>
      <c r="D79" s="62"/>
      <c r="E79" s="62"/>
      <c r="F79" s="62"/>
      <c r="G79" s="62"/>
      <c r="H79" s="62"/>
      <c r="I79" s="62"/>
      <c r="J79" s="62"/>
      <c r="K79" s="63">
        <v>57000</v>
      </c>
      <c r="L79" s="62"/>
    </row>
    <row r="80" spans="1:12" s="64" customFormat="1" ht="19.899999999999999" customHeight="1" x14ac:dyDescent="0.25">
      <c r="A80" s="61"/>
      <c r="B80" s="62" t="s">
        <v>8318</v>
      </c>
      <c r="C80" s="62" t="s">
        <v>8319</v>
      </c>
      <c r="D80" s="62"/>
      <c r="E80" s="62"/>
      <c r="F80" s="62"/>
      <c r="G80" s="62"/>
      <c r="H80" s="62"/>
      <c r="I80" s="62"/>
      <c r="J80" s="62"/>
      <c r="K80" s="63">
        <v>57000</v>
      </c>
      <c r="L80" s="62"/>
    </row>
    <row r="81" spans="1:12" s="64" customFormat="1" ht="19.899999999999999" customHeight="1" x14ac:dyDescent="0.25">
      <c r="A81" s="61"/>
      <c r="B81" s="62" t="s">
        <v>8320</v>
      </c>
      <c r="C81" s="62" t="s">
        <v>8321</v>
      </c>
      <c r="D81" s="62"/>
      <c r="E81" s="62"/>
      <c r="F81" s="62"/>
      <c r="G81" s="62"/>
      <c r="H81" s="62"/>
      <c r="I81" s="62"/>
      <c r="J81" s="62"/>
      <c r="K81" s="63">
        <v>57000</v>
      </c>
      <c r="L81" s="62"/>
    </row>
    <row r="82" spans="1:12" s="64" customFormat="1" ht="19.899999999999999" customHeight="1" x14ac:dyDescent="0.25">
      <c r="A82" s="61"/>
      <c r="B82" s="62" t="s">
        <v>8453</v>
      </c>
      <c r="C82" s="62" t="s">
        <v>8454</v>
      </c>
      <c r="D82" s="62"/>
      <c r="E82" s="62"/>
      <c r="F82" s="62"/>
      <c r="G82" s="62"/>
      <c r="H82" s="62"/>
      <c r="I82" s="62"/>
      <c r="J82" s="62"/>
      <c r="K82" s="63">
        <v>99300</v>
      </c>
      <c r="L82" s="62"/>
    </row>
    <row r="83" spans="1:12" x14ac:dyDescent="0.3">
      <c r="A83" s="21"/>
      <c r="B83" s="22" t="s">
        <v>8407</v>
      </c>
      <c r="C83" s="22" t="s">
        <v>8408</v>
      </c>
      <c r="D83" s="22"/>
      <c r="E83" s="22"/>
      <c r="F83" s="22"/>
      <c r="G83" s="22"/>
      <c r="H83" s="22"/>
      <c r="I83" s="22"/>
      <c r="J83" s="22"/>
      <c r="K83" s="23">
        <v>96340</v>
      </c>
      <c r="L83" s="22"/>
    </row>
    <row r="84" spans="1:12" x14ac:dyDescent="0.3">
      <c r="A84" s="21"/>
      <c r="B84" s="22" t="s">
        <v>8338</v>
      </c>
      <c r="C84" s="22" t="s">
        <v>8339</v>
      </c>
      <c r="D84" s="22"/>
      <c r="E84" s="22"/>
      <c r="F84" s="22"/>
      <c r="G84" s="22"/>
      <c r="H84" s="22"/>
      <c r="I84" s="22"/>
      <c r="J84" s="22"/>
      <c r="K84" s="23">
        <v>64313</v>
      </c>
      <c r="L84" s="22"/>
    </row>
    <row r="85" spans="1:12" x14ac:dyDescent="0.3">
      <c r="A85" s="21"/>
    </row>
    <row r="86" spans="1:12" x14ac:dyDescent="0.3">
      <c r="A86" s="21"/>
    </row>
    <row r="87" spans="1:12" x14ac:dyDescent="0.3">
      <c r="A87" s="21"/>
    </row>
    <row r="88" spans="1:12" x14ac:dyDescent="0.3">
      <c r="A88" s="21"/>
    </row>
    <row r="89" spans="1:12" x14ac:dyDescent="0.3">
      <c r="A89" s="21"/>
    </row>
    <row r="90" spans="1:12" x14ac:dyDescent="0.3">
      <c r="A90" s="21"/>
    </row>
    <row r="91" spans="1:12" x14ac:dyDescent="0.3">
      <c r="A91" s="21"/>
    </row>
    <row r="92" spans="1:12" x14ac:dyDescent="0.3">
      <c r="A92" s="21"/>
    </row>
    <row r="93" spans="1:12" x14ac:dyDescent="0.3">
      <c r="A93" s="21"/>
    </row>
    <row r="94" spans="1:12" x14ac:dyDescent="0.3">
      <c r="A94" s="21"/>
    </row>
    <row r="95" spans="1:12" x14ac:dyDescent="0.3">
      <c r="A95" s="21"/>
    </row>
    <row r="96" spans="1:12" x14ac:dyDescent="0.3">
      <c r="A96" s="21"/>
    </row>
    <row r="97" spans="1:1" x14ac:dyDescent="0.3">
      <c r="A97" s="21"/>
    </row>
    <row r="98" spans="1:1" x14ac:dyDescent="0.3">
      <c r="A98" s="21"/>
    </row>
  </sheetData>
  <mergeCells count="10">
    <mergeCell ref="I1:I2"/>
    <mergeCell ref="J1:J2"/>
    <mergeCell ref="K1:K2"/>
    <mergeCell ref="L1:L2"/>
    <mergeCell ref="B1:B2"/>
    <mergeCell ref="C1:C2"/>
    <mergeCell ref="D1:E1"/>
    <mergeCell ref="F1:F2"/>
    <mergeCell ref="G1:G2"/>
    <mergeCell ref="H1:H2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E5A17-CA69-4E1E-91FD-0955E1FE3647}">
  <sheetPr codeName="Sheet4"/>
  <dimension ref="B1:M36"/>
  <sheetViews>
    <sheetView showGridLines="0" zoomScale="70" zoomScaleNormal="70" workbookViewId="0">
      <selection activeCell="L1" sqref="L1:L1048576"/>
    </sheetView>
  </sheetViews>
  <sheetFormatPr defaultColWidth="8.85546875" defaultRowHeight="16.5" x14ac:dyDescent="0.3"/>
  <cols>
    <col min="1" max="1" width="8.85546875" style="18"/>
    <col min="2" max="2" width="10.7109375" style="18" customWidth="1"/>
    <col min="3" max="11" width="49.7109375" style="18" customWidth="1"/>
    <col min="12" max="12" width="99.7109375" style="18" customWidth="1"/>
    <col min="13" max="16384" width="8.85546875" style="18"/>
  </cols>
  <sheetData>
    <row r="1" spans="2:13" x14ac:dyDescent="0.3">
      <c r="B1" s="88" t="s">
        <v>217</v>
      </c>
      <c r="C1" s="88" t="s">
        <v>8</v>
      </c>
      <c r="D1" s="88" t="s">
        <v>218</v>
      </c>
      <c r="E1" s="88"/>
      <c r="F1" s="88" t="s">
        <v>219</v>
      </c>
      <c r="G1" s="88" t="s">
        <v>22</v>
      </c>
      <c r="H1" s="88" t="s">
        <v>23</v>
      </c>
      <c r="I1" s="88" t="s">
        <v>24</v>
      </c>
      <c r="J1" s="88" t="s">
        <v>25</v>
      </c>
      <c r="K1" s="88" t="s">
        <v>220</v>
      </c>
      <c r="L1" s="88" t="s">
        <v>26</v>
      </c>
      <c r="M1" s="19"/>
    </row>
    <row r="2" spans="2:13" x14ac:dyDescent="0.3">
      <c r="B2" s="89"/>
      <c r="C2" s="88"/>
      <c r="D2" s="67" t="s">
        <v>19</v>
      </c>
      <c r="E2" s="67" t="s">
        <v>20</v>
      </c>
      <c r="F2" s="88"/>
      <c r="G2" s="88"/>
      <c r="H2" s="88"/>
      <c r="I2" s="88"/>
      <c r="J2" s="88"/>
      <c r="K2" s="88"/>
      <c r="L2" s="88"/>
      <c r="M2" s="19"/>
    </row>
    <row r="3" spans="2:13" x14ac:dyDescent="0.3">
      <c r="B3" s="20"/>
    </row>
    <row r="4" spans="2:13" x14ac:dyDescent="0.3">
      <c r="B4" s="20" t="s">
        <v>15</v>
      </c>
    </row>
    <row r="5" spans="2:13" s="64" customFormat="1" ht="19.899999999999999" customHeight="1" x14ac:dyDescent="0.25">
      <c r="B5" s="62" t="s">
        <v>60</v>
      </c>
      <c r="C5" s="62" t="s">
        <v>8349</v>
      </c>
      <c r="D5" s="62"/>
      <c r="E5" s="62"/>
      <c r="F5" s="62"/>
      <c r="G5" s="62"/>
      <c r="H5" s="62"/>
      <c r="I5" s="62"/>
      <c r="J5" s="62"/>
      <c r="K5" s="63">
        <v>75210</v>
      </c>
      <c r="L5" s="62"/>
    </row>
    <row r="6" spans="2:13" s="64" customFormat="1" ht="19.899999999999999" customHeight="1" x14ac:dyDescent="0.25">
      <c r="B6" s="62" t="s">
        <v>61</v>
      </c>
      <c r="C6" s="62" t="s">
        <v>8351</v>
      </c>
      <c r="D6" s="62"/>
      <c r="E6" s="62"/>
      <c r="F6" s="62"/>
      <c r="G6" s="62"/>
      <c r="H6" s="62"/>
      <c r="I6" s="62"/>
      <c r="J6" s="62"/>
      <c r="K6" s="63">
        <v>75323</v>
      </c>
      <c r="L6" s="62"/>
    </row>
    <row r="7" spans="2:13" s="64" customFormat="1" ht="19.899999999999999" customHeight="1" x14ac:dyDescent="0.25"/>
    <row r="8" spans="2:13" s="64" customFormat="1" ht="19.899999999999999" customHeight="1" x14ac:dyDescent="0.25">
      <c r="B8" s="65" t="s">
        <v>225</v>
      </c>
    </row>
    <row r="9" spans="2:13" s="64" customFormat="1" ht="19.899999999999999" customHeight="1" x14ac:dyDescent="0.25">
      <c r="B9" s="62" t="s">
        <v>45</v>
      </c>
      <c r="C9" s="62" t="s">
        <v>8298</v>
      </c>
      <c r="D9" s="62"/>
      <c r="E9" s="62"/>
      <c r="F9" s="62"/>
      <c r="G9" s="62"/>
      <c r="H9" s="62"/>
      <c r="I9" s="62"/>
      <c r="J9" s="62"/>
      <c r="K9" s="63">
        <v>42100</v>
      </c>
      <c r="L9" s="62"/>
    </row>
    <row r="10" spans="2:13" s="64" customFormat="1" ht="19.899999999999999" customHeight="1" x14ac:dyDescent="0.25">
      <c r="B10" s="62" t="s">
        <v>46</v>
      </c>
      <c r="C10" s="62" t="s">
        <v>8301</v>
      </c>
      <c r="D10" s="62"/>
      <c r="E10" s="62"/>
      <c r="F10" s="62"/>
      <c r="G10" s="62"/>
      <c r="H10" s="62"/>
      <c r="I10" s="62"/>
      <c r="J10" s="62"/>
      <c r="K10" s="63">
        <v>42200</v>
      </c>
      <c r="L10" s="62"/>
    </row>
    <row r="11" spans="2:13" s="64" customFormat="1" ht="19.899999999999999" customHeight="1" x14ac:dyDescent="0.25">
      <c r="B11" s="62" t="s">
        <v>48</v>
      </c>
      <c r="C11" s="62" t="s">
        <v>8305</v>
      </c>
      <c r="D11" s="62"/>
      <c r="E11" s="62"/>
      <c r="F11" s="62"/>
      <c r="G11" s="62"/>
      <c r="H11" s="62"/>
      <c r="I11" s="62"/>
      <c r="J11" s="62"/>
      <c r="K11" s="63">
        <v>47200</v>
      </c>
      <c r="L11" s="62"/>
    </row>
    <row r="12" spans="2:13" s="64" customFormat="1" ht="19.899999999999999" customHeight="1" x14ac:dyDescent="0.25">
      <c r="B12" s="62" t="s">
        <v>43</v>
      </c>
      <c r="C12" s="62" t="s">
        <v>8296</v>
      </c>
      <c r="D12" s="62"/>
      <c r="E12" s="62"/>
      <c r="F12" s="62"/>
      <c r="G12" s="62"/>
      <c r="H12" s="62"/>
      <c r="I12" s="62"/>
      <c r="J12" s="62"/>
      <c r="K12" s="63">
        <v>34900</v>
      </c>
      <c r="L12" s="62"/>
    </row>
    <row r="13" spans="2:13" s="64" customFormat="1" ht="19.899999999999999" customHeight="1" x14ac:dyDescent="0.25">
      <c r="B13" s="62" t="s">
        <v>42</v>
      </c>
      <c r="C13" s="62" t="s">
        <v>8292</v>
      </c>
      <c r="D13" s="62"/>
      <c r="E13" s="62"/>
      <c r="F13" s="62"/>
      <c r="G13" s="62"/>
      <c r="H13" s="62"/>
      <c r="I13" s="62"/>
      <c r="J13" s="62"/>
      <c r="K13" s="63">
        <v>34000</v>
      </c>
      <c r="L13" s="62"/>
    </row>
    <row r="14" spans="2:13" s="64" customFormat="1" ht="19.899999999999999" customHeight="1" x14ac:dyDescent="0.25">
      <c r="B14" s="62" t="s">
        <v>47</v>
      </c>
      <c r="C14" s="62" t="s">
        <v>8303</v>
      </c>
      <c r="D14" s="62"/>
      <c r="E14" s="62"/>
      <c r="F14" s="62"/>
      <c r="G14" s="62"/>
      <c r="H14" s="62"/>
      <c r="I14" s="62"/>
      <c r="J14" s="62"/>
      <c r="K14" s="63">
        <v>44200</v>
      </c>
      <c r="L14" s="62"/>
    </row>
    <row r="15" spans="2:13" s="64" customFormat="1" ht="19.899999999999999" customHeight="1" x14ac:dyDescent="0.25">
      <c r="B15" s="62" t="s">
        <v>59</v>
      </c>
      <c r="C15" s="62" t="s">
        <v>8299</v>
      </c>
      <c r="D15" s="62"/>
      <c r="E15" s="62"/>
      <c r="F15" s="62"/>
      <c r="G15" s="62"/>
      <c r="H15" s="62"/>
      <c r="I15" s="62"/>
      <c r="J15" s="62"/>
      <c r="K15" s="63">
        <v>42100</v>
      </c>
      <c r="L15" s="62"/>
    </row>
    <row r="16" spans="2:13" s="64" customFormat="1" ht="19.899999999999999" customHeight="1" x14ac:dyDescent="0.25"/>
    <row r="17" spans="2:12" s="64" customFormat="1" ht="19.899999999999999" customHeight="1" x14ac:dyDescent="0.25">
      <c r="B17" s="65" t="s">
        <v>17</v>
      </c>
    </row>
    <row r="18" spans="2:12" s="64" customFormat="1" ht="19.899999999999999" customHeight="1" x14ac:dyDescent="0.25">
      <c r="B18" s="62" t="s">
        <v>64</v>
      </c>
      <c r="C18" s="62" t="s">
        <v>8357</v>
      </c>
      <c r="D18" s="62"/>
      <c r="E18" s="62"/>
      <c r="F18" s="62"/>
      <c r="G18" s="62"/>
      <c r="H18" s="62"/>
      <c r="I18" s="62"/>
      <c r="J18" s="62"/>
      <c r="K18" s="63">
        <v>84400</v>
      </c>
      <c r="L18" s="62"/>
    </row>
    <row r="19" spans="2:12" s="64" customFormat="1" ht="19.899999999999999" customHeight="1" x14ac:dyDescent="0.25">
      <c r="B19" s="62" t="s">
        <v>65</v>
      </c>
      <c r="C19" s="62" t="s">
        <v>8371</v>
      </c>
      <c r="D19" s="62"/>
      <c r="E19" s="62"/>
      <c r="F19" s="62"/>
      <c r="G19" s="62"/>
      <c r="H19" s="62"/>
      <c r="I19" s="62"/>
      <c r="J19" s="62"/>
      <c r="K19" s="63">
        <v>88000</v>
      </c>
      <c r="L19" s="62"/>
    </row>
    <row r="20" spans="2:12" s="64" customFormat="1" ht="19.899999999999999" customHeight="1" x14ac:dyDescent="0.25">
      <c r="B20" s="62" t="s">
        <v>8372</v>
      </c>
      <c r="C20" s="62" t="s">
        <v>8373</v>
      </c>
      <c r="D20" s="62"/>
      <c r="E20" s="62"/>
      <c r="F20" s="62"/>
      <c r="G20" s="62"/>
      <c r="H20" s="62"/>
      <c r="I20" s="62"/>
      <c r="J20" s="62"/>
      <c r="K20" s="63">
        <v>88000</v>
      </c>
      <c r="L20" s="62"/>
    </row>
    <row r="21" spans="2:12" s="64" customFormat="1" ht="19.899999999999999" customHeight="1" x14ac:dyDescent="0.25"/>
    <row r="22" spans="2:12" s="64" customFormat="1" ht="19.899999999999999" customHeight="1" x14ac:dyDescent="0.25">
      <c r="B22" s="65" t="s">
        <v>257</v>
      </c>
    </row>
    <row r="23" spans="2:12" s="64" customFormat="1" ht="19.899999999999999" customHeight="1" x14ac:dyDescent="0.25">
      <c r="B23" s="62" t="s">
        <v>68</v>
      </c>
      <c r="C23" s="62" t="s">
        <v>8380</v>
      </c>
      <c r="D23" s="62"/>
      <c r="E23" s="62"/>
      <c r="F23" s="62"/>
      <c r="G23" s="62"/>
      <c r="H23" s="62"/>
      <c r="I23" s="62"/>
      <c r="J23" s="62"/>
      <c r="K23" s="63">
        <v>92400</v>
      </c>
      <c r="L23" s="62"/>
    </row>
    <row r="24" spans="2:12" s="64" customFormat="1" ht="19.899999999999999" customHeight="1" x14ac:dyDescent="0.25"/>
    <row r="25" spans="2:12" s="64" customFormat="1" ht="19.899999999999999" customHeight="1" x14ac:dyDescent="0.25">
      <c r="B25" s="65" t="s">
        <v>258</v>
      </c>
    </row>
    <row r="26" spans="2:12" s="64" customFormat="1" ht="19.899999999999999" customHeight="1" x14ac:dyDescent="0.25">
      <c r="B26" s="62" t="s">
        <v>8293</v>
      </c>
      <c r="C26" s="62" t="s">
        <v>8294</v>
      </c>
      <c r="D26" s="62"/>
      <c r="E26" s="62"/>
      <c r="F26" s="62"/>
      <c r="G26" s="62"/>
      <c r="H26" s="62"/>
      <c r="I26" s="62"/>
      <c r="J26" s="62"/>
      <c r="K26" s="63">
        <v>34000</v>
      </c>
      <c r="L26" s="62"/>
    </row>
    <row r="27" spans="2:12" s="64" customFormat="1" ht="19.899999999999999" customHeight="1" x14ac:dyDescent="0.25"/>
    <row r="28" spans="2:12" s="64" customFormat="1" ht="19.899999999999999" customHeight="1" x14ac:dyDescent="0.25">
      <c r="B28" s="65" t="s">
        <v>226</v>
      </c>
    </row>
    <row r="29" spans="2:12" s="64" customFormat="1" ht="19.899999999999999" customHeight="1" x14ac:dyDescent="0.25">
      <c r="B29" s="62" t="s">
        <v>39</v>
      </c>
      <c r="C29" s="62" t="s">
        <v>8285</v>
      </c>
      <c r="D29" s="62"/>
      <c r="E29" s="62"/>
      <c r="F29" s="62"/>
      <c r="G29" s="62"/>
      <c r="H29" s="62"/>
      <c r="I29" s="62"/>
      <c r="J29" s="62"/>
      <c r="K29" s="63">
        <v>33100</v>
      </c>
      <c r="L29" s="62"/>
    </row>
    <row r="30" spans="2:12" s="64" customFormat="1" ht="19.899999999999999" customHeight="1" x14ac:dyDescent="0.25">
      <c r="B30" s="62" t="s">
        <v>8490</v>
      </c>
      <c r="C30" s="62" t="s">
        <v>8491</v>
      </c>
      <c r="D30" s="62"/>
      <c r="E30" s="62"/>
      <c r="F30" s="62"/>
      <c r="G30" s="62"/>
      <c r="H30" s="62"/>
      <c r="I30" s="62"/>
      <c r="J30" s="62"/>
      <c r="K30" s="63">
        <v>124813</v>
      </c>
      <c r="L30" s="62"/>
    </row>
    <row r="31" spans="2:12" s="64" customFormat="1" ht="19.899999999999999" customHeight="1" x14ac:dyDescent="0.25">
      <c r="B31" s="62" t="s">
        <v>52</v>
      </c>
      <c r="C31" s="62" t="s">
        <v>8312</v>
      </c>
      <c r="D31" s="62"/>
      <c r="E31" s="62"/>
      <c r="F31" s="62"/>
      <c r="G31" s="62"/>
      <c r="H31" s="62"/>
      <c r="I31" s="62"/>
      <c r="J31" s="62"/>
      <c r="K31" s="63">
        <v>55300</v>
      </c>
      <c r="L31" s="62"/>
    </row>
    <row r="32" spans="2:12" s="64" customFormat="1" ht="19.899999999999999" customHeight="1" x14ac:dyDescent="0.25">
      <c r="B32" s="62" t="s">
        <v>66</v>
      </c>
      <c r="C32" s="62" t="s">
        <v>8375</v>
      </c>
      <c r="D32" s="62"/>
      <c r="E32" s="62"/>
      <c r="F32" s="62"/>
      <c r="G32" s="62"/>
      <c r="H32" s="62"/>
      <c r="I32" s="62"/>
      <c r="J32" s="62"/>
      <c r="K32" s="63">
        <v>89000</v>
      </c>
      <c r="L32" s="62"/>
    </row>
    <row r="33" spans="2:12" s="64" customFormat="1" ht="19.899999999999999" customHeight="1" x14ac:dyDescent="0.25">
      <c r="B33" s="62" t="s">
        <v>53</v>
      </c>
      <c r="C33" s="62" t="s">
        <v>8322</v>
      </c>
      <c r="D33" s="62"/>
      <c r="E33" s="62"/>
      <c r="F33" s="62"/>
      <c r="G33" s="62"/>
      <c r="H33" s="62"/>
      <c r="I33" s="62"/>
      <c r="J33" s="62"/>
      <c r="K33" s="63">
        <v>57000</v>
      </c>
      <c r="L33" s="62"/>
    </row>
    <row r="34" spans="2:12" s="64" customFormat="1" ht="19.899999999999999" customHeight="1" x14ac:dyDescent="0.25">
      <c r="B34" s="62" t="s">
        <v>51</v>
      </c>
      <c r="C34" s="62" t="s">
        <v>8309</v>
      </c>
      <c r="D34" s="62"/>
      <c r="E34" s="62"/>
      <c r="F34" s="62"/>
      <c r="G34" s="62"/>
      <c r="H34" s="62"/>
      <c r="I34" s="62"/>
      <c r="J34" s="62"/>
      <c r="K34" s="63">
        <v>55200</v>
      </c>
      <c r="L34" s="62"/>
    </row>
    <row r="35" spans="2:12" x14ac:dyDescent="0.3">
      <c r="B35" s="22" t="s">
        <v>54</v>
      </c>
      <c r="C35" s="22" t="s">
        <v>8310</v>
      </c>
      <c r="D35" s="22"/>
      <c r="E35" s="22"/>
      <c r="F35" s="22"/>
      <c r="G35" s="22"/>
      <c r="H35" s="22"/>
      <c r="I35" s="22"/>
      <c r="J35" s="22"/>
      <c r="K35" s="23">
        <v>55200</v>
      </c>
      <c r="L35" s="22"/>
    </row>
    <row r="36" spans="2:12" x14ac:dyDescent="0.3">
      <c r="B36" s="22" t="s">
        <v>55</v>
      </c>
      <c r="C36" s="22" t="s">
        <v>8324</v>
      </c>
      <c r="D36" s="22"/>
      <c r="E36" s="22"/>
      <c r="F36" s="22"/>
      <c r="G36" s="22"/>
      <c r="H36" s="22"/>
      <c r="I36" s="22"/>
      <c r="J36" s="22"/>
      <c r="K36" s="23">
        <v>57300</v>
      </c>
      <c r="L36" s="22"/>
    </row>
  </sheetData>
  <mergeCells count="10">
    <mergeCell ref="I1:I2"/>
    <mergeCell ref="J1:J2"/>
    <mergeCell ref="K1:K2"/>
    <mergeCell ref="L1:L2"/>
    <mergeCell ref="B1:B2"/>
    <mergeCell ref="C1:C2"/>
    <mergeCell ref="D1:E1"/>
    <mergeCell ref="F1:F2"/>
    <mergeCell ref="G1:G2"/>
    <mergeCell ref="H1:H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EDB48-1C07-469D-9350-F14008852581}">
  <sheetPr codeName="Sheet6"/>
  <dimension ref="A1:D811"/>
  <sheetViews>
    <sheetView workbookViewId="0">
      <selection activeCell="J10" sqref="J10"/>
    </sheetView>
  </sheetViews>
  <sheetFormatPr defaultRowHeight="15" x14ac:dyDescent="0.25"/>
  <cols>
    <col min="1" max="1" width="10.42578125" bestFit="1" customWidth="1"/>
    <col min="2" max="2" width="63.85546875" bestFit="1" customWidth="1"/>
    <col min="3" max="3" width="4.7109375" bestFit="1" customWidth="1"/>
    <col min="4" max="4" width="14.140625" bestFit="1" customWidth="1"/>
  </cols>
  <sheetData>
    <row r="1" spans="1:4" x14ac:dyDescent="0.25">
      <c r="A1" s="35" t="s">
        <v>259</v>
      </c>
      <c r="B1" s="35" t="s">
        <v>260</v>
      </c>
      <c r="C1" s="35" t="s">
        <v>261</v>
      </c>
      <c r="D1" s="35" t="s">
        <v>262</v>
      </c>
    </row>
    <row r="2" spans="1:4" x14ac:dyDescent="0.25">
      <c r="A2" s="36" t="s">
        <v>263</v>
      </c>
      <c r="B2" s="36" t="s">
        <v>264</v>
      </c>
      <c r="C2" s="37">
        <v>1</v>
      </c>
      <c r="D2" s="36"/>
    </row>
    <row r="3" spans="1:4" x14ac:dyDescent="0.25">
      <c r="A3" s="38">
        <v>10</v>
      </c>
      <c r="B3" s="39" t="s">
        <v>265</v>
      </c>
      <c r="C3" s="40">
        <v>2</v>
      </c>
      <c r="D3" s="41" t="s">
        <v>266</v>
      </c>
    </row>
    <row r="4" spans="1:4" x14ac:dyDescent="0.25">
      <c r="A4" s="38">
        <v>1010</v>
      </c>
      <c r="B4" s="39" t="s">
        <v>267</v>
      </c>
      <c r="C4" s="40">
        <v>3</v>
      </c>
      <c r="D4" s="41">
        <v>11000</v>
      </c>
    </row>
    <row r="5" spans="1:4" x14ac:dyDescent="0.25">
      <c r="A5" s="38" t="s">
        <v>268</v>
      </c>
      <c r="B5" s="39" t="s">
        <v>269</v>
      </c>
      <c r="C5" s="40">
        <v>4</v>
      </c>
      <c r="D5" s="41">
        <v>11100</v>
      </c>
    </row>
    <row r="6" spans="1:4" x14ac:dyDescent="0.25">
      <c r="A6" s="38" t="s">
        <v>270</v>
      </c>
      <c r="B6" s="39" t="s">
        <v>271</v>
      </c>
      <c r="C6" s="40">
        <v>4</v>
      </c>
      <c r="D6" s="41">
        <v>11200</v>
      </c>
    </row>
    <row r="7" spans="1:4" x14ac:dyDescent="0.25">
      <c r="A7" s="38" t="s">
        <v>272</v>
      </c>
      <c r="B7" s="39" t="s">
        <v>273</v>
      </c>
      <c r="C7" s="40">
        <v>4</v>
      </c>
      <c r="D7" s="41">
        <v>11400</v>
      </c>
    </row>
    <row r="8" spans="1:4" x14ac:dyDescent="0.25">
      <c r="A8" s="38">
        <v>1020</v>
      </c>
      <c r="B8" s="39" t="s">
        <v>274</v>
      </c>
      <c r="C8" s="40">
        <v>3</v>
      </c>
      <c r="D8" s="41" t="s">
        <v>266</v>
      </c>
    </row>
    <row r="9" spans="1:4" x14ac:dyDescent="0.25">
      <c r="A9" s="38" t="s">
        <v>275</v>
      </c>
      <c r="B9" s="39" t="s">
        <v>276</v>
      </c>
      <c r="C9" s="40">
        <v>4</v>
      </c>
      <c r="D9" s="41" t="s">
        <v>266</v>
      </c>
    </row>
    <row r="10" spans="1:4" x14ac:dyDescent="0.25">
      <c r="A10" s="38" t="s">
        <v>277</v>
      </c>
      <c r="B10" s="39" t="s">
        <v>278</v>
      </c>
      <c r="C10" s="40">
        <v>4</v>
      </c>
      <c r="D10" s="41" t="s">
        <v>266</v>
      </c>
    </row>
    <row r="11" spans="1:4" x14ac:dyDescent="0.25">
      <c r="A11" s="38">
        <v>1030</v>
      </c>
      <c r="B11" s="39" t="s">
        <v>279</v>
      </c>
      <c r="C11" s="40">
        <v>3</v>
      </c>
      <c r="D11" s="41" t="s">
        <v>266</v>
      </c>
    </row>
    <row r="12" spans="1:4" x14ac:dyDescent="0.25">
      <c r="A12" s="38" t="s">
        <v>280</v>
      </c>
      <c r="B12" s="39" t="s">
        <v>281</v>
      </c>
      <c r="C12" s="40">
        <v>4</v>
      </c>
      <c r="D12" s="41">
        <v>14100</v>
      </c>
    </row>
    <row r="13" spans="1:4" x14ac:dyDescent="0.25">
      <c r="A13" s="38" t="s">
        <v>282</v>
      </c>
      <c r="B13" s="39" t="s">
        <v>283</v>
      </c>
      <c r="C13" s="40">
        <v>4</v>
      </c>
      <c r="D13" s="41" t="s">
        <v>266</v>
      </c>
    </row>
    <row r="14" spans="1:4" x14ac:dyDescent="0.25">
      <c r="A14" s="38" t="s">
        <v>284</v>
      </c>
      <c r="B14" s="39" t="s">
        <v>285</v>
      </c>
      <c r="C14" s="40">
        <v>4</v>
      </c>
      <c r="D14" s="41">
        <v>14113</v>
      </c>
    </row>
    <row r="15" spans="1:4" x14ac:dyDescent="0.25">
      <c r="A15" s="38" t="s">
        <v>286</v>
      </c>
      <c r="B15" s="39" t="s">
        <v>287</v>
      </c>
      <c r="C15" s="40">
        <v>4</v>
      </c>
      <c r="D15" s="41" t="s">
        <v>266</v>
      </c>
    </row>
    <row r="16" spans="1:4" x14ac:dyDescent="0.25">
      <c r="A16" s="38" t="s">
        <v>288</v>
      </c>
      <c r="B16" s="39" t="s">
        <v>289</v>
      </c>
      <c r="C16" s="40">
        <v>4</v>
      </c>
      <c r="D16" s="41">
        <v>18113</v>
      </c>
    </row>
    <row r="17" spans="1:4" x14ac:dyDescent="0.25">
      <c r="A17" s="38">
        <v>1030.53</v>
      </c>
      <c r="B17" s="39" t="s">
        <v>290</v>
      </c>
      <c r="C17" s="40">
        <v>4</v>
      </c>
      <c r="D17" s="41">
        <v>18116</v>
      </c>
    </row>
    <row r="18" spans="1:4" x14ac:dyDescent="0.25">
      <c r="A18" s="38">
        <v>1030.56</v>
      </c>
      <c r="B18" s="39" t="s">
        <v>291</v>
      </c>
      <c r="C18" s="40">
        <v>4</v>
      </c>
      <c r="D18" s="41">
        <v>18119</v>
      </c>
    </row>
    <row r="19" spans="1:4" x14ac:dyDescent="0.25">
      <c r="A19" s="38" t="s">
        <v>292</v>
      </c>
      <c r="B19" s="39" t="s">
        <v>293</v>
      </c>
      <c r="C19" s="40">
        <v>4</v>
      </c>
      <c r="D19" s="41">
        <v>13591</v>
      </c>
    </row>
    <row r="20" spans="1:4" x14ac:dyDescent="0.25">
      <c r="A20" s="38">
        <v>1040</v>
      </c>
      <c r="B20" s="39" t="s">
        <v>294</v>
      </c>
      <c r="C20" s="40">
        <v>3</v>
      </c>
      <c r="D20" s="41">
        <v>20000</v>
      </c>
    </row>
    <row r="21" spans="1:4" x14ac:dyDescent="0.25">
      <c r="A21" s="38" t="s">
        <v>295</v>
      </c>
      <c r="B21" s="39" t="s">
        <v>296</v>
      </c>
      <c r="C21" s="40">
        <v>4</v>
      </c>
      <c r="D21" s="41">
        <v>22000</v>
      </c>
    </row>
    <row r="22" spans="1:4" x14ac:dyDescent="0.25">
      <c r="A22" s="38" t="s">
        <v>297</v>
      </c>
      <c r="B22" s="39" t="s">
        <v>298</v>
      </c>
      <c r="C22" s="40">
        <v>4</v>
      </c>
      <c r="D22" s="41">
        <v>23000</v>
      </c>
    </row>
    <row r="23" spans="1:4" x14ac:dyDescent="0.25">
      <c r="A23" s="38">
        <v>1050</v>
      </c>
      <c r="B23" s="39" t="s">
        <v>299</v>
      </c>
      <c r="C23" s="40">
        <v>3</v>
      </c>
      <c r="D23" s="41">
        <v>11116</v>
      </c>
    </row>
    <row r="24" spans="1:4" x14ac:dyDescent="0.25">
      <c r="A24" s="38">
        <v>1090</v>
      </c>
      <c r="B24" s="39" t="s">
        <v>300</v>
      </c>
      <c r="C24" s="40">
        <v>3</v>
      </c>
      <c r="D24" s="41" t="s">
        <v>266</v>
      </c>
    </row>
    <row r="25" spans="1:4" x14ac:dyDescent="0.25">
      <c r="A25" s="38" t="s">
        <v>301</v>
      </c>
      <c r="B25" s="39" t="s">
        <v>302</v>
      </c>
      <c r="C25" s="40">
        <v>4</v>
      </c>
      <c r="D25" s="41">
        <v>3116</v>
      </c>
    </row>
    <row r="26" spans="1:4" x14ac:dyDescent="0.25">
      <c r="A26" s="38" t="s">
        <v>303</v>
      </c>
      <c r="B26" s="39" t="s">
        <v>304</v>
      </c>
      <c r="C26" s="40">
        <v>4</v>
      </c>
      <c r="D26" s="41" t="s">
        <v>266</v>
      </c>
    </row>
    <row r="27" spans="1:4" x14ac:dyDescent="0.25">
      <c r="A27" s="38" t="s">
        <v>305</v>
      </c>
      <c r="B27" s="39" t="s">
        <v>306</v>
      </c>
      <c r="C27" s="40">
        <v>4</v>
      </c>
      <c r="D27" s="41" t="s">
        <v>266</v>
      </c>
    </row>
    <row r="28" spans="1:4" x14ac:dyDescent="0.25">
      <c r="A28" s="38">
        <v>20</v>
      </c>
      <c r="B28" s="39" t="s">
        <v>307</v>
      </c>
      <c r="C28" s="40">
        <v>2</v>
      </c>
      <c r="D28" s="41" t="s">
        <v>266</v>
      </c>
    </row>
    <row r="29" spans="1:4" x14ac:dyDescent="0.25">
      <c r="A29" s="38">
        <v>2010</v>
      </c>
      <c r="B29" s="39" t="s">
        <v>308</v>
      </c>
      <c r="C29" s="40">
        <v>3</v>
      </c>
      <c r="D29" s="41" t="s">
        <v>266</v>
      </c>
    </row>
    <row r="30" spans="1:4" x14ac:dyDescent="0.25">
      <c r="A30" s="38" t="s">
        <v>309</v>
      </c>
      <c r="B30" s="39" t="s">
        <v>310</v>
      </c>
      <c r="C30" s="40">
        <v>4</v>
      </c>
      <c r="D30" s="41" t="s">
        <v>266</v>
      </c>
    </row>
    <row r="31" spans="1:4" x14ac:dyDescent="0.25">
      <c r="A31" s="38" t="s">
        <v>311</v>
      </c>
      <c r="B31" s="39" t="s">
        <v>312</v>
      </c>
      <c r="C31" s="40">
        <v>4</v>
      </c>
      <c r="D31" s="41" t="s">
        <v>266</v>
      </c>
    </row>
    <row r="32" spans="1:4" x14ac:dyDescent="0.25">
      <c r="A32" s="38" t="s">
        <v>313</v>
      </c>
      <c r="B32" s="39" t="s">
        <v>314</v>
      </c>
      <c r="C32" s="40">
        <v>4</v>
      </c>
      <c r="D32" s="41" t="s">
        <v>266</v>
      </c>
    </row>
    <row r="33" spans="1:4" x14ac:dyDescent="0.25">
      <c r="A33" s="38">
        <v>2020</v>
      </c>
      <c r="B33" s="39" t="s">
        <v>315</v>
      </c>
      <c r="C33" s="40">
        <v>3</v>
      </c>
      <c r="D33" s="41" t="s">
        <v>266</v>
      </c>
    </row>
    <row r="34" spans="1:4" x14ac:dyDescent="0.25">
      <c r="A34" s="38" t="s">
        <v>316</v>
      </c>
      <c r="B34" s="39" t="s">
        <v>317</v>
      </c>
      <c r="C34" s="40">
        <v>4</v>
      </c>
      <c r="D34" s="41">
        <v>13563</v>
      </c>
    </row>
    <row r="35" spans="1:4" x14ac:dyDescent="0.25">
      <c r="A35" s="38">
        <v>2020.15</v>
      </c>
      <c r="B35" s="39" t="s">
        <v>318</v>
      </c>
      <c r="C35" s="40">
        <v>4</v>
      </c>
      <c r="D35" s="41" t="s">
        <v>266</v>
      </c>
    </row>
    <row r="36" spans="1:4" x14ac:dyDescent="0.25">
      <c r="A36" s="38" t="s">
        <v>319</v>
      </c>
      <c r="B36" s="39" t="s">
        <v>320</v>
      </c>
      <c r="C36" s="40">
        <v>4</v>
      </c>
      <c r="D36" s="41">
        <v>14126</v>
      </c>
    </row>
    <row r="37" spans="1:4" x14ac:dyDescent="0.25">
      <c r="A37" s="38" t="s">
        <v>321</v>
      </c>
      <c r="B37" s="39" t="s">
        <v>322</v>
      </c>
      <c r="C37" s="40">
        <v>4</v>
      </c>
      <c r="D37" s="41">
        <v>14100</v>
      </c>
    </row>
    <row r="38" spans="1:4" x14ac:dyDescent="0.25">
      <c r="A38" s="38">
        <v>2030</v>
      </c>
      <c r="B38" s="39" t="s">
        <v>323</v>
      </c>
      <c r="C38" s="40">
        <v>3</v>
      </c>
      <c r="D38" s="41" t="s">
        <v>266</v>
      </c>
    </row>
    <row r="39" spans="1:4" x14ac:dyDescent="0.25">
      <c r="A39" s="38" t="s">
        <v>324</v>
      </c>
      <c r="B39" s="39" t="s">
        <v>325</v>
      </c>
      <c r="C39" s="40">
        <v>4</v>
      </c>
      <c r="D39" s="41" t="s">
        <v>266</v>
      </c>
    </row>
    <row r="40" spans="1:4" x14ac:dyDescent="0.25">
      <c r="A40" s="38" t="s">
        <v>326</v>
      </c>
      <c r="B40" s="39" t="s">
        <v>327</v>
      </c>
      <c r="C40" s="40">
        <v>4</v>
      </c>
      <c r="D40" s="41" t="s">
        <v>266</v>
      </c>
    </row>
    <row r="41" spans="1:4" x14ac:dyDescent="0.25">
      <c r="A41" s="38" t="s">
        <v>328</v>
      </c>
      <c r="B41" s="39" t="s">
        <v>329</v>
      </c>
      <c r="C41" s="40">
        <v>4</v>
      </c>
      <c r="D41" s="41" t="s">
        <v>266</v>
      </c>
    </row>
    <row r="42" spans="1:4" x14ac:dyDescent="0.25">
      <c r="A42" s="38" t="s">
        <v>330</v>
      </c>
      <c r="B42" s="39" t="s">
        <v>331</v>
      </c>
      <c r="C42" s="40">
        <v>4</v>
      </c>
      <c r="D42" s="41">
        <v>14529</v>
      </c>
    </row>
    <row r="43" spans="1:4" x14ac:dyDescent="0.25">
      <c r="A43" s="38" t="s">
        <v>332</v>
      </c>
      <c r="B43" s="39" t="s">
        <v>333</v>
      </c>
      <c r="C43" s="40">
        <v>4</v>
      </c>
      <c r="D43" s="41">
        <v>14523</v>
      </c>
    </row>
    <row r="44" spans="1:4" x14ac:dyDescent="0.25">
      <c r="A44" s="38" t="s">
        <v>334</v>
      </c>
      <c r="B44" s="39" t="s">
        <v>335</v>
      </c>
      <c r="C44" s="40">
        <v>4</v>
      </c>
      <c r="D44" s="41" t="s">
        <v>266</v>
      </c>
    </row>
    <row r="45" spans="1:4" x14ac:dyDescent="0.25">
      <c r="A45" s="38" t="s">
        <v>336</v>
      </c>
      <c r="B45" s="39" t="s">
        <v>337</v>
      </c>
      <c r="C45" s="40">
        <v>4</v>
      </c>
      <c r="D45" s="41" t="s">
        <v>266</v>
      </c>
    </row>
    <row r="46" spans="1:4" x14ac:dyDescent="0.25">
      <c r="A46" s="38">
        <v>2050</v>
      </c>
      <c r="B46" s="39" t="s">
        <v>338</v>
      </c>
      <c r="C46" s="40">
        <v>3</v>
      </c>
      <c r="D46" s="41" t="s">
        <v>266</v>
      </c>
    </row>
    <row r="47" spans="1:4" x14ac:dyDescent="0.25">
      <c r="A47" s="38" t="s">
        <v>339</v>
      </c>
      <c r="B47" s="39" t="s">
        <v>340</v>
      </c>
      <c r="C47" s="40">
        <v>4</v>
      </c>
      <c r="D47" s="41" t="s">
        <v>266</v>
      </c>
    </row>
    <row r="48" spans="1:4" x14ac:dyDescent="0.25">
      <c r="A48" s="38" t="s">
        <v>341</v>
      </c>
      <c r="B48" s="39" t="s">
        <v>342</v>
      </c>
      <c r="C48" s="40">
        <v>4</v>
      </c>
      <c r="D48" s="41" t="s">
        <v>266</v>
      </c>
    </row>
    <row r="49" spans="1:4" x14ac:dyDescent="0.25">
      <c r="A49" s="38" t="s">
        <v>343</v>
      </c>
      <c r="B49" s="39" t="s">
        <v>344</v>
      </c>
      <c r="C49" s="40">
        <v>4</v>
      </c>
      <c r="D49" s="41" t="s">
        <v>266</v>
      </c>
    </row>
    <row r="50" spans="1:4" x14ac:dyDescent="0.25">
      <c r="A50" s="38" t="s">
        <v>345</v>
      </c>
      <c r="B50" s="39" t="s">
        <v>346</v>
      </c>
      <c r="C50" s="40">
        <v>4</v>
      </c>
      <c r="D50" s="41">
        <v>14113</v>
      </c>
    </row>
    <row r="51" spans="1:4" x14ac:dyDescent="0.25">
      <c r="A51" s="38">
        <v>2080</v>
      </c>
      <c r="B51" s="39" t="s">
        <v>347</v>
      </c>
      <c r="C51" s="40">
        <v>3</v>
      </c>
      <c r="D51" s="41">
        <v>12100</v>
      </c>
    </row>
    <row r="52" spans="1:4" x14ac:dyDescent="0.25">
      <c r="A52" s="38" t="s">
        <v>348</v>
      </c>
      <c r="B52" s="39" t="s">
        <v>349</v>
      </c>
      <c r="C52" s="40">
        <v>4</v>
      </c>
      <c r="D52" s="41">
        <v>12116</v>
      </c>
    </row>
    <row r="53" spans="1:4" x14ac:dyDescent="0.25">
      <c r="A53" s="38" t="s">
        <v>350</v>
      </c>
      <c r="B53" s="39" t="s">
        <v>351</v>
      </c>
      <c r="C53" s="40">
        <v>4</v>
      </c>
      <c r="D53" s="41">
        <v>12116</v>
      </c>
    </row>
    <row r="54" spans="1:4" x14ac:dyDescent="0.25">
      <c r="A54" s="38" t="s">
        <v>352</v>
      </c>
      <c r="B54" s="39" t="s">
        <v>353</v>
      </c>
      <c r="C54" s="40">
        <v>4</v>
      </c>
      <c r="D54" s="41">
        <v>12100</v>
      </c>
    </row>
    <row r="55" spans="1:4" x14ac:dyDescent="0.25">
      <c r="A55" s="38" t="s">
        <v>354</v>
      </c>
      <c r="B55" s="39" t="s">
        <v>355</v>
      </c>
      <c r="C55" s="40">
        <v>4</v>
      </c>
      <c r="D55" s="41">
        <v>12100</v>
      </c>
    </row>
    <row r="56" spans="1:4" x14ac:dyDescent="0.25">
      <c r="A56" s="38">
        <v>2090</v>
      </c>
      <c r="B56" s="39" t="s">
        <v>356</v>
      </c>
      <c r="C56" s="40">
        <v>3</v>
      </c>
      <c r="D56" s="41" t="s">
        <v>266</v>
      </c>
    </row>
    <row r="57" spans="1:4" x14ac:dyDescent="0.25">
      <c r="A57" s="38" t="s">
        <v>357</v>
      </c>
      <c r="B57" s="39" t="s">
        <v>358</v>
      </c>
      <c r="C57" s="40">
        <v>4</v>
      </c>
      <c r="D57" s="41" t="s">
        <v>266</v>
      </c>
    </row>
    <row r="58" spans="1:4" x14ac:dyDescent="0.25">
      <c r="A58" s="38" t="s">
        <v>359</v>
      </c>
      <c r="B58" s="39" t="s">
        <v>360</v>
      </c>
      <c r="C58" s="40">
        <v>4</v>
      </c>
      <c r="D58" s="41" t="s">
        <v>266</v>
      </c>
    </row>
    <row r="59" spans="1:4" x14ac:dyDescent="0.25">
      <c r="A59" s="38">
        <v>30</v>
      </c>
      <c r="B59" s="39" t="s">
        <v>361</v>
      </c>
      <c r="C59" s="40">
        <v>2</v>
      </c>
      <c r="D59" s="41" t="s">
        <v>266</v>
      </c>
    </row>
    <row r="60" spans="1:4" x14ac:dyDescent="0.25">
      <c r="A60" s="38">
        <v>3010</v>
      </c>
      <c r="B60" s="39" t="s">
        <v>362</v>
      </c>
      <c r="C60" s="40">
        <v>3</v>
      </c>
      <c r="D60" s="41" t="s">
        <v>266</v>
      </c>
    </row>
    <row r="61" spans="1:4" x14ac:dyDescent="0.25">
      <c r="A61" s="38" t="s">
        <v>363</v>
      </c>
      <c r="B61" s="39" t="s">
        <v>364</v>
      </c>
      <c r="C61" s="40">
        <v>4</v>
      </c>
      <c r="D61" s="41" t="s">
        <v>266</v>
      </c>
    </row>
    <row r="62" spans="1:4" x14ac:dyDescent="0.25">
      <c r="A62" s="38" t="s">
        <v>365</v>
      </c>
      <c r="B62" s="39" t="s">
        <v>366</v>
      </c>
      <c r="C62" s="40">
        <v>4</v>
      </c>
      <c r="D62" s="41" t="s">
        <v>266</v>
      </c>
    </row>
    <row r="63" spans="1:4" x14ac:dyDescent="0.25">
      <c r="A63" s="38" t="s">
        <v>367</v>
      </c>
      <c r="B63" s="39" t="s">
        <v>368</v>
      </c>
      <c r="C63" s="40">
        <v>4</v>
      </c>
      <c r="D63" s="41">
        <v>12900</v>
      </c>
    </row>
    <row r="64" spans="1:4" x14ac:dyDescent="0.25">
      <c r="A64" s="38">
        <v>3020</v>
      </c>
      <c r="B64" s="39" t="s">
        <v>369</v>
      </c>
      <c r="C64" s="40">
        <v>3</v>
      </c>
      <c r="D64" s="41" t="s">
        <v>266</v>
      </c>
    </row>
    <row r="65" spans="1:4" x14ac:dyDescent="0.25">
      <c r="A65" s="38" t="s">
        <v>370</v>
      </c>
      <c r="B65" s="39" t="s">
        <v>371</v>
      </c>
      <c r="C65" s="40">
        <v>4</v>
      </c>
      <c r="D65" s="41" t="s">
        <v>266</v>
      </c>
    </row>
    <row r="66" spans="1:4" x14ac:dyDescent="0.25">
      <c r="A66" s="38">
        <v>3030</v>
      </c>
      <c r="B66" s="39" t="s">
        <v>372</v>
      </c>
      <c r="C66" s="40">
        <v>3</v>
      </c>
      <c r="D66" s="41" t="s">
        <v>266</v>
      </c>
    </row>
    <row r="67" spans="1:4" x14ac:dyDescent="0.25">
      <c r="A67" s="38" t="s">
        <v>373</v>
      </c>
      <c r="B67" s="39" t="s">
        <v>374</v>
      </c>
      <c r="C67" s="40">
        <v>4</v>
      </c>
      <c r="D67" s="41" t="s">
        <v>266</v>
      </c>
    </row>
    <row r="68" spans="1:4" x14ac:dyDescent="0.25">
      <c r="A68" s="38">
        <v>3030.15</v>
      </c>
      <c r="B68" s="39" t="s">
        <v>375</v>
      </c>
      <c r="C68" s="40">
        <v>4</v>
      </c>
      <c r="D68" s="41" t="s">
        <v>266</v>
      </c>
    </row>
    <row r="69" spans="1:4" x14ac:dyDescent="0.25">
      <c r="A69" s="38" t="s">
        <v>376</v>
      </c>
      <c r="B69" s="39" t="s">
        <v>377</v>
      </c>
      <c r="C69" s="40">
        <v>4</v>
      </c>
      <c r="D69" s="41" t="s">
        <v>266</v>
      </c>
    </row>
    <row r="70" spans="1:4" x14ac:dyDescent="0.25">
      <c r="A70" s="38" t="s">
        <v>378</v>
      </c>
      <c r="B70" s="39" t="s">
        <v>379</v>
      </c>
      <c r="C70" s="40">
        <v>4</v>
      </c>
      <c r="D70" s="41" t="s">
        <v>266</v>
      </c>
    </row>
    <row r="71" spans="1:4" x14ac:dyDescent="0.25">
      <c r="A71" s="38" t="s">
        <v>380</v>
      </c>
      <c r="B71" s="39" t="s">
        <v>381</v>
      </c>
      <c r="C71" s="40">
        <v>4</v>
      </c>
      <c r="D71" s="41" t="s">
        <v>266</v>
      </c>
    </row>
    <row r="72" spans="1:4" x14ac:dyDescent="0.25">
      <c r="A72" s="38" t="s">
        <v>382</v>
      </c>
      <c r="B72" s="39" t="s">
        <v>383</v>
      </c>
      <c r="C72" s="40">
        <v>4</v>
      </c>
      <c r="D72" s="41" t="s">
        <v>266</v>
      </c>
    </row>
    <row r="73" spans="1:4" x14ac:dyDescent="0.25">
      <c r="A73" s="38">
        <v>3040</v>
      </c>
      <c r="B73" s="39" t="s">
        <v>384</v>
      </c>
      <c r="C73" s="40">
        <v>3</v>
      </c>
      <c r="D73" s="41" t="s">
        <v>266</v>
      </c>
    </row>
    <row r="74" spans="1:4" x14ac:dyDescent="0.25">
      <c r="A74" s="38" t="s">
        <v>385</v>
      </c>
      <c r="B74" s="39" t="s">
        <v>386</v>
      </c>
      <c r="C74" s="40">
        <v>4</v>
      </c>
      <c r="D74" s="41" t="s">
        <v>266</v>
      </c>
    </row>
    <row r="75" spans="1:4" x14ac:dyDescent="0.25">
      <c r="A75" s="38">
        <v>3040.15</v>
      </c>
      <c r="B75" s="39" t="s">
        <v>387</v>
      </c>
      <c r="C75" s="40">
        <v>4</v>
      </c>
      <c r="D75" s="41" t="s">
        <v>266</v>
      </c>
    </row>
    <row r="76" spans="1:4" x14ac:dyDescent="0.25">
      <c r="A76" s="38" t="s">
        <v>388</v>
      </c>
      <c r="B76" s="39" t="s">
        <v>389</v>
      </c>
      <c r="C76" s="40">
        <v>4</v>
      </c>
      <c r="D76" s="41" t="s">
        <v>266</v>
      </c>
    </row>
    <row r="77" spans="1:4" x14ac:dyDescent="0.25">
      <c r="A77" s="38">
        <v>3040.35</v>
      </c>
      <c r="B77" s="39" t="s">
        <v>390</v>
      </c>
      <c r="C77" s="40">
        <v>4</v>
      </c>
      <c r="D77" s="41" t="s">
        <v>266</v>
      </c>
    </row>
    <row r="78" spans="1:4" x14ac:dyDescent="0.25">
      <c r="A78" s="38" t="s">
        <v>391</v>
      </c>
      <c r="B78" s="39" t="s">
        <v>392</v>
      </c>
      <c r="C78" s="40">
        <v>4</v>
      </c>
      <c r="D78" s="41" t="s">
        <v>266</v>
      </c>
    </row>
    <row r="79" spans="1:4" x14ac:dyDescent="0.25">
      <c r="A79" s="38">
        <v>3040.45</v>
      </c>
      <c r="B79" s="39" t="s">
        <v>393</v>
      </c>
      <c r="C79" s="40">
        <v>4</v>
      </c>
      <c r="D79" s="41" t="s">
        <v>266</v>
      </c>
    </row>
    <row r="80" spans="1:4" x14ac:dyDescent="0.25">
      <c r="A80" s="38" t="s">
        <v>394</v>
      </c>
      <c r="B80" s="39" t="s">
        <v>395</v>
      </c>
      <c r="C80" s="40">
        <v>4</v>
      </c>
      <c r="D80" s="41" t="s">
        <v>266</v>
      </c>
    </row>
    <row r="81" spans="1:4" x14ac:dyDescent="0.25">
      <c r="A81" s="38">
        <v>3040.55</v>
      </c>
      <c r="B81" s="39" t="s">
        <v>396</v>
      </c>
      <c r="C81" s="40">
        <v>4</v>
      </c>
      <c r="D81" s="41" t="s">
        <v>266</v>
      </c>
    </row>
    <row r="82" spans="1:4" x14ac:dyDescent="0.25">
      <c r="A82" s="38" t="s">
        <v>397</v>
      </c>
      <c r="B82" s="39" t="s">
        <v>398</v>
      </c>
      <c r="C82" s="40">
        <v>4</v>
      </c>
      <c r="D82" s="41" t="s">
        <v>266</v>
      </c>
    </row>
    <row r="83" spans="1:4" x14ac:dyDescent="0.25">
      <c r="A83" s="38" t="s">
        <v>399</v>
      </c>
      <c r="B83" s="39" t="s">
        <v>400</v>
      </c>
      <c r="C83" s="40">
        <v>4</v>
      </c>
      <c r="D83" s="41" t="s">
        <v>266</v>
      </c>
    </row>
    <row r="84" spans="1:4" x14ac:dyDescent="0.25">
      <c r="A84" s="38">
        <v>3050</v>
      </c>
      <c r="B84" s="39" t="s">
        <v>401</v>
      </c>
      <c r="C84" s="40">
        <v>3</v>
      </c>
      <c r="D84" s="41" t="s">
        <v>266</v>
      </c>
    </row>
    <row r="85" spans="1:4" x14ac:dyDescent="0.25">
      <c r="A85" s="38" t="s">
        <v>402</v>
      </c>
      <c r="B85" s="39" t="s">
        <v>403</v>
      </c>
      <c r="C85" s="40">
        <v>4</v>
      </c>
      <c r="D85" s="41" t="s">
        <v>266</v>
      </c>
    </row>
    <row r="86" spans="1:4" x14ac:dyDescent="0.25">
      <c r="A86" s="38" t="s">
        <v>404</v>
      </c>
      <c r="B86" s="39" t="s">
        <v>405</v>
      </c>
      <c r="C86" s="40">
        <v>4</v>
      </c>
      <c r="D86" s="41" t="s">
        <v>266</v>
      </c>
    </row>
    <row r="87" spans="1:4" x14ac:dyDescent="0.25">
      <c r="A87" s="38" t="s">
        <v>406</v>
      </c>
      <c r="B87" s="39" t="s">
        <v>407</v>
      </c>
      <c r="C87" s="40">
        <v>4</v>
      </c>
      <c r="D87" s="41" t="s">
        <v>266</v>
      </c>
    </row>
    <row r="88" spans="1:4" x14ac:dyDescent="0.25">
      <c r="A88" s="38" t="s">
        <v>408</v>
      </c>
      <c r="B88" s="39" t="s">
        <v>409</v>
      </c>
      <c r="C88" s="40">
        <v>4</v>
      </c>
      <c r="D88" s="41" t="s">
        <v>266</v>
      </c>
    </row>
    <row r="89" spans="1:4" x14ac:dyDescent="0.25">
      <c r="A89" s="38">
        <v>40</v>
      </c>
      <c r="B89" s="39" t="s">
        <v>410</v>
      </c>
      <c r="C89" s="40">
        <v>2</v>
      </c>
      <c r="D89" s="41" t="s">
        <v>266</v>
      </c>
    </row>
    <row r="90" spans="1:4" x14ac:dyDescent="0.25">
      <c r="A90" s="38">
        <v>4010</v>
      </c>
      <c r="B90" s="39" t="s">
        <v>411</v>
      </c>
      <c r="C90" s="40">
        <v>3</v>
      </c>
      <c r="D90" s="41" t="s">
        <v>266</v>
      </c>
    </row>
    <row r="91" spans="1:4" x14ac:dyDescent="0.25">
      <c r="A91" s="38" t="s">
        <v>412</v>
      </c>
      <c r="B91" s="39" t="s">
        <v>413</v>
      </c>
      <c r="C91" s="40">
        <v>4</v>
      </c>
      <c r="D91" s="41" t="s">
        <v>266</v>
      </c>
    </row>
    <row r="92" spans="1:4" x14ac:dyDescent="0.25">
      <c r="A92" s="38" t="s">
        <v>414</v>
      </c>
      <c r="B92" s="39" t="s">
        <v>415</v>
      </c>
      <c r="C92" s="40">
        <v>4</v>
      </c>
      <c r="D92" s="41" t="s">
        <v>266</v>
      </c>
    </row>
    <row r="93" spans="1:4" x14ac:dyDescent="0.25">
      <c r="A93" s="38">
        <v>4010.35</v>
      </c>
      <c r="B93" s="39" t="s">
        <v>416</v>
      </c>
      <c r="C93" s="40">
        <v>4</v>
      </c>
      <c r="D93" s="41" t="s">
        <v>266</v>
      </c>
    </row>
    <row r="94" spans="1:4" x14ac:dyDescent="0.25">
      <c r="A94" s="38" t="s">
        <v>417</v>
      </c>
      <c r="B94" s="39" t="s">
        <v>418</v>
      </c>
      <c r="C94" s="40">
        <v>4</v>
      </c>
      <c r="D94" s="41" t="s">
        <v>266</v>
      </c>
    </row>
    <row r="95" spans="1:4" x14ac:dyDescent="0.25">
      <c r="A95" s="38">
        <v>4020</v>
      </c>
      <c r="B95" s="39" t="s">
        <v>419</v>
      </c>
      <c r="C95" s="40">
        <v>3</v>
      </c>
      <c r="D95" s="41" t="s">
        <v>266</v>
      </c>
    </row>
    <row r="96" spans="1:4" x14ac:dyDescent="0.25">
      <c r="A96" s="38" t="s">
        <v>420</v>
      </c>
      <c r="B96" s="39" t="s">
        <v>421</v>
      </c>
      <c r="C96" s="40">
        <v>4</v>
      </c>
      <c r="D96" s="41" t="s">
        <v>266</v>
      </c>
    </row>
    <row r="97" spans="1:4" x14ac:dyDescent="0.25">
      <c r="A97" s="38" t="s">
        <v>422</v>
      </c>
      <c r="B97" s="39" t="s">
        <v>423</v>
      </c>
      <c r="C97" s="40">
        <v>4</v>
      </c>
      <c r="D97" s="41" t="s">
        <v>266</v>
      </c>
    </row>
    <row r="98" spans="1:4" x14ac:dyDescent="0.25">
      <c r="A98" s="38" t="s">
        <v>424</v>
      </c>
      <c r="B98" s="39" t="s">
        <v>425</v>
      </c>
      <c r="C98" s="40">
        <v>4</v>
      </c>
      <c r="D98" s="41" t="s">
        <v>266</v>
      </c>
    </row>
    <row r="99" spans="1:4" x14ac:dyDescent="0.25">
      <c r="A99" s="38" t="s">
        <v>426</v>
      </c>
      <c r="B99" s="39" t="s">
        <v>427</v>
      </c>
      <c r="C99" s="40">
        <v>4</v>
      </c>
      <c r="D99" s="41" t="s">
        <v>266</v>
      </c>
    </row>
    <row r="100" spans="1:4" x14ac:dyDescent="0.25">
      <c r="A100" s="38">
        <v>4030</v>
      </c>
      <c r="B100" s="39" t="s">
        <v>428</v>
      </c>
      <c r="C100" s="40">
        <v>3</v>
      </c>
      <c r="D100" s="41" t="s">
        <v>266</v>
      </c>
    </row>
    <row r="101" spans="1:4" x14ac:dyDescent="0.25">
      <c r="A101" s="38" t="s">
        <v>429</v>
      </c>
      <c r="B101" s="39" t="s">
        <v>430</v>
      </c>
      <c r="C101" s="40">
        <v>4</v>
      </c>
      <c r="D101" s="41" t="s">
        <v>266</v>
      </c>
    </row>
    <row r="102" spans="1:4" x14ac:dyDescent="0.25">
      <c r="A102" s="38" t="s">
        <v>431</v>
      </c>
      <c r="B102" s="39" t="s">
        <v>432</v>
      </c>
      <c r="C102" s="40">
        <v>4</v>
      </c>
      <c r="D102" s="41" t="s">
        <v>266</v>
      </c>
    </row>
    <row r="103" spans="1:4" x14ac:dyDescent="0.25">
      <c r="A103" s="38">
        <v>4030.35</v>
      </c>
      <c r="B103" s="39" t="s">
        <v>433</v>
      </c>
      <c r="C103" s="40">
        <v>4</v>
      </c>
      <c r="D103" s="41" t="s">
        <v>266</v>
      </c>
    </row>
    <row r="104" spans="1:4" x14ac:dyDescent="0.25">
      <c r="A104" s="38">
        <v>4040</v>
      </c>
      <c r="B104" s="39" t="s">
        <v>434</v>
      </c>
      <c r="C104" s="40">
        <v>3</v>
      </c>
      <c r="D104" s="41" t="s">
        <v>266</v>
      </c>
    </row>
    <row r="105" spans="1:4" x14ac:dyDescent="0.25">
      <c r="A105" s="38" t="s">
        <v>435</v>
      </c>
      <c r="B105" s="39" t="s">
        <v>436</v>
      </c>
      <c r="C105" s="40">
        <v>4</v>
      </c>
      <c r="D105" s="41" t="s">
        <v>266</v>
      </c>
    </row>
    <row r="106" spans="1:4" x14ac:dyDescent="0.25">
      <c r="A106" s="38" t="s">
        <v>437</v>
      </c>
      <c r="B106" s="39" t="s">
        <v>438</v>
      </c>
      <c r="C106" s="40">
        <v>4</v>
      </c>
      <c r="D106" s="41" t="s">
        <v>266</v>
      </c>
    </row>
    <row r="107" spans="1:4" x14ac:dyDescent="0.25">
      <c r="A107" s="38" t="s">
        <v>439</v>
      </c>
      <c r="B107" s="39" t="s">
        <v>440</v>
      </c>
      <c r="C107" s="40">
        <v>4</v>
      </c>
      <c r="D107" s="41" t="s">
        <v>266</v>
      </c>
    </row>
    <row r="108" spans="1:4" x14ac:dyDescent="0.25">
      <c r="A108" s="39" t="s">
        <v>441</v>
      </c>
      <c r="B108" s="39" t="s">
        <v>442</v>
      </c>
      <c r="C108" s="40">
        <v>2</v>
      </c>
      <c r="D108" s="41" t="s">
        <v>266</v>
      </c>
    </row>
    <row r="109" spans="1:4" x14ac:dyDescent="0.25">
      <c r="A109" s="39" t="s">
        <v>443</v>
      </c>
      <c r="B109" s="39" t="s">
        <v>444</v>
      </c>
      <c r="C109" s="40">
        <v>3</v>
      </c>
      <c r="D109" s="41" t="s">
        <v>266</v>
      </c>
    </row>
    <row r="110" spans="1:4" x14ac:dyDescent="0.25">
      <c r="A110" s="39" t="s">
        <v>445</v>
      </c>
      <c r="B110" s="39" t="s">
        <v>446</v>
      </c>
      <c r="C110" s="40">
        <v>4</v>
      </c>
      <c r="D110" s="41" t="s">
        <v>266</v>
      </c>
    </row>
    <row r="111" spans="1:4" x14ac:dyDescent="0.25">
      <c r="A111" s="39" t="s">
        <v>447</v>
      </c>
      <c r="B111" s="39" t="s">
        <v>448</v>
      </c>
      <c r="C111" s="40">
        <v>5</v>
      </c>
      <c r="D111" s="41" t="s">
        <v>449</v>
      </c>
    </row>
    <row r="112" spans="1:4" x14ac:dyDescent="0.25">
      <c r="A112" s="39" t="s">
        <v>450</v>
      </c>
      <c r="B112" s="39" t="s">
        <v>451</v>
      </c>
      <c r="C112" s="40">
        <v>5</v>
      </c>
      <c r="D112" s="41">
        <v>33000</v>
      </c>
    </row>
    <row r="113" spans="1:4" x14ac:dyDescent="0.25">
      <c r="A113" s="39" t="s">
        <v>452</v>
      </c>
      <c r="B113" s="39" t="s">
        <v>453</v>
      </c>
      <c r="C113" s="40">
        <v>5</v>
      </c>
      <c r="D113" s="41" t="s">
        <v>449</v>
      </c>
    </row>
    <row r="114" spans="1:4" x14ac:dyDescent="0.25">
      <c r="A114" s="39" t="s">
        <v>454</v>
      </c>
      <c r="B114" s="39" t="s">
        <v>455</v>
      </c>
      <c r="C114" s="40">
        <v>4</v>
      </c>
      <c r="D114" s="41">
        <v>316000</v>
      </c>
    </row>
    <row r="115" spans="1:4" x14ac:dyDescent="0.25">
      <c r="A115" s="39" t="s">
        <v>456</v>
      </c>
      <c r="B115" s="39" t="s">
        <v>457</v>
      </c>
      <c r="C115" s="40">
        <v>5</v>
      </c>
      <c r="D115" s="41">
        <v>316200</v>
      </c>
    </row>
    <row r="116" spans="1:4" x14ac:dyDescent="0.25">
      <c r="A116" s="39" t="s">
        <v>458</v>
      </c>
      <c r="B116" s="39" t="s">
        <v>459</v>
      </c>
      <c r="C116" s="40">
        <v>5</v>
      </c>
      <c r="D116" s="41">
        <v>316300</v>
      </c>
    </row>
    <row r="117" spans="1:4" x14ac:dyDescent="0.25">
      <c r="A117" s="39" t="s">
        <v>460</v>
      </c>
      <c r="B117" s="39" t="s">
        <v>461</v>
      </c>
      <c r="C117" s="40">
        <v>5</v>
      </c>
      <c r="D117" s="41">
        <v>316400</v>
      </c>
    </row>
    <row r="118" spans="1:4" x14ac:dyDescent="0.25">
      <c r="A118" s="39" t="s">
        <v>462</v>
      </c>
      <c r="B118" s="39" t="s">
        <v>463</v>
      </c>
      <c r="C118" s="40">
        <v>5</v>
      </c>
      <c r="D118" s="41">
        <v>316616</v>
      </c>
    </row>
    <row r="119" spans="1:4" x14ac:dyDescent="0.25">
      <c r="A119" s="39" t="s">
        <v>464</v>
      </c>
      <c r="B119" s="39" t="s">
        <v>465</v>
      </c>
      <c r="C119" s="40">
        <v>5</v>
      </c>
      <c r="D119" s="41">
        <v>316800</v>
      </c>
    </row>
    <row r="120" spans="1:4" x14ac:dyDescent="0.25">
      <c r="A120" s="39" t="s">
        <v>466</v>
      </c>
      <c r="B120" s="39" t="s">
        <v>467</v>
      </c>
      <c r="C120" s="40">
        <v>5</v>
      </c>
      <c r="D120" s="41">
        <v>314800</v>
      </c>
    </row>
    <row r="121" spans="1:4" x14ac:dyDescent="0.25">
      <c r="A121" s="39" t="s">
        <v>468</v>
      </c>
      <c r="B121" s="39" t="s">
        <v>469</v>
      </c>
      <c r="C121" s="40">
        <v>5</v>
      </c>
      <c r="D121" s="41">
        <v>37100</v>
      </c>
    </row>
    <row r="122" spans="1:4" x14ac:dyDescent="0.25">
      <c r="A122" s="39" t="s">
        <v>470</v>
      </c>
      <c r="B122" s="39" t="s">
        <v>471</v>
      </c>
      <c r="C122" s="40">
        <v>5</v>
      </c>
      <c r="D122" s="41">
        <v>33000</v>
      </c>
    </row>
    <row r="123" spans="1:4" x14ac:dyDescent="0.25">
      <c r="A123" s="39" t="s">
        <v>472</v>
      </c>
      <c r="B123" s="39" t="s">
        <v>473</v>
      </c>
      <c r="C123" s="40">
        <v>5</v>
      </c>
      <c r="D123" s="41">
        <v>33000</v>
      </c>
    </row>
    <row r="124" spans="1:4" x14ac:dyDescent="0.25">
      <c r="A124" s="39" t="s">
        <v>474</v>
      </c>
      <c r="B124" s="39" t="s">
        <v>475</v>
      </c>
      <c r="C124" s="40">
        <v>3</v>
      </c>
      <c r="D124" s="41" t="s">
        <v>266</v>
      </c>
    </row>
    <row r="125" spans="1:4" x14ac:dyDescent="0.25">
      <c r="A125" s="39" t="s">
        <v>476</v>
      </c>
      <c r="B125" s="39" t="s">
        <v>477</v>
      </c>
      <c r="C125" s="40">
        <v>4</v>
      </c>
      <c r="D125" s="41" t="s">
        <v>266</v>
      </c>
    </row>
    <row r="126" spans="1:4" x14ac:dyDescent="0.25">
      <c r="A126" s="39" t="s">
        <v>478</v>
      </c>
      <c r="B126" s="39" t="s">
        <v>479</v>
      </c>
      <c r="C126" s="40">
        <v>5</v>
      </c>
      <c r="D126" s="41" t="s">
        <v>449</v>
      </c>
    </row>
    <row r="127" spans="1:4" x14ac:dyDescent="0.25">
      <c r="A127" s="39" t="s">
        <v>480</v>
      </c>
      <c r="B127" s="39" t="s">
        <v>481</v>
      </c>
      <c r="C127" s="40">
        <v>5</v>
      </c>
      <c r="D127" s="41">
        <v>92000</v>
      </c>
    </row>
    <row r="128" spans="1:4" x14ac:dyDescent="0.25">
      <c r="A128" s="39" t="s">
        <v>482</v>
      </c>
      <c r="B128" s="39" t="s">
        <v>483</v>
      </c>
      <c r="C128" s="40">
        <v>5</v>
      </c>
      <c r="D128" s="41" t="s">
        <v>449</v>
      </c>
    </row>
    <row r="129" spans="1:4" x14ac:dyDescent="0.25">
      <c r="A129" s="39" t="s">
        <v>484</v>
      </c>
      <c r="B129" s="39" t="s">
        <v>485</v>
      </c>
      <c r="C129" s="40">
        <v>3</v>
      </c>
      <c r="D129" s="41" t="s">
        <v>266</v>
      </c>
    </row>
    <row r="130" spans="1:4" x14ac:dyDescent="0.25">
      <c r="A130" s="39" t="s">
        <v>486</v>
      </c>
      <c r="B130" s="39" t="s">
        <v>487</v>
      </c>
      <c r="C130" s="40">
        <v>4</v>
      </c>
      <c r="D130" s="41">
        <v>33000</v>
      </c>
    </row>
    <row r="131" spans="1:4" x14ac:dyDescent="0.25">
      <c r="A131" s="39" t="s">
        <v>488</v>
      </c>
      <c r="B131" s="39" t="s">
        <v>489</v>
      </c>
      <c r="C131" s="40">
        <v>4</v>
      </c>
      <c r="D131" s="41">
        <v>33000</v>
      </c>
    </row>
    <row r="132" spans="1:4" x14ac:dyDescent="0.25">
      <c r="A132" s="39" t="s">
        <v>490</v>
      </c>
      <c r="B132" s="39" t="s">
        <v>491</v>
      </c>
      <c r="C132" s="40">
        <v>4</v>
      </c>
      <c r="D132" s="41">
        <v>33000</v>
      </c>
    </row>
    <row r="133" spans="1:4" x14ac:dyDescent="0.25">
      <c r="A133" s="39" t="s">
        <v>492</v>
      </c>
      <c r="B133" s="39" t="s">
        <v>493</v>
      </c>
      <c r="C133" s="40">
        <v>4</v>
      </c>
      <c r="D133" s="41">
        <v>33000</v>
      </c>
    </row>
    <row r="134" spans="1:4" x14ac:dyDescent="0.25">
      <c r="A134" s="39" t="s">
        <v>494</v>
      </c>
      <c r="B134" s="39" t="s">
        <v>495</v>
      </c>
      <c r="C134" s="40">
        <v>4</v>
      </c>
      <c r="D134" s="41" t="s">
        <v>266</v>
      </c>
    </row>
    <row r="135" spans="1:4" x14ac:dyDescent="0.25">
      <c r="A135" s="39" t="s">
        <v>496</v>
      </c>
      <c r="B135" s="39" t="s">
        <v>497</v>
      </c>
      <c r="C135" s="40">
        <v>5</v>
      </c>
      <c r="D135" s="41">
        <v>72100</v>
      </c>
    </row>
    <row r="136" spans="1:4" x14ac:dyDescent="0.25">
      <c r="A136" s="39" t="s">
        <v>498</v>
      </c>
      <c r="B136" s="39" t="s">
        <v>499</v>
      </c>
      <c r="C136" s="40">
        <v>5</v>
      </c>
      <c r="D136" s="41">
        <v>72600</v>
      </c>
    </row>
    <row r="137" spans="1:4" x14ac:dyDescent="0.25">
      <c r="A137" s="39" t="s">
        <v>500</v>
      </c>
      <c r="B137" s="39" t="s">
        <v>501</v>
      </c>
      <c r="C137" s="40">
        <v>5</v>
      </c>
      <c r="D137" s="41">
        <v>71000</v>
      </c>
    </row>
    <row r="138" spans="1:4" x14ac:dyDescent="0.25">
      <c r="A138" s="39" t="s">
        <v>502</v>
      </c>
      <c r="B138" s="39" t="s">
        <v>503</v>
      </c>
      <c r="C138" s="40">
        <v>5</v>
      </c>
      <c r="D138" s="41">
        <v>33000</v>
      </c>
    </row>
    <row r="139" spans="1:4" x14ac:dyDescent="0.25">
      <c r="A139" s="39" t="s">
        <v>504</v>
      </c>
      <c r="B139" s="39" t="s">
        <v>505</v>
      </c>
      <c r="C139" s="40">
        <v>5</v>
      </c>
      <c r="D139" s="41">
        <v>312323</v>
      </c>
    </row>
    <row r="140" spans="1:4" x14ac:dyDescent="0.25">
      <c r="A140" s="39" t="s">
        <v>506</v>
      </c>
      <c r="B140" s="39" t="s">
        <v>507</v>
      </c>
      <c r="C140" s="40">
        <v>3</v>
      </c>
      <c r="D140" s="41" t="s">
        <v>266</v>
      </c>
    </row>
    <row r="141" spans="1:4" x14ac:dyDescent="0.25">
      <c r="A141" s="39" t="s">
        <v>508</v>
      </c>
      <c r="B141" s="39" t="s">
        <v>509</v>
      </c>
      <c r="C141" s="40">
        <v>4</v>
      </c>
      <c r="D141" s="41">
        <v>334600</v>
      </c>
    </row>
    <row r="142" spans="1:4" x14ac:dyDescent="0.25">
      <c r="A142" s="39" t="s">
        <v>510</v>
      </c>
      <c r="B142" s="39" t="s">
        <v>511</v>
      </c>
      <c r="C142" s="40">
        <v>5</v>
      </c>
      <c r="D142" s="41">
        <v>334613</v>
      </c>
    </row>
    <row r="143" spans="1:4" x14ac:dyDescent="0.25">
      <c r="A143" s="39" t="s">
        <v>512</v>
      </c>
      <c r="B143" s="39" t="s">
        <v>513</v>
      </c>
      <c r="C143" s="40">
        <v>5</v>
      </c>
      <c r="D143" s="41">
        <v>334619</v>
      </c>
    </row>
    <row r="144" spans="1:4" x14ac:dyDescent="0.25">
      <c r="A144" s="39" t="s">
        <v>514</v>
      </c>
      <c r="B144" s="39" t="s">
        <v>515</v>
      </c>
      <c r="C144" s="40">
        <v>4</v>
      </c>
      <c r="D144" s="41">
        <v>312100</v>
      </c>
    </row>
    <row r="145" spans="1:4" x14ac:dyDescent="0.25">
      <c r="A145" s="39" t="s">
        <v>516</v>
      </c>
      <c r="B145" s="39" t="s">
        <v>517</v>
      </c>
      <c r="C145" s="40">
        <v>5</v>
      </c>
      <c r="D145" s="41">
        <v>312113</v>
      </c>
    </row>
    <row r="146" spans="1:4" x14ac:dyDescent="0.25">
      <c r="A146" s="39" t="s">
        <v>518</v>
      </c>
      <c r="B146" s="39" t="s">
        <v>519</v>
      </c>
      <c r="C146" s="40">
        <v>5</v>
      </c>
      <c r="D146" s="41">
        <v>312116</v>
      </c>
    </row>
    <row r="147" spans="1:4" x14ac:dyDescent="0.25">
      <c r="A147" s="39" t="s">
        <v>520</v>
      </c>
      <c r="B147" s="39" t="s">
        <v>521</v>
      </c>
      <c r="C147" s="40">
        <v>3</v>
      </c>
      <c r="D147" s="41" t="s">
        <v>266</v>
      </c>
    </row>
    <row r="148" spans="1:4" x14ac:dyDescent="0.25">
      <c r="A148" s="39" t="s">
        <v>522</v>
      </c>
      <c r="B148" s="39" t="s">
        <v>523</v>
      </c>
      <c r="C148" s="40">
        <v>4</v>
      </c>
      <c r="D148" s="41">
        <v>312316</v>
      </c>
    </row>
    <row r="149" spans="1:4" x14ac:dyDescent="0.25">
      <c r="A149" s="39" t="s">
        <v>524</v>
      </c>
      <c r="B149" s="39" t="s">
        <v>525</v>
      </c>
      <c r="C149" s="40">
        <v>5</v>
      </c>
      <c r="D149" s="41">
        <v>312323</v>
      </c>
    </row>
    <row r="150" spans="1:4" x14ac:dyDescent="0.25">
      <c r="A150" s="39" t="s">
        <v>526</v>
      </c>
      <c r="B150" s="39" t="s">
        <v>527</v>
      </c>
      <c r="C150" s="40">
        <v>4</v>
      </c>
      <c r="D150" s="41">
        <v>312319</v>
      </c>
    </row>
    <row r="151" spans="1:4" x14ac:dyDescent="0.25">
      <c r="A151" s="39" t="s">
        <v>528</v>
      </c>
      <c r="B151" s="39" t="s">
        <v>529</v>
      </c>
      <c r="C151" s="40">
        <v>4</v>
      </c>
      <c r="D151" s="41">
        <v>315000</v>
      </c>
    </row>
    <row r="152" spans="1:4" x14ac:dyDescent="0.25">
      <c r="A152" s="39" t="s">
        <v>530</v>
      </c>
      <c r="B152" s="39" t="s">
        <v>531</v>
      </c>
      <c r="C152" s="40">
        <v>5</v>
      </c>
      <c r="D152" s="41">
        <v>315100</v>
      </c>
    </row>
    <row r="153" spans="1:4" x14ac:dyDescent="0.25">
      <c r="A153" s="39" t="s">
        <v>532</v>
      </c>
      <c r="B153" s="39" t="s">
        <v>533</v>
      </c>
      <c r="C153" s="40">
        <v>5</v>
      </c>
      <c r="D153" s="41">
        <v>315200</v>
      </c>
    </row>
    <row r="154" spans="1:4" x14ac:dyDescent="0.25">
      <c r="A154" s="39" t="s">
        <v>534</v>
      </c>
      <c r="B154" s="39" t="s">
        <v>535</v>
      </c>
      <c r="C154" s="40">
        <v>5</v>
      </c>
      <c r="D154" s="41">
        <v>315300</v>
      </c>
    </row>
    <row r="155" spans="1:4" x14ac:dyDescent="0.25">
      <c r="A155" s="39" t="s">
        <v>536</v>
      </c>
      <c r="B155" s="39" t="s">
        <v>537</v>
      </c>
      <c r="C155" s="40">
        <v>5</v>
      </c>
      <c r="D155" s="41">
        <v>315400</v>
      </c>
    </row>
    <row r="156" spans="1:4" x14ac:dyDescent="0.25">
      <c r="A156" s="39" t="s">
        <v>538</v>
      </c>
      <c r="B156" s="39" t="s">
        <v>539</v>
      </c>
      <c r="C156" s="40">
        <v>5</v>
      </c>
      <c r="D156" s="41">
        <v>315600</v>
      </c>
    </row>
    <row r="157" spans="1:4" x14ac:dyDescent="0.25">
      <c r="A157" s="39" t="s">
        <v>540</v>
      </c>
      <c r="B157" s="39" t="s">
        <v>541</v>
      </c>
      <c r="C157" s="40">
        <v>4</v>
      </c>
      <c r="D157" s="41">
        <v>313100</v>
      </c>
    </row>
    <row r="158" spans="1:4" x14ac:dyDescent="0.25">
      <c r="A158" s="39" t="s">
        <v>203</v>
      </c>
      <c r="B158" s="39" t="s">
        <v>542</v>
      </c>
      <c r="C158" s="40">
        <v>2</v>
      </c>
      <c r="D158" s="41" t="s">
        <v>266</v>
      </c>
    </row>
    <row r="159" spans="1:4" x14ac:dyDescent="0.25">
      <c r="A159" s="39" t="s">
        <v>543</v>
      </c>
      <c r="B159" s="39" t="s">
        <v>544</v>
      </c>
      <c r="C159" s="40">
        <v>3</v>
      </c>
      <c r="D159" s="41" t="s">
        <v>266</v>
      </c>
    </row>
    <row r="160" spans="1:4" x14ac:dyDescent="0.25">
      <c r="A160" s="39" t="s">
        <v>545</v>
      </c>
      <c r="B160" s="39" t="s">
        <v>546</v>
      </c>
      <c r="C160" s="40">
        <v>4</v>
      </c>
      <c r="D160" s="41" t="s">
        <v>266</v>
      </c>
    </row>
    <row r="161" spans="1:4" x14ac:dyDescent="0.25">
      <c r="A161" s="39" t="s">
        <v>547</v>
      </c>
      <c r="B161" s="39" t="s">
        <v>548</v>
      </c>
      <c r="C161" s="40">
        <v>5</v>
      </c>
      <c r="D161" s="41" t="s">
        <v>449</v>
      </c>
    </row>
    <row r="162" spans="1:4" x14ac:dyDescent="0.25">
      <c r="A162" s="39" t="s">
        <v>549</v>
      </c>
      <c r="B162" s="39" t="s">
        <v>550</v>
      </c>
      <c r="C162" s="40">
        <v>5</v>
      </c>
      <c r="D162" s="41" t="s">
        <v>449</v>
      </c>
    </row>
    <row r="163" spans="1:4" x14ac:dyDescent="0.25">
      <c r="A163" s="39" t="s">
        <v>551</v>
      </c>
      <c r="B163" s="39" t="s">
        <v>552</v>
      </c>
      <c r="C163" s="40">
        <v>5</v>
      </c>
      <c r="D163" s="41" t="s">
        <v>449</v>
      </c>
    </row>
    <row r="164" spans="1:4" x14ac:dyDescent="0.25">
      <c r="A164" s="39" t="s">
        <v>553</v>
      </c>
      <c r="B164" s="39" t="s">
        <v>554</v>
      </c>
      <c r="C164" s="40">
        <v>5</v>
      </c>
      <c r="D164" s="41" t="s">
        <v>449</v>
      </c>
    </row>
    <row r="165" spans="1:4" x14ac:dyDescent="0.25">
      <c r="A165" s="39" t="s">
        <v>555</v>
      </c>
      <c r="B165" s="39" t="s">
        <v>556</v>
      </c>
      <c r="C165" s="40">
        <v>5</v>
      </c>
      <c r="D165" s="41" t="s">
        <v>449</v>
      </c>
    </row>
    <row r="166" spans="1:4" x14ac:dyDescent="0.25">
      <c r="A166" s="39" t="s">
        <v>557</v>
      </c>
      <c r="B166" s="39" t="s">
        <v>558</v>
      </c>
      <c r="C166" s="40">
        <v>5</v>
      </c>
      <c r="D166" s="41" t="s">
        <v>449</v>
      </c>
    </row>
    <row r="167" spans="1:4" x14ac:dyDescent="0.25">
      <c r="A167" s="39" t="s">
        <v>559</v>
      </c>
      <c r="B167" s="39" t="s">
        <v>560</v>
      </c>
      <c r="C167" s="40">
        <v>4</v>
      </c>
      <c r="D167" s="41" t="s">
        <v>266</v>
      </c>
    </row>
    <row r="168" spans="1:4" x14ac:dyDescent="0.25">
      <c r="A168" s="39" t="s">
        <v>561</v>
      </c>
      <c r="B168" s="39" t="s">
        <v>562</v>
      </c>
      <c r="C168" s="40">
        <v>5</v>
      </c>
      <c r="D168" s="41" t="s">
        <v>449</v>
      </c>
    </row>
    <row r="169" spans="1:4" x14ac:dyDescent="0.25">
      <c r="A169" s="39" t="s">
        <v>563</v>
      </c>
      <c r="B169" s="39" t="s">
        <v>564</v>
      </c>
      <c r="C169" s="40">
        <v>5</v>
      </c>
      <c r="D169" s="41" t="s">
        <v>449</v>
      </c>
    </row>
    <row r="170" spans="1:4" x14ac:dyDescent="0.25">
      <c r="A170" s="39" t="s">
        <v>565</v>
      </c>
      <c r="B170" s="39" t="s">
        <v>566</v>
      </c>
      <c r="C170" s="40">
        <v>5</v>
      </c>
      <c r="D170" s="41" t="s">
        <v>449</v>
      </c>
    </row>
    <row r="171" spans="1:4" x14ac:dyDescent="0.25">
      <c r="A171" s="39" t="s">
        <v>567</v>
      </c>
      <c r="B171" s="39" t="s">
        <v>568</v>
      </c>
      <c r="C171" s="40">
        <v>5</v>
      </c>
      <c r="D171" s="41" t="s">
        <v>449</v>
      </c>
    </row>
    <row r="172" spans="1:4" x14ac:dyDescent="0.25">
      <c r="A172" s="39" t="s">
        <v>569</v>
      </c>
      <c r="B172" s="39" t="s">
        <v>570</v>
      </c>
      <c r="C172" s="40">
        <v>4</v>
      </c>
      <c r="D172" s="41" t="s">
        <v>266</v>
      </c>
    </row>
    <row r="173" spans="1:4" x14ac:dyDescent="0.25">
      <c r="A173" s="39" t="s">
        <v>571</v>
      </c>
      <c r="B173" s="39" t="s">
        <v>572</v>
      </c>
      <c r="C173" s="40">
        <v>5</v>
      </c>
      <c r="D173" s="41" t="s">
        <v>449</v>
      </c>
    </row>
    <row r="174" spans="1:4" x14ac:dyDescent="0.25">
      <c r="A174" s="39" t="s">
        <v>573</v>
      </c>
      <c r="B174" s="39" t="s">
        <v>574</v>
      </c>
      <c r="C174" s="40">
        <v>5</v>
      </c>
      <c r="D174" s="41">
        <v>92000</v>
      </c>
    </row>
    <row r="175" spans="1:4" x14ac:dyDescent="0.25">
      <c r="A175" s="39" t="s">
        <v>575</v>
      </c>
      <c r="B175" s="39" t="s">
        <v>576</v>
      </c>
      <c r="C175" s="40">
        <v>5</v>
      </c>
      <c r="D175" s="41" t="s">
        <v>449</v>
      </c>
    </row>
    <row r="176" spans="1:4" x14ac:dyDescent="0.25">
      <c r="A176" s="39" t="s">
        <v>577</v>
      </c>
      <c r="B176" s="39" t="s">
        <v>578</v>
      </c>
      <c r="C176" s="40">
        <v>5</v>
      </c>
      <c r="D176" s="41">
        <v>55123</v>
      </c>
    </row>
    <row r="177" spans="1:4" x14ac:dyDescent="0.25">
      <c r="A177" s="39" t="s">
        <v>579</v>
      </c>
      <c r="B177" s="39" t="s">
        <v>580</v>
      </c>
      <c r="C177" s="40">
        <v>5</v>
      </c>
      <c r="D177" s="41">
        <v>55136</v>
      </c>
    </row>
    <row r="178" spans="1:4" x14ac:dyDescent="0.25">
      <c r="A178" s="39" t="s">
        <v>581</v>
      </c>
      <c r="B178" s="39" t="s">
        <v>582</v>
      </c>
      <c r="C178" s="40">
        <v>5</v>
      </c>
      <c r="D178" s="41">
        <v>55123</v>
      </c>
    </row>
    <row r="179" spans="1:4" x14ac:dyDescent="0.25">
      <c r="A179" s="39" t="s">
        <v>205</v>
      </c>
      <c r="B179" s="39" t="s">
        <v>206</v>
      </c>
      <c r="C179" s="40">
        <v>3</v>
      </c>
      <c r="D179" s="41" t="s">
        <v>266</v>
      </c>
    </row>
    <row r="180" spans="1:4" x14ac:dyDescent="0.25">
      <c r="A180" s="39" t="s">
        <v>583</v>
      </c>
      <c r="B180" s="39" t="s">
        <v>584</v>
      </c>
      <c r="C180" s="40">
        <v>4</v>
      </c>
      <c r="D180" s="41" t="s">
        <v>266</v>
      </c>
    </row>
    <row r="181" spans="1:4" x14ac:dyDescent="0.25">
      <c r="A181" s="39" t="s">
        <v>585</v>
      </c>
      <c r="B181" s="39" t="s">
        <v>586</v>
      </c>
      <c r="C181" s="40">
        <v>5</v>
      </c>
      <c r="D181" s="41" t="s">
        <v>449</v>
      </c>
    </row>
    <row r="182" spans="1:4" x14ac:dyDescent="0.25">
      <c r="A182" s="39" t="s">
        <v>207</v>
      </c>
      <c r="B182" s="39" t="s">
        <v>208</v>
      </c>
      <c r="C182" s="40">
        <v>5</v>
      </c>
      <c r="D182" s="41" t="s">
        <v>449</v>
      </c>
    </row>
    <row r="183" spans="1:4" x14ac:dyDescent="0.25">
      <c r="A183" s="39" t="s">
        <v>587</v>
      </c>
      <c r="B183" s="39" t="s">
        <v>588</v>
      </c>
      <c r="C183" s="40">
        <v>5</v>
      </c>
      <c r="D183" s="41">
        <v>92000</v>
      </c>
    </row>
    <row r="184" spans="1:4" x14ac:dyDescent="0.25">
      <c r="A184" s="39" t="s">
        <v>589</v>
      </c>
      <c r="B184" s="39" t="s">
        <v>590</v>
      </c>
      <c r="C184" s="40">
        <v>5</v>
      </c>
      <c r="D184" s="41" t="s">
        <v>449</v>
      </c>
    </row>
    <row r="185" spans="1:4" x14ac:dyDescent="0.25">
      <c r="A185" s="39" t="s">
        <v>591</v>
      </c>
      <c r="B185" s="39" t="s">
        <v>592</v>
      </c>
      <c r="C185" s="40">
        <v>5</v>
      </c>
      <c r="D185" s="41" t="s">
        <v>449</v>
      </c>
    </row>
    <row r="186" spans="1:4" x14ac:dyDescent="0.25">
      <c r="A186" s="39" t="s">
        <v>593</v>
      </c>
      <c r="B186" s="39" t="s">
        <v>594</v>
      </c>
      <c r="C186" s="40">
        <v>5</v>
      </c>
      <c r="D186" s="41" t="s">
        <v>449</v>
      </c>
    </row>
    <row r="187" spans="1:4" x14ac:dyDescent="0.25">
      <c r="A187" s="39" t="s">
        <v>595</v>
      </c>
      <c r="B187" s="39" t="s">
        <v>596</v>
      </c>
      <c r="C187" s="40">
        <v>5</v>
      </c>
      <c r="D187" s="41" t="s">
        <v>449</v>
      </c>
    </row>
    <row r="188" spans="1:4" x14ac:dyDescent="0.25">
      <c r="A188" s="39" t="s">
        <v>597</v>
      </c>
      <c r="B188" s="39" t="s">
        <v>598</v>
      </c>
      <c r="C188" s="40">
        <v>5</v>
      </c>
      <c r="D188" s="41" t="s">
        <v>449</v>
      </c>
    </row>
    <row r="189" spans="1:4" x14ac:dyDescent="0.25">
      <c r="A189" s="39" t="s">
        <v>599</v>
      </c>
      <c r="B189" s="39" t="s">
        <v>600</v>
      </c>
      <c r="C189" s="40">
        <v>4</v>
      </c>
      <c r="D189" s="41">
        <v>85000</v>
      </c>
    </row>
    <row r="190" spans="1:4" x14ac:dyDescent="0.25">
      <c r="A190" s="39" t="s">
        <v>601</v>
      </c>
      <c r="B190" s="39" t="s">
        <v>602</v>
      </c>
      <c r="C190" s="40">
        <v>5</v>
      </c>
      <c r="D190" s="41" t="s">
        <v>449</v>
      </c>
    </row>
    <row r="191" spans="1:4" x14ac:dyDescent="0.25">
      <c r="A191" s="39" t="s">
        <v>603</v>
      </c>
      <c r="B191" s="39" t="s">
        <v>604</v>
      </c>
      <c r="C191" s="40">
        <v>5</v>
      </c>
      <c r="D191" s="41">
        <v>85000</v>
      </c>
    </row>
    <row r="192" spans="1:4" x14ac:dyDescent="0.25">
      <c r="A192" s="39" t="s">
        <v>209</v>
      </c>
      <c r="B192" s="39" t="s">
        <v>210</v>
      </c>
      <c r="C192" s="40">
        <v>5</v>
      </c>
      <c r="D192" s="41">
        <v>84300</v>
      </c>
    </row>
    <row r="193" spans="1:4" x14ac:dyDescent="0.25">
      <c r="A193" s="39" t="s">
        <v>605</v>
      </c>
      <c r="B193" s="39" t="s">
        <v>606</v>
      </c>
      <c r="C193" s="40">
        <v>5</v>
      </c>
      <c r="D193" s="41" t="s">
        <v>449</v>
      </c>
    </row>
    <row r="194" spans="1:4" x14ac:dyDescent="0.25">
      <c r="A194" s="39" t="s">
        <v>607</v>
      </c>
      <c r="B194" s="39" t="s">
        <v>608</v>
      </c>
      <c r="C194" s="40">
        <v>4</v>
      </c>
      <c r="D194" s="41" t="s">
        <v>266</v>
      </c>
    </row>
    <row r="195" spans="1:4" x14ac:dyDescent="0.25">
      <c r="A195" s="39" t="s">
        <v>609</v>
      </c>
      <c r="B195" s="39" t="s">
        <v>610</v>
      </c>
      <c r="C195" s="40">
        <v>5</v>
      </c>
      <c r="D195" s="41" t="s">
        <v>449</v>
      </c>
    </row>
    <row r="196" spans="1:4" x14ac:dyDescent="0.25">
      <c r="A196" s="39" t="s">
        <v>611</v>
      </c>
      <c r="B196" s="39" t="s">
        <v>612</v>
      </c>
      <c r="C196" s="40">
        <v>5</v>
      </c>
      <c r="D196" s="41" t="s">
        <v>613</v>
      </c>
    </row>
    <row r="197" spans="1:4" x14ac:dyDescent="0.25">
      <c r="A197" s="39" t="s">
        <v>614</v>
      </c>
      <c r="B197" s="39" t="s">
        <v>615</v>
      </c>
      <c r="C197" s="40">
        <v>5</v>
      </c>
      <c r="D197" s="41" t="s">
        <v>449</v>
      </c>
    </row>
    <row r="198" spans="1:4" x14ac:dyDescent="0.25">
      <c r="A198" s="39" t="s">
        <v>616</v>
      </c>
      <c r="B198" s="39" t="s">
        <v>617</v>
      </c>
      <c r="C198" s="40">
        <v>5</v>
      </c>
      <c r="D198" s="41">
        <v>83000</v>
      </c>
    </row>
    <row r="199" spans="1:4" x14ac:dyDescent="0.25">
      <c r="A199" s="39" t="s">
        <v>618</v>
      </c>
      <c r="B199" s="39" t="s">
        <v>619</v>
      </c>
      <c r="C199" s="40">
        <v>5</v>
      </c>
      <c r="D199" s="41" t="s">
        <v>449</v>
      </c>
    </row>
    <row r="200" spans="1:4" x14ac:dyDescent="0.25">
      <c r="A200" s="39" t="s">
        <v>620</v>
      </c>
      <c r="B200" s="39" t="s">
        <v>621</v>
      </c>
      <c r="C200" s="40">
        <v>5</v>
      </c>
      <c r="D200" s="41" t="s">
        <v>449</v>
      </c>
    </row>
    <row r="201" spans="1:4" x14ac:dyDescent="0.25">
      <c r="A201" s="39" t="s">
        <v>622</v>
      </c>
      <c r="B201" s="39" t="s">
        <v>623</v>
      </c>
      <c r="C201" s="40">
        <v>5</v>
      </c>
      <c r="D201" s="41" t="s">
        <v>449</v>
      </c>
    </row>
    <row r="202" spans="1:4" x14ac:dyDescent="0.25">
      <c r="A202" s="39" t="s">
        <v>624</v>
      </c>
      <c r="B202" s="39" t="s">
        <v>625</v>
      </c>
      <c r="C202" s="40">
        <v>4</v>
      </c>
      <c r="D202" s="41">
        <v>89000</v>
      </c>
    </row>
    <row r="203" spans="1:4" x14ac:dyDescent="0.25">
      <c r="A203" s="39" t="s">
        <v>626</v>
      </c>
      <c r="B203" s="39" t="s">
        <v>627</v>
      </c>
      <c r="C203" s="40">
        <v>5</v>
      </c>
      <c r="D203" s="41">
        <v>89100</v>
      </c>
    </row>
    <row r="204" spans="1:4" x14ac:dyDescent="0.25">
      <c r="A204" s="39" t="s">
        <v>628</v>
      </c>
      <c r="B204" s="39" t="s">
        <v>629</v>
      </c>
      <c r="C204" s="40">
        <v>5</v>
      </c>
      <c r="D204" s="41">
        <v>89500</v>
      </c>
    </row>
    <row r="205" spans="1:4" x14ac:dyDescent="0.25">
      <c r="A205" s="39" t="s">
        <v>630</v>
      </c>
      <c r="B205" s="39" t="s">
        <v>631</v>
      </c>
      <c r="C205" s="40">
        <v>4</v>
      </c>
      <c r="D205" s="41" t="s">
        <v>266</v>
      </c>
    </row>
    <row r="206" spans="1:4" x14ac:dyDescent="0.25">
      <c r="A206" s="39" t="s">
        <v>632</v>
      </c>
      <c r="B206" s="39" t="s">
        <v>633</v>
      </c>
      <c r="C206" s="40">
        <v>5</v>
      </c>
      <c r="D206" s="41" t="s">
        <v>449</v>
      </c>
    </row>
    <row r="207" spans="1:4" x14ac:dyDescent="0.25">
      <c r="A207" s="39" t="s">
        <v>634</v>
      </c>
      <c r="B207" s="39" t="s">
        <v>635</v>
      </c>
      <c r="C207" s="40">
        <v>5</v>
      </c>
      <c r="D207" s="41" t="s">
        <v>449</v>
      </c>
    </row>
    <row r="208" spans="1:4" x14ac:dyDescent="0.25">
      <c r="A208" s="39" t="s">
        <v>636</v>
      </c>
      <c r="B208" s="39" t="s">
        <v>637</v>
      </c>
      <c r="C208" s="40">
        <v>5</v>
      </c>
      <c r="D208" s="41" t="s">
        <v>449</v>
      </c>
    </row>
    <row r="209" spans="1:4" x14ac:dyDescent="0.25">
      <c r="A209" s="39" t="s">
        <v>638</v>
      </c>
      <c r="B209" s="39" t="s">
        <v>639</v>
      </c>
      <c r="C209" s="40">
        <v>5</v>
      </c>
      <c r="D209" s="41" t="s">
        <v>449</v>
      </c>
    </row>
    <row r="210" spans="1:4" x14ac:dyDescent="0.25">
      <c r="A210" s="39" t="s">
        <v>640</v>
      </c>
      <c r="B210" s="39" t="s">
        <v>641</v>
      </c>
      <c r="C210" s="40">
        <v>5</v>
      </c>
      <c r="D210" s="41">
        <v>108113</v>
      </c>
    </row>
    <row r="211" spans="1:4" x14ac:dyDescent="0.25">
      <c r="A211" s="39" t="s">
        <v>642</v>
      </c>
      <c r="B211" s="39" t="s">
        <v>643</v>
      </c>
      <c r="C211" s="40">
        <v>4</v>
      </c>
      <c r="D211" s="41" t="s">
        <v>449</v>
      </c>
    </row>
    <row r="212" spans="1:4" x14ac:dyDescent="0.25">
      <c r="A212" s="39" t="s">
        <v>644</v>
      </c>
      <c r="B212" s="39" t="s">
        <v>645</v>
      </c>
      <c r="C212" s="40">
        <v>3</v>
      </c>
      <c r="D212" s="41" t="s">
        <v>266</v>
      </c>
    </row>
    <row r="213" spans="1:4" x14ac:dyDescent="0.25">
      <c r="A213" s="39" t="s">
        <v>646</v>
      </c>
      <c r="B213" s="39" t="s">
        <v>647</v>
      </c>
      <c r="C213" s="40">
        <v>4</v>
      </c>
      <c r="D213" s="41" t="s">
        <v>266</v>
      </c>
    </row>
    <row r="214" spans="1:4" x14ac:dyDescent="0.25">
      <c r="A214" s="39" t="s">
        <v>648</v>
      </c>
      <c r="B214" s="39" t="s">
        <v>649</v>
      </c>
      <c r="C214" s="40">
        <v>5</v>
      </c>
      <c r="D214" s="41" t="s">
        <v>449</v>
      </c>
    </row>
    <row r="215" spans="1:4" x14ac:dyDescent="0.25">
      <c r="A215" s="39" t="s">
        <v>650</v>
      </c>
      <c r="B215" s="39" t="s">
        <v>651</v>
      </c>
      <c r="C215" s="40">
        <v>5</v>
      </c>
      <c r="D215" s="41" t="s">
        <v>449</v>
      </c>
    </row>
    <row r="216" spans="1:4" x14ac:dyDescent="0.25">
      <c r="A216" s="39" t="s">
        <v>652</v>
      </c>
      <c r="B216" s="39" t="s">
        <v>653</v>
      </c>
      <c r="C216" s="40">
        <v>5</v>
      </c>
      <c r="D216" s="41" t="s">
        <v>266</v>
      </c>
    </row>
    <row r="217" spans="1:4" x14ac:dyDescent="0.25">
      <c r="A217" s="39" t="s">
        <v>654</v>
      </c>
      <c r="B217" s="39" t="s">
        <v>655</v>
      </c>
      <c r="C217" s="40">
        <v>5</v>
      </c>
      <c r="D217" s="41" t="s">
        <v>449</v>
      </c>
    </row>
    <row r="218" spans="1:4" x14ac:dyDescent="0.25">
      <c r="A218" s="39" t="s">
        <v>656</v>
      </c>
      <c r="B218" s="39" t="s">
        <v>657</v>
      </c>
      <c r="C218" s="40">
        <v>4</v>
      </c>
      <c r="D218" s="41" t="s">
        <v>266</v>
      </c>
    </row>
    <row r="219" spans="1:4" x14ac:dyDescent="0.25">
      <c r="A219" s="39" t="s">
        <v>658</v>
      </c>
      <c r="B219" s="39" t="s">
        <v>659</v>
      </c>
      <c r="C219" s="40">
        <v>5</v>
      </c>
      <c r="D219" s="41" t="s">
        <v>449</v>
      </c>
    </row>
    <row r="220" spans="1:4" x14ac:dyDescent="0.25">
      <c r="A220" s="39" t="s">
        <v>660</v>
      </c>
      <c r="B220" s="39" t="s">
        <v>661</v>
      </c>
      <c r="C220" s="40">
        <v>5</v>
      </c>
      <c r="D220" s="41" t="s">
        <v>449</v>
      </c>
    </row>
    <row r="221" spans="1:4" x14ac:dyDescent="0.25">
      <c r="A221" s="39" t="s">
        <v>662</v>
      </c>
      <c r="B221" s="39" t="s">
        <v>663</v>
      </c>
      <c r="C221" s="40">
        <v>5</v>
      </c>
      <c r="D221" s="41" t="s">
        <v>449</v>
      </c>
    </row>
    <row r="222" spans="1:4" x14ac:dyDescent="0.25">
      <c r="A222" s="39" t="s">
        <v>664</v>
      </c>
      <c r="B222" s="39" t="s">
        <v>665</v>
      </c>
      <c r="C222" s="40">
        <v>4</v>
      </c>
      <c r="D222" s="41" t="s">
        <v>266</v>
      </c>
    </row>
    <row r="223" spans="1:4" x14ac:dyDescent="0.25">
      <c r="A223" s="39" t="s">
        <v>666</v>
      </c>
      <c r="B223" s="39" t="s">
        <v>667</v>
      </c>
      <c r="C223" s="40">
        <v>5</v>
      </c>
      <c r="D223" s="41">
        <v>71800</v>
      </c>
    </row>
    <row r="224" spans="1:4" x14ac:dyDescent="0.25">
      <c r="A224" s="39" t="s">
        <v>668</v>
      </c>
      <c r="B224" s="39" t="s">
        <v>669</v>
      </c>
      <c r="C224" s="40">
        <v>5</v>
      </c>
      <c r="D224" s="41">
        <v>71000</v>
      </c>
    </row>
    <row r="225" spans="1:4" x14ac:dyDescent="0.25">
      <c r="A225" s="39" t="s">
        <v>670</v>
      </c>
      <c r="B225" s="39" t="s">
        <v>671</v>
      </c>
      <c r="C225" s="40">
        <v>5</v>
      </c>
      <c r="D225" s="41" t="s">
        <v>449</v>
      </c>
    </row>
    <row r="226" spans="1:4" x14ac:dyDescent="0.25">
      <c r="A226" s="39" t="s">
        <v>672</v>
      </c>
      <c r="B226" s="39" t="s">
        <v>673</v>
      </c>
      <c r="C226" s="40">
        <v>5</v>
      </c>
      <c r="D226" s="41" t="s">
        <v>449</v>
      </c>
    </row>
    <row r="227" spans="1:4" x14ac:dyDescent="0.25">
      <c r="A227" s="39" t="s">
        <v>674</v>
      </c>
      <c r="B227" s="39" t="s">
        <v>675</v>
      </c>
      <c r="C227" s="40">
        <v>4</v>
      </c>
      <c r="D227" s="41" t="s">
        <v>266</v>
      </c>
    </row>
    <row r="228" spans="1:4" x14ac:dyDescent="0.25">
      <c r="A228" s="39" t="s">
        <v>676</v>
      </c>
      <c r="B228" s="39" t="s">
        <v>677</v>
      </c>
      <c r="C228" s="40">
        <v>5</v>
      </c>
      <c r="D228" s="41" t="s">
        <v>449</v>
      </c>
    </row>
    <row r="229" spans="1:4" x14ac:dyDescent="0.25">
      <c r="A229" s="39" t="s">
        <v>678</v>
      </c>
      <c r="B229" s="39" t="s">
        <v>679</v>
      </c>
      <c r="C229" s="40">
        <v>5</v>
      </c>
      <c r="D229" s="41" t="s">
        <v>449</v>
      </c>
    </row>
    <row r="230" spans="1:4" x14ac:dyDescent="0.25">
      <c r="A230" s="39" t="s">
        <v>680</v>
      </c>
      <c r="B230" s="39" t="s">
        <v>681</v>
      </c>
      <c r="C230" s="40">
        <v>5</v>
      </c>
      <c r="D230" s="41" t="s">
        <v>449</v>
      </c>
    </row>
    <row r="231" spans="1:4" x14ac:dyDescent="0.25">
      <c r="A231" s="39" t="s">
        <v>682</v>
      </c>
      <c r="B231" s="39" t="s">
        <v>683</v>
      </c>
      <c r="C231" s="40">
        <v>4</v>
      </c>
      <c r="D231" s="41" t="s">
        <v>266</v>
      </c>
    </row>
    <row r="232" spans="1:4" x14ac:dyDescent="0.25">
      <c r="A232" s="39" t="s">
        <v>684</v>
      </c>
      <c r="B232" s="39" t="s">
        <v>685</v>
      </c>
      <c r="C232" s="40">
        <v>5</v>
      </c>
      <c r="D232" s="41" t="s">
        <v>449</v>
      </c>
    </row>
    <row r="233" spans="1:4" x14ac:dyDescent="0.25">
      <c r="A233" s="39" t="s">
        <v>686</v>
      </c>
      <c r="B233" s="39" t="s">
        <v>687</v>
      </c>
      <c r="C233" s="40">
        <v>5</v>
      </c>
      <c r="D233" s="41" t="s">
        <v>449</v>
      </c>
    </row>
    <row r="234" spans="1:4" x14ac:dyDescent="0.25">
      <c r="A234" s="39" t="s">
        <v>688</v>
      </c>
      <c r="B234" s="39" t="s">
        <v>689</v>
      </c>
      <c r="C234" s="40">
        <v>5</v>
      </c>
      <c r="D234" s="41" t="s">
        <v>449</v>
      </c>
    </row>
    <row r="235" spans="1:4" x14ac:dyDescent="0.25">
      <c r="A235" s="39" t="s">
        <v>211</v>
      </c>
      <c r="B235" s="39" t="s">
        <v>690</v>
      </c>
      <c r="C235" s="40">
        <v>2</v>
      </c>
      <c r="D235" s="41" t="s">
        <v>266</v>
      </c>
    </row>
    <row r="236" spans="1:4" x14ac:dyDescent="0.25">
      <c r="A236" s="39" t="s">
        <v>213</v>
      </c>
      <c r="B236" s="39" t="s">
        <v>214</v>
      </c>
      <c r="C236" s="40">
        <v>3</v>
      </c>
      <c r="D236" s="41" t="s">
        <v>266</v>
      </c>
    </row>
    <row r="237" spans="1:4" x14ac:dyDescent="0.25">
      <c r="A237" s="39" t="s">
        <v>691</v>
      </c>
      <c r="B237" s="39" t="s">
        <v>692</v>
      </c>
      <c r="C237" s="40">
        <v>4</v>
      </c>
      <c r="D237" s="41">
        <v>102200</v>
      </c>
    </row>
    <row r="238" spans="1:4" x14ac:dyDescent="0.25">
      <c r="A238" s="39" t="s">
        <v>215</v>
      </c>
      <c r="B238" s="39" t="s">
        <v>216</v>
      </c>
      <c r="C238" s="40">
        <v>5</v>
      </c>
      <c r="D238" s="41" t="s">
        <v>449</v>
      </c>
    </row>
    <row r="239" spans="1:4" x14ac:dyDescent="0.25">
      <c r="A239" s="39" t="s">
        <v>693</v>
      </c>
      <c r="B239" s="39" t="s">
        <v>694</v>
      </c>
      <c r="C239" s="40">
        <v>5</v>
      </c>
      <c r="D239" s="41">
        <v>84300</v>
      </c>
    </row>
    <row r="240" spans="1:4" x14ac:dyDescent="0.25">
      <c r="A240" s="39" t="s">
        <v>695</v>
      </c>
      <c r="B240" s="39" t="s">
        <v>696</v>
      </c>
      <c r="C240" s="40">
        <v>5</v>
      </c>
      <c r="D240" s="41" t="s">
        <v>449</v>
      </c>
    </row>
    <row r="241" spans="1:4" x14ac:dyDescent="0.25">
      <c r="A241" s="39" t="s">
        <v>697</v>
      </c>
      <c r="B241" s="39" t="s">
        <v>698</v>
      </c>
      <c r="C241" s="40">
        <v>5</v>
      </c>
      <c r="D241" s="41" t="s">
        <v>449</v>
      </c>
    </row>
    <row r="242" spans="1:4" x14ac:dyDescent="0.25">
      <c r="A242" s="39" t="s">
        <v>699</v>
      </c>
      <c r="B242" s="39" t="s">
        <v>700</v>
      </c>
      <c r="C242" s="40">
        <v>5</v>
      </c>
      <c r="D242" s="41" t="s">
        <v>449</v>
      </c>
    </row>
    <row r="243" spans="1:4" x14ac:dyDescent="0.25">
      <c r="A243" s="39" t="s">
        <v>701</v>
      </c>
      <c r="B243" s="39" t="s">
        <v>702</v>
      </c>
      <c r="C243" s="40">
        <v>5</v>
      </c>
      <c r="D243" s="41" t="s">
        <v>449</v>
      </c>
    </row>
    <row r="244" spans="1:4" x14ac:dyDescent="0.25">
      <c r="A244" s="39" t="s">
        <v>703</v>
      </c>
      <c r="B244" s="39" t="s">
        <v>704</v>
      </c>
      <c r="C244" s="40">
        <v>4</v>
      </c>
      <c r="D244" s="41">
        <v>85000</v>
      </c>
    </row>
    <row r="245" spans="1:4" x14ac:dyDescent="0.25">
      <c r="A245" s="39" t="s">
        <v>705</v>
      </c>
      <c r="B245" s="39" t="s">
        <v>706</v>
      </c>
      <c r="C245" s="40">
        <v>5</v>
      </c>
      <c r="D245" s="41">
        <v>85000</v>
      </c>
    </row>
    <row r="246" spans="1:4" x14ac:dyDescent="0.25">
      <c r="A246" s="39" t="s">
        <v>707</v>
      </c>
      <c r="B246" s="39" t="s">
        <v>708</v>
      </c>
      <c r="C246" s="40">
        <v>5</v>
      </c>
      <c r="D246" s="41">
        <v>85000</v>
      </c>
    </row>
    <row r="247" spans="1:4" x14ac:dyDescent="0.25">
      <c r="A247" s="39" t="s">
        <v>709</v>
      </c>
      <c r="B247" s="39" t="s">
        <v>710</v>
      </c>
      <c r="C247" s="40">
        <v>5</v>
      </c>
      <c r="D247" s="41" t="s">
        <v>449</v>
      </c>
    </row>
    <row r="248" spans="1:4" x14ac:dyDescent="0.25">
      <c r="A248" s="39" t="s">
        <v>711</v>
      </c>
      <c r="B248" s="39" t="s">
        <v>712</v>
      </c>
      <c r="C248" s="40">
        <v>5</v>
      </c>
      <c r="D248" s="41" t="s">
        <v>449</v>
      </c>
    </row>
    <row r="249" spans="1:4" x14ac:dyDescent="0.25">
      <c r="A249" s="39" t="s">
        <v>713</v>
      </c>
      <c r="B249" s="39" t="s">
        <v>714</v>
      </c>
      <c r="C249" s="40">
        <v>4</v>
      </c>
      <c r="D249" s="41">
        <v>81000</v>
      </c>
    </row>
    <row r="250" spans="1:4" x14ac:dyDescent="0.25">
      <c r="A250" s="39" t="s">
        <v>715</v>
      </c>
      <c r="B250" s="39" t="s">
        <v>716</v>
      </c>
      <c r="C250" s="40">
        <v>5</v>
      </c>
      <c r="D250" s="41">
        <v>81000</v>
      </c>
    </row>
    <row r="251" spans="1:4" x14ac:dyDescent="0.25">
      <c r="A251" s="39" t="s">
        <v>717</v>
      </c>
      <c r="B251" s="39" t="s">
        <v>718</v>
      </c>
      <c r="C251" s="40">
        <v>5</v>
      </c>
      <c r="D251" s="41" t="s">
        <v>449</v>
      </c>
    </row>
    <row r="252" spans="1:4" x14ac:dyDescent="0.25">
      <c r="A252" s="39" t="s">
        <v>719</v>
      </c>
      <c r="B252" s="39" t="s">
        <v>720</v>
      </c>
      <c r="C252" s="40">
        <v>5</v>
      </c>
      <c r="D252" s="41" t="s">
        <v>449</v>
      </c>
    </row>
    <row r="253" spans="1:4" x14ac:dyDescent="0.25">
      <c r="A253" s="39" t="s">
        <v>721</v>
      </c>
      <c r="B253" s="39" t="s">
        <v>722</v>
      </c>
      <c r="C253" s="40">
        <v>5</v>
      </c>
      <c r="D253" s="41">
        <v>83513</v>
      </c>
    </row>
    <row r="254" spans="1:4" x14ac:dyDescent="0.25">
      <c r="A254" s="39" t="s">
        <v>723</v>
      </c>
      <c r="B254" s="39" t="s">
        <v>724</v>
      </c>
      <c r="C254" s="40">
        <v>5</v>
      </c>
      <c r="D254" s="41" t="s">
        <v>449</v>
      </c>
    </row>
    <row r="255" spans="1:4" x14ac:dyDescent="0.25">
      <c r="A255" s="39" t="s">
        <v>725</v>
      </c>
      <c r="B255" s="39" t="s">
        <v>726</v>
      </c>
      <c r="C255" s="40">
        <v>5</v>
      </c>
      <c r="D255" s="41" t="s">
        <v>449</v>
      </c>
    </row>
    <row r="256" spans="1:4" x14ac:dyDescent="0.25">
      <c r="A256" s="39" t="s">
        <v>727</v>
      </c>
      <c r="B256" s="39" t="s">
        <v>728</v>
      </c>
      <c r="C256" s="40">
        <v>5</v>
      </c>
      <c r="D256" s="41" t="s">
        <v>449</v>
      </c>
    </row>
    <row r="257" spans="1:4" x14ac:dyDescent="0.25">
      <c r="A257" s="39" t="s">
        <v>729</v>
      </c>
      <c r="B257" s="39" t="s">
        <v>730</v>
      </c>
      <c r="C257" s="40">
        <v>5</v>
      </c>
      <c r="D257" s="41">
        <v>83100</v>
      </c>
    </row>
    <row r="258" spans="1:4" x14ac:dyDescent="0.25">
      <c r="A258" s="39" t="s">
        <v>731</v>
      </c>
      <c r="B258" s="39" t="s">
        <v>732</v>
      </c>
      <c r="C258" s="40">
        <v>5</v>
      </c>
      <c r="D258" s="41" t="s">
        <v>449</v>
      </c>
    </row>
    <row r="259" spans="1:4" x14ac:dyDescent="0.25">
      <c r="A259" s="39" t="s">
        <v>733</v>
      </c>
      <c r="B259" s="39" t="s">
        <v>734</v>
      </c>
      <c r="C259" s="40">
        <v>4</v>
      </c>
      <c r="D259" s="41" t="s">
        <v>266</v>
      </c>
    </row>
    <row r="260" spans="1:4" x14ac:dyDescent="0.25">
      <c r="A260" s="39" t="s">
        <v>735</v>
      </c>
      <c r="B260" s="39" t="s">
        <v>736</v>
      </c>
      <c r="C260" s="40">
        <v>5</v>
      </c>
      <c r="D260" s="41" t="s">
        <v>449</v>
      </c>
    </row>
    <row r="261" spans="1:4" x14ac:dyDescent="0.25">
      <c r="A261" s="39" t="s">
        <v>737</v>
      </c>
      <c r="B261" s="39" t="s">
        <v>738</v>
      </c>
      <c r="C261" s="40">
        <v>5</v>
      </c>
      <c r="D261" s="41" t="s">
        <v>449</v>
      </c>
    </row>
    <row r="262" spans="1:4" x14ac:dyDescent="0.25">
      <c r="A262" s="39" t="s">
        <v>739</v>
      </c>
      <c r="B262" s="39" t="s">
        <v>740</v>
      </c>
      <c r="C262" s="40">
        <v>4</v>
      </c>
      <c r="D262" s="41" t="s">
        <v>266</v>
      </c>
    </row>
    <row r="263" spans="1:4" x14ac:dyDescent="0.25">
      <c r="A263" s="39" t="s">
        <v>741</v>
      </c>
      <c r="B263" s="39" t="s">
        <v>742</v>
      </c>
      <c r="C263" s="40">
        <v>5</v>
      </c>
      <c r="D263" s="41">
        <v>96900</v>
      </c>
    </row>
    <row r="264" spans="1:4" x14ac:dyDescent="0.25">
      <c r="A264" s="39" t="s">
        <v>743</v>
      </c>
      <c r="B264" s="39" t="s">
        <v>744</v>
      </c>
      <c r="C264" s="40">
        <v>5</v>
      </c>
      <c r="D264" s="41" t="s">
        <v>266</v>
      </c>
    </row>
    <row r="265" spans="1:4" x14ac:dyDescent="0.25">
      <c r="A265" s="39" t="s">
        <v>745</v>
      </c>
      <c r="B265" s="39" t="s">
        <v>746</v>
      </c>
      <c r="C265" s="40">
        <v>4</v>
      </c>
      <c r="D265" s="41" t="s">
        <v>266</v>
      </c>
    </row>
    <row r="266" spans="1:4" x14ac:dyDescent="0.25">
      <c r="A266" s="39" t="s">
        <v>747</v>
      </c>
      <c r="B266" s="39" t="s">
        <v>748</v>
      </c>
      <c r="C266" s="40">
        <v>5</v>
      </c>
      <c r="D266" s="41" t="s">
        <v>449</v>
      </c>
    </row>
    <row r="267" spans="1:4" x14ac:dyDescent="0.25">
      <c r="A267" s="39" t="s">
        <v>749</v>
      </c>
      <c r="B267" s="39" t="s">
        <v>750</v>
      </c>
      <c r="C267" s="40">
        <v>5</v>
      </c>
      <c r="D267" s="41" t="s">
        <v>449</v>
      </c>
    </row>
    <row r="268" spans="1:4" x14ac:dyDescent="0.25">
      <c r="A268" s="39" t="s">
        <v>751</v>
      </c>
      <c r="B268" s="39" t="s">
        <v>752</v>
      </c>
      <c r="C268" s="40">
        <v>5</v>
      </c>
      <c r="D268" s="41" t="s">
        <v>449</v>
      </c>
    </row>
    <row r="269" spans="1:4" x14ac:dyDescent="0.25">
      <c r="A269" s="39" t="s">
        <v>753</v>
      </c>
      <c r="B269" s="39" t="s">
        <v>754</v>
      </c>
      <c r="C269" s="40">
        <v>5</v>
      </c>
      <c r="D269" s="41" t="s">
        <v>449</v>
      </c>
    </row>
    <row r="270" spans="1:4" x14ac:dyDescent="0.25">
      <c r="A270" s="39" t="s">
        <v>755</v>
      </c>
      <c r="B270" s="39" t="s">
        <v>756</v>
      </c>
      <c r="C270" s="40">
        <v>5</v>
      </c>
      <c r="D270" s="41" t="s">
        <v>449</v>
      </c>
    </row>
    <row r="271" spans="1:4" x14ac:dyDescent="0.25">
      <c r="A271" s="39" t="s">
        <v>757</v>
      </c>
      <c r="B271" s="39" t="s">
        <v>758</v>
      </c>
      <c r="C271" s="40">
        <v>4</v>
      </c>
      <c r="D271" s="41" t="s">
        <v>266</v>
      </c>
    </row>
    <row r="272" spans="1:4" x14ac:dyDescent="0.25">
      <c r="A272" s="39" t="s">
        <v>759</v>
      </c>
      <c r="B272" s="39" t="s">
        <v>760</v>
      </c>
      <c r="C272" s="40">
        <v>5</v>
      </c>
      <c r="D272" s="41" t="s">
        <v>449</v>
      </c>
    </row>
    <row r="273" spans="1:4" x14ac:dyDescent="0.25">
      <c r="A273" s="39" t="s">
        <v>761</v>
      </c>
      <c r="B273" s="39" t="s">
        <v>762</v>
      </c>
      <c r="C273" s="40">
        <v>5</v>
      </c>
      <c r="D273" s="41">
        <v>89100</v>
      </c>
    </row>
    <row r="274" spans="1:4" x14ac:dyDescent="0.25">
      <c r="A274" s="39" t="s">
        <v>763</v>
      </c>
      <c r="B274" s="39" t="s">
        <v>764</v>
      </c>
      <c r="C274" s="40">
        <v>5</v>
      </c>
      <c r="D274" s="41" t="s">
        <v>449</v>
      </c>
    </row>
    <row r="275" spans="1:4" x14ac:dyDescent="0.25">
      <c r="A275" s="39" t="s">
        <v>765</v>
      </c>
      <c r="B275" s="39" t="s">
        <v>766</v>
      </c>
      <c r="C275" s="40">
        <v>5</v>
      </c>
      <c r="D275" s="41" t="s">
        <v>449</v>
      </c>
    </row>
    <row r="276" spans="1:4" x14ac:dyDescent="0.25">
      <c r="A276" s="39" t="s">
        <v>767</v>
      </c>
      <c r="B276" s="39" t="s">
        <v>768</v>
      </c>
      <c r="C276" s="40">
        <v>5</v>
      </c>
      <c r="D276" s="41" t="s">
        <v>449</v>
      </c>
    </row>
    <row r="277" spans="1:4" x14ac:dyDescent="0.25">
      <c r="A277" s="39" t="s">
        <v>769</v>
      </c>
      <c r="B277" s="39" t="s">
        <v>770</v>
      </c>
      <c r="C277" s="40">
        <v>5</v>
      </c>
      <c r="D277" s="41" t="s">
        <v>449</v>
      </c>
    </row>
    <row r="278" spans="1:4" x14ac:dyDescent="0.25">
      <c r="A278" s="39" t="s">
        <v>771</v>
      </c>
      <c r="B278" s="39" t="s">
        <v>772</v>
      </c>
      <c r="C278" s="40">
        <v>5</v>
      </c>
      <c r="D278" s="41" t="s">
        <v>449</v>
      </c>
    </row>
    <row r="279" spans="1:4" x14ac:dyDescent="0.25">
      <c r="A279" s="39" t="s">
        <v>773</v>
      </c>
      <c r="B279" s="39" t="s">
        <v>774</v>
      </c>
      <c r="C279" s="40">
        <v>5</v>
      </c>
      <c r="D279" s="41" t="s">
        <v>775</v>
      </c>
    </row>
    <row r="280" spans="1:4" x14ac:dyDescent="0.25">
      <c r="A280" s="39" t="s">
        <v>776</v>
      </c>
      <c r="B280" s="39" t="s">
        <v>777</v>
      </c>
      <c r="C280" s="40">
        <v>5</v>
      </c>
      <c r="D280" s="41" t="s">
        <v>449</v>
      </c>
    </row>
    <row r="281" spans="1:4" x14ac:dyDescent="0.25">
      <c r="A281" s="39" t="s">
        <v>778</v>
      </c>
      <c r="B281" s="39" t="s">
        <v>779</v>
      </c>
      <c r="C281" s="40">
        <v>5</v>
      </c>
      <c r="D281" s="41" t="s">
        <v>449</v>
      </c>
    </row>
    <row r="282" spans="1:4" x14ac:dyDescent="0.25">
      <c r="A282" s="39" t="s">
        <v>780</v>
      </c>
      <c r="B282" s="39" t="s">
        <v>781</v>
      </c>
      <c r="C282" s="40">
        <v>5</v>
      </c>
      <c r="D282" s="41" t="s">
        <v>449</v>
      </c>
    </row>
    <row r="283" spans="1:4" x14ac:dyDescent="0.25">
      <c r="A283" s="39" t="s">
        <v>782</v>
      </c>
      <c r="B283" s="39" t="s">
        <v>783</v>
      </c>
      <c r="C283" s="40">
        <v>5</v>
      </c>
      <c r="D283" s="41" t="s">
        <v>449</v>
      </c>
    </row>
    <row r="284" spans="1:4" x14ac:dyDescent="0.25">
      <c r="A284" s="39" t="s">
        <v>784</v>
      </c>
      <c r="B284" s="39" t="s">
        <v>785</v>
      </c>
      <c r="C284" s="40">
        <v>3</v>
      </c>
      <c r="D284" s="41" t="s">
        <v>266</v>
      </c>
    </row>
    <row r="285" spans="1:4" x14ac:dyDescent="0.25">
      <c r="A285" s="39" t="s">
        <v>786</v>
      </c>
      <c r="B285" s="39" t="s">
        <v>787</v>
      </c>
      <c r="C285" s="40">
        <v>4</v>
      </c>
      <c r="D285" s="41">
        <v>97000</v>
      </c>
    </row>
    <row r="286" spans="1:4" x14ac:dyDescent="0.25">
      <c r="A286" s="39" t="s">
        <v>788</v>
      </c>
      <c r="B286" s="39" t="s">
        <v>789</v>
      </c>
      <c r="C286" s="40">
        <v>5</v>
      </c>
      <c r="D286" s="41">
        <v>93000</v>
      </c>
    </row>
    <row r="287" spans="1:4" x14ac:dyDescent="0.25">
      <c r="A287" s="39" t="s">
        <v>790</v>
      </c>
      <c r="B287" s="39" t="s">
        <v>791</v>
      </c>
      <c r="C287" s="40">
        <v>5</v>
      </c>
      <c r="D287" s="41" t="s">
        <v>449</v>
      </c>
    </row>
    <row r="288" spans="1:4" x14ac:dyDescent="0.25">
      <c r="A288" s="39" t="s">
        <v>792</v>
      </c>
      <c r="B288" s="39" t="s">
        <v>793</v>
      </c>
      <c r="C288" s="40">
        <v>5</v>
      </c>
      <c r="D288" s="41" t="s">
        <v>449</v>
      </c>
    </row>
    <row r="289" spans="1:4" x14ac:dyDescent="0.25">
      <c r="A289" s="39" t="s">
        <v>794</v>
      </c>
      <c r="B289" s="39" t="s">
        <v>795</v>
      </c>
      <c r="C289" s="40">
        <v>5</v>
      </c>
      <c r="D289" s="41">
        <v>97300</v>
      </c>
    </row>
    <row r="290" spans="1:4" x14ac:dyDescent="0.25">
      <c r="A290" s="39" t="s">
        <v>796</v>
      </c>
      <c r="B290" s="39" t="s">
        <v>797</v>
      </c>
      <c r="C290" s="40">
        <v>5</v>
      </c>
      <c r="D290" s="41">
        <v>97500</v>
      </c>
    </row>
    <row r="291" spans="1:4" x14ac:dyDescent="0.25">
      <c r="A291" s="39" t="s">
        <v>798</v>
      </c>
      <c r="B291" s="39" t="s">
        <v>799</v>
      </c>
      <c r="C291" s="40">
        <v>5</v>
      </c>
      <c r="D291" s="41" t="s">
        <v>449</v>
      </c>
    </row>
    <row r="292" spans="1:4" x14ac:dyDescent="0.25">
      <c r="A292" s="39" t="s">
        <v>800</v>
      </c>
      <c r="B292" s="39" t="s">
        <v>801</v>
      </c>
      <c r="C292" s="40">
        <v>5</v>
      </c>
      <c r="D292" s="41">
        <v>99000</v>
      </c>
    </row>
    <row r="293" spans="1:4" x14ac:dyDescent="0.25">
      <c r="A293" s="39" t="s">
        <v>802</v>
      </c>
      <c r="B293" s="39" t="s">
        <v>803</v>
      </c>
      <c r="C293" s="40">
        <v>5</v>
      </c>
      <c r="D293" s="41" t="s">
        <v>449</v>
      </c>
    </row>
    <row r="294" spans="1:4" x14ac:dyDescent="0.25">
      <c r="A294" s="39" t="s">
        <v>804</v>
      </c>
      <c r="B294" s="39" t="s">
        <v>805</v>
      </c>
      <c r="C294" s="40">
        <v>5</v>
      </c>
      <c r="D294" s="41" t="s">
        <v>449</v>
      </c>
    </row>
    <row r="295" spans="1:4" x14ac:dyDescent="0.25">
      <c r="A295" s="39" t="s">
        <v>806</v>
      </c>
      <c r="B295" s="39" t="s">
        <v>807</v>
      </c>
      <c r="C295" s="40">
        <v>4</v>
      </c>
      <c r="D295" s="41" t="s">
        <v>449</v>
      </c>
    </row>
    <row r="296" spans="1:4" x14ac:dyDescent="0.25">
      <c r="A296" s="39" t="s">
        <v>808</v>
      </c>
      <c r="B296" s="39" t="s">
        <v>809</v>
      </c>
      <c r="C296" s="40">
        <v>4</v>
      </c>
      <c r="D296" s="41" t="s">
        <v>810</v>
      </c>
    </row>
    <row r="297" spans="1:4" x14ac:dyDescent="0.25">
      <c r="A297" s="39" t="s">
        <v>811</v>
      </c>
      <c r="B297" s="39" t="s">
        <v>812</v>
      </c>
      <c r="C297" s="40">
        <v>5</v>
      </c>
      <c r="D297" s="41" t="s">
        <v>449</v>
      </c>
    </row>
    <row r="298" spans="1:4" x14ac:dyDescent="0.25">
      <c r="A298" s="39" t="s">
        <v>813</v>
      </c>
      <c r="B298" s="39" t="s">
        <v>814</v>
      </c>
      <c r="C298" s="40">
        <v>5</v>
      </c>
      <c r="D298" s="41">
        <v>93000</v>
      </c>
    </row>
    <row r="299" spans="1:4" x14ac:dyDescent="0.25">
      <c r="A299" s="39" t="s">
        <v>815</v>
      </c>
      <c r="B299" s="39" t="s">
        <v>816</v>
      </c>
      <c r="C299" s="40">
        <v>5</v>
      </c>
      <c r="D299" s="41" t="s">
        <v>449</v>
      </c>
    </row>
    <row r="300" spans="1:4" x14ac:dyDescent="0.25">
      <c r="A300" s="39" t="s">
        <v>817</v>
      </c>
      <c r="B300" s="39" t="s">
        <v>818</v>
      </c>
      <c r="C300" s="40">
        <v>5</v>
      </c>
      <c r="D300" s="41" t="s">
        <v>449</v>
      </c>
    </row>
    <row r="301" spans="1:4" x14ac:dyDescent="0.25">
      <c r="A301" s="39" t="s">
        <v>819</v>
      </c>
      <c r="B301" s="39" t="s">
        <v>820</v>
      </c>
      <c r="C301" s="40">
        <v>5</v>
      </c>
      <c r="D301" s="41">
        <v>96400</v>
      </c>
    </row>
    <row r="302" spans="1:4" x14ac:dyDescent="0.25">
      <c r="A302" s="39" t="s">
        <v>821</v>
      </c>
      <c r="B302" s="39" t="s">
        <v>822</v>
      </c>
      <c r="C302" s="40">
        <v>5</v>
      </c>
      <c r="D302" s="41">
        <v>96500</v>
      </c>
    </row>
    <row r="303" spans="1:4" x14ac:dyDescent="0.25">
      <c r="A303" s="39" t="s">
        <v>823</v>
      </c>
      <c r="B303" s="39" t="s">
        <v>824</v>
      </c>
      <c r="C303" s="40">
        <v>5</v>
      </c>
      <c r="D303" s="41" t="s">
        <v>449</v>
      </c>
    </row>
    <row r="304" spans="1:4" x14ac:dyDescent="0.25">
      <c r="A304" s="39" t="s">
        <v>825</v>
      </c>
      <c r="B304" s="39" t="s">
        <v>826</v>
      </c>
      <c r="C304" s="40">
        <v>5</v>
      </c>
      <c r="D304" s="41" t="s">
        <v>449</v>
      </c>
    </row>
    <row r="305" spans="1:4" x14ac:dyDescent="0.25">
      <c r="A305" s="39" t="s">
        <v>827</v>
      </c>
      <c r="B305" s="39" t="s">
        <v>828</v>
      </c>
      <c r="C305" s="40">
        <v>5</v>
      </c>
      <c r="D305" s="41" t="s">
        <v>449</v>
      </c>
    </row>
    <row r="306" spans="1:4" x14ac:dyDescent="0.25">
      <c r="A306" s="39" t="s">
        <v>829</v>
      </c>
      <c r="B306" s="39" t="s">
        <v>830</v>
      </c>
      <c r="C306" s="40">
        <v>5</v>
      </c>
      <c r="D306" s="41" t="s">
        <v>449</v>
      </c>
    </row>
    <row r="307" spans="1:4" x14ac:dyDescent="0.25">
      <c r="A307" s="39" t="s">
        <v>831</v>
      </c>
      <c r="B307" s="39" t="s">
        <v>832</v>
      </c>
      <c r="C307" s="40">
        <v>5</v>
      </c>
      <c r="D307" s="41" t="s">
        <v>449</v>
      </c>
    </row>
    <row r="308" spans="1:4" x14ac:dyDescent="0.25">
      <c r="A308" s="39" t="s">
        <v>833</v>
      </c>
      <c r="B308" s="39" t="s">
        <v>834</v>
      </c>
      <c r="C308" s="40">
        <v>5</v>
      </c>
      <c r="D308" s="41" t="s">
        <v>449</v>
      </c>
    </row>
    <row r="309" spans="1:4" x14ac:dyDescent="0.25">
      <c r="A309" s="39" t="s">
        <v>835</v>
      </c>
      <c r="B309" s="39" t="s">
        <v>836</v>
      </c>
      <c r="C309" s="40">
        <v>4</v>
      </c>
      <c r="D309" s="41" t="s">
        <v>266</v>
      </c>
    </row>
    <row r="310" spans="1:4" x14ac:dyDescent="0.25">
      <c r="A310" s="39" t="s">
        <v>837</v>
      </c>
      <c r="B310" s="39" t="s">
        <v>838</v>
      </c>
      <c r="C310" s="40">
        <v>5</v>
      </c>
      <c r="D310" s="41">
        <v>93000</v>
      </c>
    </row>
    <row r="311" spans="1:4" x14ac:dyDescent="0.25">
      <c r="A311" s="39" t="s">
        <v>839</v>
      </c>
      <c r="B311" s="39" t="s">
        <v>840</v>
      </c>
      <c r="C311" s="40">
        <v>5</v>
      </c>
      <c r="D311" s="41">
        <v>96300</v>
      </c>
    </row>
    <row r="312" spans="1:4" x14ac:dyDescent="0.25">
      <c r="A312" s="39" t="s">
        <v>841</v>
      </c>
      <c r="B312" s="39" t="s">
        <v>842</v>
      </c>
      <c r="C312" s="40">
        <v>5</v>
      </c>
      <c r="D312" s="41">
        <v>96400</v>
      </c>
    </row>
    <row r="313" spans="1:4" x14ac:dyDescent="0.25">
      <c r="A313" s="39" t="s">
        <v>843</v>
      </c>
      <c r="B313" s="39" t="s">
        <v>844</v>
      </c>
      <c r="C313" s="40">
        <v>5</v>
      </c>
      <c r="D313" s="41">
        <v>96500</v>
      </c>
    </row>
    <row r="314" spans="1:4" x14ac:dyDescent="0.25">
      <c r="A314" s="39" t="s">
        <v>845</v>
      </c>
      <c r="B314" s="39" t="s">
        <v>846</v>
      </c>
      <c r="C314" s="40">
        <v>5</v>
      </c>
      <c r="D314" s="41">
        <v>96600</v>
      </c>
    </row>
    <row r="315" spans="1:4" x14ac:dyDescent="0.25">
      <c r="A315" s="39" t="s">
        <v>847</v>
      </c>
      <c r="B315" s="39" t="s">
        <v>848</v>
      </c>
      <c r="C315" s="40">
        <v>5</v>
      </c>
      <c r="D315" s="41">
        <v>96800</v>
      </c>
    </row>
    <row r="316" spans="1:4" x14ac:dyDescent="0.25">
      <c r="A316" s="39" t="s">
        <v>849</v>
      </c>
      <c r="B316" s="39" t="s">
        <v>850</v>
      </c>
      <c r="C316" s="40">
        <v>4</v>
      </c>
      <c r="D316" s="41">
        <v>95000</v>
      </c>
    </row>
    <row r="317" spans="1:4" x14ac:dyDescent="0.25">
      <c r="A317" s="39" t="s">
        <v>851</v>
      </c>
      <c r="B317" s="39" t="s">
        <v>852</v>
      </c>
      <c r="C317" s="40">
        <v>5</v>
      </c>
      <c r="D317" s="41">
        <v>92000</v>
      </c>
    </row>
    <row r="318" spans="1:4" x14ac:dyDescent="0.25">
      <c r="A318" s="39" t="s">
        <v>853</v>
      </c>
      <c r="B318" s="39" t="s">
        <v>854</v>
      </c>
      <c r="C318" s="40">
        <v>5</v>
      </c>
      <c r="D318" s="41" t="s">
        <v>449</v>
      </c>
    </row>
    <row r="319" spans="1:4" x14ac:dyDescent="0.25">
      <c r="A319" s="39" t="s">
        <v>855</v>
      </c>
      <c r="B319" s="39" t="s">
        <v>856</v>
      </c>
      <c r="C319" s="40">
        <v>5</v>
      </c>
      <c r="D319" s="41">
        <v>99000</v>
      </c>
    </row>
    <row r="320" spans="1:4" x14ac:dyDescent="0.25">
      <c r="A320" s="39" t="s">
        <v>857</v>
      </c>
      <c r="B320" s="39" t="s">
        <v>858</v>
      </c>
      <c r="C320" s="40">
        <v>5</v>
      </c>
      <c r="D320" s="41" t="s">
        <v>449</v>
      </c>
    </row>
    <row r="321" spans="1:4" x14ac:dyDescent="0.25">
      <c r="A321" s="39" t="s">
        <v>859</v>
      </c>
      <c r="B321" s="39" t="s">
        <v>860</v>
      </c>
      <c r="C321" s="40">
        <v>5</v>
      </c>
      <c r="D321" s="41" t="s">
        <v>449</v>
      </c>
    </row>
    <row r="322" spans="1:4" x14ac:dyDescent="0.25">
      <c r="A322" s="39" t="s">
        <v>861</v>
      </c>
      <c r="B322" s="39" t="s">
        <v>862</v>
      </c>
      <c r="C322" s="40">
        <v>4</v>
      </c>
      <c r="D322" s="42">
        <v>90600.13</v>
      </c>
    </row>
    <row r="323" spans="1:4" x14ac:dyDescent="0.25">
      <c r="A323" s="39" t="s">
        <v>863</v>
      </c>
      <c r="B323" s="39" t="s">
        <v>864</v>
      </c>
      <c r="C323" s="40">
        <v>2</v>
      </c>
      <c r="D323" s="41" t="s">
        <v>266</v>
      </c>
    </row>
    <row r="324" spans="1:4" x14ac:dyDescent="0.25">
      <c r="A324" s="39" t="s">
        <v>865</v>
      </c>
      <c r="B324" s="39" t="s">
        <v>866</v>
      </c>
      <c r="C324" s="40">
        <v>3</v>
      </c>
      <c r="D324" s="41">
        <v>140000</v>
      </c>
    </row>
    <row r="325" spans="1:4" x14ac:dyDescent="0.25">
      <c r="A325" s="39" t="s">
        <v>867</v>
      </c>
      <c r="B325" s="39" t="s">
        <v>868</v>
      </c>
      <c r="C325" s="40">
        <v>4</v>
      </c>
      <c r="D325" s="41" t="s">
        <v>449</v>
      </c>
    </row>
    <row r="326" spans="1:4" x14ac:dyDescent="0.25">
      <c r="A326" s="39" t="s">
        <v>869</v>
      </c>
      <c r="B326" s="39" t="s">
        <v>870</v>
      </c>
      <c r="C326" s="40">
        <v>5</v>
      </c>
      <c r="D326" s="41" t="s">
        <v>449</v>
      </c>
    </row>
    <row r="327" spans="1:4" x14ac:dyDescent="0.25">
      <c r="A327" s="39" t="s">
        <v>871</v>
      </c>
      <c r="B327" s="39" t="s">
        <v>872</v>
      </c>
      <c r="C327" s="40">
        <v>5</v>
      </c>
      <c r="D327" s="41" t="s">
        <v>449</v>
      </c>
    </row>
    <row r="328" spans="1:4" x14ac:dyDescent="0.25">
      <c r="A328" s="39" t="s">
        <v>873</v>
      </c>
      <c r="B328" s="39" t="s">
        <v>874</v>
      </c>
      <c r="C328" s="40">
        <v>5</v>
      </c>
      <c r="D328" s="41">
        <v>143100</v>
      </c>
    </row>
    <row r="329" spans="1:4" x14ac:dyDescent="0.25">
      <c r="A329" s="39" t="s">
        <v>875</v>
      </c>
      <c r="B329" s="39" t="s">
        <v>876</v>
      </c>
      <c r="C329" s="40">
        <v>5</v>
      </c>
      <c r="D329" s="41">
        <v>141000</v>
      </c>
    </row>
    <row r="330" spans="1:4" x14ac:dyDescent="0.25">
      <c r="A330" s="39" t="s">
        <v>877</v>
      </c>
      <c r="B330" s="39" t="s">
        <v>878</v>
      </c>
      <c r="C330" s="40">
        <v>5</v>
      </c>
      <c r="D330" s="41">
        <v>143300</v>
      </c>
    </row>
    <row r="331" spans="1:4" x14ac:dyDescent="0.25">
      <c r="A331" s="39" t="s">
        <v>879</v>
      </c>
      <c r="B331" s="39" t="s">
        <v>880</v>
      </c>
      <c r="C331" s="40">
        <v>4</v>
      </c>
      <c r="D331" s="41" t="s">
        <v>266</v>
      </c>
    </row>
    <row r="332" spans="1:4" x14ac:dyDescent="0.25">
      <c r="A332" s="39" t="s">
        <v>881</v>
      </c>
      <c r="B332" s="39" t="s">
        <v>882</v>
      </c>
      <c r="C332" s="40">
        <v>5</v>
      </c>
      <c r="D332" s="41">
        <v>143200</v>
      </c>
    </row>
    <row r="333" spans="1:4" x14ac:dyDescent="0.25">
      <c r="A333" s="39" t="s">
        <v>883</v>
      </c>
      <c r="B333" s="39" t="s">
        <v>884</v>
      </c>
      <c r="C333" s="40">
        <v>5</v>
      </c>
      <c r="D333" s="41" t="s">
        <v>449</v>
      </c>
    </row>
    <row r="334" spans="1:4" x14ac:dyDescent="0.25">
      <c r="A334" s="39" t="s">
        <v>885</v>
      </c>
      <c r="B334" s="39" t="s">
        <v>886</v>
      </c>
      <c r="C334" s="40">
        <v>5</v>
      </c>
      <c r="D334" s="41" t="s">
        <v>449</v>
      </c>
    </row>
    <row r="335" spans="1:4" x14ac:dyDescent="0.25">
      <c r="A335" s="39" t="s">
        <v>887</v>
      </c>
      <c r="B335" s="39" t="s">
        <v>888</v>
      </c>
      <c r="C335" s="40">
        <v>5</v>
      </c>
      <c r="D335" s="41" t="s">
        <v>449</v>
      </c>
    </row>
    <row r="336" spans="1:4" x14ac:dyDescent="0.25">
      <c r="A336" s="39" t="s">
        <v>889</v>
      </c>
      <c r="B336" s="39" t="s">
        <v>890</v>
      </c>
      <c r="C336" s="40">
        <v>4</v>
      </c>
      <c r="D336" s="41" t="s">
        <v>266</v>
      </c>
    </row>
    <row r="337" spans="1:4" x14ac:dyDescent="0.25">
      <c r="A337" s="39" t="s">
        <v>891</v>
      </c>
      <c r="B337" s="39" t="s">
        <v>892</v>
      </c>
      <c r="C337" s="40">
        <v>5</v>
      </c>
      <c r="D337" s="41">
        <v>412213</v>
      </c>
    </row>
    <row r="338" spans="1:4" x14ac:dyDescent="0.25">
      <c r="A338" s="39" t="s">
        <v>893</v>
      </c>
      <c r="B338" s="39" t="s">
        <v>894</v>
      </c>
      <c r="C338" s="40">
        <v>5</v>
      </c>
      <c r="D338" s="41">
        <v>412223</v>
      </c>
    </row>
    <row r="339" spans="1:4" x14ac:dyDescent="0.25">
      <c r="A339" s="39" t="s">
        <v>895</v>
      </c>
      <c r="B339" s="39" t="s">
        <v>896</v>
      </c>
      <c r="C339" s="40">
        <v>5</v>
      </c>
      <c r="D339" s="41">
        <v>412233</v>
      </c>
    </row>
    <row r="340" spans="1:4" x14ac:dyDescent="0.25">
      <c r="A340" s="39" t="s">
        <v>897</v>
      </c>
      <c r="B340" s="39" t="s">
        <v>898</v>
      </c>
      <c r="C340" s="40">
        <v>5</v>
      </c>
      <c r="D340" s="41">
        <v>412100</v>
      </c>
    </row>
    <row r="341" spans="1:4" x14ac:dyDescent="0.25">
      <c r="A341" s="39" t="s">
        <v>899</v>
      </c>
      <c r="B341" s="39" t="s">
        <v>900</v>
      </c>
      <c r="C341" s="40">
        <v>5</v>
      </c>
      <c r="D341" s="41">
        <v>347716</v>
      </c>
    </row>
    <row r="342" spans="1:4" x14ac:dyDescent="0.25">
      <c r="A342" s="39" t="s">
        <v>901</v>
      </c>
      <c r="B342" s="39" t="s">
        <v>902</v>
      </c>
      <c r="C342" s="40">
        <v>5</v>
      </c>
      <c r="D342" s="41" t="s">
        <v>449</v>
      </c>
    </row>
    <row r="343" spans="1:4" x14ac:dyDescent="0.25">
      <c r="A343" s="39" t="s">
        <v>903</v>
      </c>
      <c r="B343" s="39" t="s">
        <v>904</v>
      </c>
      <c r="C343" s="40">
        <v>5</v>
      </c>
      <c r="D343" s="41">
        <v>149200</v>
      </c>
    </row>
    <row r="344" spans="1:4" x14ac:dyDescent="0.25">
      <c r="A344" s="39" t="s">
        <v>905</v>
      </c>
      <c r="B344" s="39" t="s">
        <v>906</v>
      </c>
      <c r="C344" s="40">
        <v>4</v>
      </c>
      <c r="D344" s="41">
        <v>148100</v>
      </c>
    </row>
    <row r="345" spans="1:4" x14ac:dyDescent="0.25">
      <c r="A345" s="39" t="s">
        <v>907</v>
      </c>
      <c r="B345" s="39" t="s">
        <v>908</v>
      </c>
      <c r="C345" s="40">
        <v>5</v>
      </c>
      <c r="D345" s="41">
        <v>148100</v>
      </c>
    </row>
    <row r="346" spans="1:4" x14ac:dyDescent="0.25">
      <c r="A346" s="39" t="s">
        <v>909</v>
      </c>
      <c r="B346" s="39" t="s">
        <v>910</v>
      </c>
      <c r="C346" s="40">
        <v>5</v>
      </c>
      <c r="D346" s="41">
        <v>148200</v>
      </c>
    </row>
    <row r="347" spans="1:4" x14ac:dyDescent="0.25">
      <c r="A347" s="39" t="s">
        <v>911</v>
      </c>
      <c r="B347" s="39" t="s">
        <v>912</v>
      </c>
      <c r="C347" s="40">
        <v>5</v>
      </c>
      <c r="D347" s="41">
        <v>148300</v>
      </c>
    </row>
    <row r="348" spans="1:4" x14ac:dyDescent="0.25">
      <c r="A348" s="39" t="s">
        <v>913</v>
      </c>
      <c r="B348" s="39" t="s">
        <v>914</v>
      </c>
      <c r="C348" s="40">
        <v>5</v>
      </c>
      <c r="D348" s="41" t="s">
        <v>449</v>
      </c>
    </row>
    <row r="349" spans="1:4" x14ac:dyDescent="0.25">
      <c r="A349" s="39" t="s">
        <v>915</v>
      </c>
      <c r="B349" s="39" t="s">
        <v>916</v>
      </c>
      <c r="C349" s="40">
        <v>5</v>
      </c>
      <c r="D349" s="41">
        <v>112423</v>
      </c>
    </row>
    <row r="350" spans="1:4" x14ac:dyDescent="0.25">
      <c r="A350" s="39" t="s">
        <v>917</v>
      </c>
      <c r="B350" s="39" t="s">
        <v>918</v>
      </c>
      <c r="C350" s="40">
        <v>3</v>
      </c>
      <c r="D350" s="41">
        <v>220000</v>
      </c>
    </row>
    <row r="351" spans="1:4" x14ac:dyDescent="0.25">
      <c r="A351" s="39" t="s">
        <v>919</v>
      </c>
      <c r="B351" s="39" t="s">
        <v>920</v>
      </c>
      <c r="C351" s="40">
        <v>4</v>
      </c>
      <c r="D351" s="41">
        <v>221100</v>
      </c>
    </row>
    <row r="352" spans="1:4" x14ac:dyDescent="0.25">
      <c r="A352" s="39" t="s">
        <v>921</v>
      </c>
      <c r="B352" s="39" t="s">
        <v>922</v>
      </c>
      <c r="C352" s="40">
        <v>5</v>
      </c>
      <c r="D352" s="41">
        <v>221200</v>
      </c>
    </row>
    <row r="353" spans="1:4" x14ac:dyDescent="0.25">
      <c r="A353" s="39" t="s">
        <v>923</v>
      </c>
      <c r="B353" s="39" t="s">
        <v>924</v>
      </c>
      <c r="C353" s="40">
        <v>5</v>
      </c>
      <c r="D353" s="41" t="s">
        <v>449</v>
      </c>
    </row>
    <row r="354" spans="1:4" x14ac:dyDescent="0.25">
      <c r="A354" s="39" t="s">
        <v>925</v>
      </c>
      <c r="B354" s="39" t="s">
        <v>926</v>
      </c>
      <c r="C354" s="40">
        <v>5</v>
      </c>
      <c r="D354" s="41">
        <v>221116</v>
      </c>
    </row>
    <row r="355" spans="1:4" x14ac:dyDescent="0.25">
      <c r="A355" s="39" t="s">
        <v>927</v>
      </c>
      <c r="B355" s="39" t="s">
        <v>928</v>
      </c>
      <c r="C355" s="40">
        <v>5</v>
      </c>
      <c r="D355" s="41" t="s">
        <v>449</v>
      </c>
    </row>
    <row r="356" spans="1:4" x14ac:dyDescent="0.25">
      <c r="A356" s="39" t="s">
        <v>929</v>
      </c>
      <c r="B356" s="39" t="s">
        <v>930</v>
      </c>
      <c r="C356" s="40">
        <v>5</v>
      </c>
      <c r="D356" s="41" t="s">
        <v>449</v>
      </c>
    </row>
    <row r="357" spans="1:4" x14ac:dyDescent="0.25">
      <c r="A357" s="39" t="s">
        <v>931</v>
      </c>
      <c r="B357" s="39" t="s">
        <v>932</v>
      </c>
      <c r="C357" s="40">
        <v>4</v>
      </c>
      <c r="D357" s="41">
        <v>221300</v>
      </c>
    </row>
    <row r="358" spans="1:4" x14ac:dyDescent="0.25">
      <c r="A358" s="39" t="s">
        <v>933</v>
      </c>
      <c r="B358" s="39" t="s">
        <v>934</v>
      </c>
      <c r="C358" s="40">
        <v>5</v>
      </c>
      <c r="D358" s="41" t="s">
        <v>449</v>
      </c>
    </row>
    <row r="359" spans="1:4" x14ac:dyDescent="0.25">
      <c r="A359" s="39" t="s">
        <v>935</v>
      </c>
      <c r="B359" s="39" t="s">
        <v>936</v>
      </c>
      <c r="C359" s="40">
        <v>5</v>
      </c>
      <c r="D359" s="41" t="s">
        <v>449</v>
      </c>
    </row>
    <row r="360" spans="1:4" x14ac:dyDescent="0.25">
      <c r="A360" s="39" t="s">
        <v>937</v>
      </c>
      <c r="B360" s="39" t="s">
        <v>938</v>
      </c>
      <c r="C360" s="40">
        <v>5</v>
      </c>
      <c r="D360" s="41" t="s">
        <v>449</v>
      </c>
    </row>
    <row r="361" spans="1:4" x14ac:dyDescent="0.25">
      <c r="A361" s="39" t="s">
        <v>939</v>
      </c>
      <c r="B361" s="39" t="s">
        <v>940</v>
      </c>
      <c r="C361" s="40">
        <v>4</v>
      </c>
      <c r="D361" s="41">
        <v>221400</v>
      </c>
    </row>
    <row r="362" spans="1:4" x14ac:dyDescent="0.25">
      <c r="A362" s="39" t="s">
        <v>941</v>
      </c>
      <c r="B362" s="39" t="s">
        <v>942</v>
      </c>
      <c r="C362" s="40">
        <v>5</v>
      </c>
      <c r="D362" s="41" t="s">
        <v>449</v>
      </c>
    </row>
    <row r="363" spans="1:4" x14ac:dyDescent="0.25">
      <c r="A363" s="39" t="s">
        <v>943</v>
      </c>
      <c r="B363" s="39" t="s">
        <v>944</v>
      </c>
      <c r="C363" s="40">
        <v>5</v>
      </c>
      <c r="D363" s="41" t="s">
        <v>449</v>
      </c>
    </row>
    <row r="364" spans="1:4" x14ac:dyDescent="0.25">
      <c r="A364" s="39" t="s">
        <v>945</v>
      </c>
      <c r="B364" s="39" t="s">
        <v>946</v>
      </c>
      <c r="C364" s="40">
        <v>5</v>
      </c>
      <c r="D364" s="41" t="s">
        <v>449</v>
      </c>
    </row>
    <row r="365" spans="1:4" x14ac:dyDescent="0.25">
      <c r="A365" s="39" t="s">
        <v>947</v>
      </c>
      <c r="B365" s="39" t="s">
        <v>948</v>
      </c>
      <c r="C365" s="40">
        <v>5</v>
      </c>
      <c r="D365" s="41">
        <v>221363</v>
      </c>
    </row>
    <row r="366" spans="1:4" x14ac:dyDescent="0.25">
      <c r="A366" s="39" t="s">
        <v>949</v>
      </c>
      <c r="B366" s="39" t="s">
        <v>950</v>
      </c>
      <c r="C366" s="40">
        <v>5</v>
      </c>
      <c r="D366" s="41" t="s">
        <v>449</v>
      </c>
    </row>
    <row r="367" spans="1:4" x14ac:dyDescent="0.25">
      <c r="A367" s="39" t="s">
        <v>951</v>
      </c>
      <c r="B367" s="39" t="s">
        <v>952</v>
      </c>
      <c r="C367" s="40">
        <v>4</v>
      </c>
      <c r="D367" s="41" t="s">
        <v>449</v>
      </c>
    </row>
    <row r="368" spans="1:4" x14ac:dyDescent="0.25">
      <c r="A368" s="39" t="s">
        <v>953</v>
      </c>
      <c r="B368" s="39" t="s">
        <v>954</v>
      </c>
      <c r="C368" s="40">
        <v>4</v>
      </c>
      <c r="D368" s="41" t="s">
        <v>266</v>
      </c>
    </row>
    <row r="369" spans="1:4" x14ac:dyDescent="0.25">
      <c r="A369" s="39" t="s">
        <v>955</v>
      </c>
      <c r="B369" s="39" t="s">
        <v>956</v>
      </c>
      <c r="C369" s="40">
        <v>5</v>
      </c>
      <c r="D369" s="41" t="s">
        <v>449</v>
      </c>
    </row>
    <row r="370" spans="1:4" x14ac:dyDescent="0.25">
      <c r="A370" s="39" t="s">
        <v>957</v>
      </c>
      <c r="B370" s="39" t="s">
        <v>958</v>
      </c>
      <c r="C370" s="40">
        <v>5</v>
      </c>
      <c r="D370" s="41" t="s">
        <v>449</v>
      </c>
    </row>
    <row r="371" spans="1:4" x14ac:dyDescent="0.25">
      <c r="A371" s="39" t="s">
        <v>959</v>
      </c>
      <c r="B371" s="39" t="s">
        <v>960</v>
      </c>
      <c r="C371" s="40">
        <v>5</v>
      </c>
      <c r="D371" s="41" t="s">
        <v>449</v>
      </c>
    </row>
    <row r="372" spans="1:4" x14ac:dyDescent="0.25">
      <c r="A372" s="39" t="s">
        <v>961</v>
      </c>
      <c r="B372" s="39" t="s">
        <v>962</v>
      </c>
      <c r="C372" s="40">
        <v>5</v>
      </c>
      <c r="D372" s="41" t="s">
        <v>449</v>
      </c>
    </row>
    <row r="373" spans="1:4" x14ac:dyDescent="0.25">
      <c r="A373" s="39" t="s">
        <v>963</v>
      </c>
      <c r="B373" s="39" t="s">
        <v>964</v>
      </c>
      <c r="C373" s="40">
        <v>5</v>
      </c>
      <c r="D373" s="41" t="s">
        <v>449</v>
      </c>
    </row>
    <row r="374" spans="1:4" x14ac:dyDescent="0.25">
      <c r="A374" s="39" t="s">
        <v>965</v>
      </c>
      <c r="B374" s="39" t="s">
        <v>966</v>
      </c>
      <c r="C374" s="40">
        <v>5</v>
      </c>
      <c r="D374" s="41" t="s">
        <v>449</v>
      </c>
    </row>
    <row r="375" spans="1:4" x14ac:dyDescent="0.25">
      <c r="A375" s="39" t="s">
        <v>967</v>
      </c>
      <c r="B375" s="39" t="s">
        <v>968</v>
      </c>
      <c r="C375" s="40">
        <v>3</v>
      </c>
      <c r="D375" s="41">
        <v>230000</v>
      </c>
    </row>
    <row r="376" spans="1:4" x14ac:dyDescent="0.25">
      <c r="A376" s="39" t="s">
        <v>969</v>
      </c>
      <c r="B376" s="39" t="s">
        <v>970</v>
      </c>
      <c r="C376" s="40">
        <v>4</v>
      </c>
      <c r="D376" s="41">
        <v>231000</v>
      </c>
    </row>
    <row r="377" spans="1:4" x14ac:dyDescent="0.25">
      <c r="A377" s="39" t="s">
        <v>971</v>
      </c>
      <c r="B377" s="39" t="s">
        <v>972</v>
      </c>
      <c r="C377" s="40">
        <v>5</v>
      </c>
      <c r="D377" s="41">
        <v>231100</v>
      </c>
    </row>
    <row r="378" spans="1:4" x14ac:dyDescent="0.25">
      <c r="A378" s="39" t="s">
        <v>973</v>
      </c>
      <c r="B378" s="39" t="s">
        <v>974</v>
      </c>
      <c r="C378" s="40">
        <v>5</v>
      </c>
      <c r="D378" s="41" t="s">
        <v>449</v>
      </c>
    </row>
    <row r="379" spans="1:4" x14ac:dyDescent="0.25">
      <c r="A379" s="39" t="s">
        <v>975</v>
      </c>
      <c r="B379" s="39" t="s">
        <v>976</v>
      </c>
      <c r="C379" s="40">
        <v>5</v>
      </c>
      <c r="D379" s="41">
        <v>231300</v>
      </c>
    </row>
    <row r="380" spans="1:4" x14ac:dyDescent="0.25">
      <c r="A380" s="39" t="s">
        <v>977</v>
      </c>
      <c r="B380" s="39" t="s">
        <v>978</v>
      </c>
      <c r="C380" s="40">
        <v>4</v>
      </c>
      <c r="D380" s="41" t="s">
        <v>266</v>
      </c>
    </row>
    <row r="381" spans="1:4" x14ac:dyDescent="0.25">
      <c r="A381" s="39" t="s">
        <v>979</v>
      </c>
      <c r="B381" s="39" t="s">
        <v>980</v>
      </c>
      <c r="C381" s="40">
        <v>5</v>
      </c>
      <c r="D381" s="41" t="s">
        <v>449</v>
      </c>
    </row>
    <row r="382" spans="1:4" x14ac:dyDescent="0.25">
      <c r="A382" s="39" t="s">
        <v>981</v>
      </c>
      <c r="B382" s="39" t="s">
        <v>982</v>
      </c>
      <c r="C382" s="40">
        <v>5</v>
      </c>
      <c r="D382" s="41">
        <v>237113</v>
      </c>
    </row>
    <row r="383" spans="1:4" x14ac:dyDescent="0.25">
      <c r="A383" s="39" t="s">
        <v>983</v>
      </c>
      <c r="B383" s="39" t="s">
        <v>984</v>
      </c>
      <c r="C383" s="40">
        <v>5</v>
      </c>
      <c r="D383" s="41" t="s">
        <v>449</v>
      </c>
    </row>
    <row r="384" spans="1:4" x14ac:dyDescent="0.25">
      <c r="A384" s="39" t="s">
        <v>985</v>
      </c>
      <c r="B384" s="39" t="s">
        <v>986</v>
      </c>
      <c r="C384" s="40">
        <v>5</v>
      </c>
      <c r="D384" s="41" t="s">
        <v>449</v>
      </c>
    </row>
    <row r="385" spans="1:4" x14ac:dyDescent="0.25">
      <c r="A385" s="39" t="s">
        <v>987</v>
      </c>
      <c r="B385" s="39" t="s">
        <v>988</v>
      </c>
      <c r="C385" s="40">
        <v>4</v>
      </c>
      <c r="D385" s="41" t="s">
        <v>266</v>
      </c>
    </row>
    <row r="386" spans="1:4" x14ac:dyDescent="0.25">
      <c r="A386" s="39" t="s">
        <v>989</v>
      </c>
      <c r="B386" s="39" t="s">
        <v>990</v>
      </c>
      <c r="C386" s="40">
        <v>5</v>
      </c>
      <c r="D386" s="41" t="s">
        <v>449</v>
      </c>
    </row>
    <row r="387" spans="1:4" x14ac:dyDescent="0.25">
      <c r="A387" s="39" t="s">
        <v>991</v>
      </c>
      <c r="B387" s="39" t="s">
        <v>992</v>
      </c>
      <c r="C387" s="40">
        <v>5</v>
      </c>
      <c r="D387" s="41">
        <v>237600</v>
      </c>
    </row>
    <row r="388" spans="1:4" x14ac:dyDescent="0.25">
      <c r="A388" s="39" t="s">
        <v>993</v>
      </c>
      <c r="B388" s="39" t="s">
        <v>994</v>
      </c>
      <c r="C388" s="40">
        <v>5</v>
      </c>
      <c r="D388" s="41" t="s">
        <v>449</v>
      </c>
    </row>
    <row r="389" spans="1:4" x14ac:dyDescent="0.25">
      <c r="A389" s="39" t="s">
        <v>995</v>
      </c>
      <c r="B389" s="39" t="s">
        <v>996</v>
      </c>
      <c r="C389" s="40">
        <v>5</v>
      </c>
      <c r="D389" s="41" t="s">
        <v>449</v>
      </c>
    </row>
    <row r="390" spans="1:4" x14ac:dyDescent="0.25">
      <c r="A390" s="39" t="s">
        <v>997</v>
      </c>
      <c r="B390" s="39" t="s">
        <v>998</v>
      </c>
      <c r="C390" s="40">
        <v>5</v>
      </c>
      <c r="D390" s="41" t="s">
        <v>449</v>
      </c>
    </row>
    <row r="391" spans="1:4" x14ac:dyDescent="0.25">
      <c r="A391" s="39" t="s">
        <v>999</v>
      </c>
      <c r="B391" s="39" t="s">
        <v>1000</v>
      </c>
      <c r="C391" s="40">
        <v>4</v>
      </c>
      <c r="D391" s="41" t="s">
        <v>266</v>
      </c>
    </row>
    <row r="392" spans="1:4" x14ac:dyDescent="0.25">
      <c r="A392" s="39" t="s">
        <v>1001</v>
      </c>
      <c r="B392" s="39" t="s">
        <v>1002</v>
      </c>
      <c r="C392" s="40">
        <v>5</v>
      </c>
      <c r="D392" s="41" t="s">
        <v>449</v>
      </c>
    </row>
    <row r="393" spans="1:4" x14ac:dyDescent="0.25">
      <c r="A393" s="39" t="s">
        <v>1003</v>
      </c>
      <c r="B393" s="39" t="s">
        <v>1004</v>
      </c>
      <c r="C393" s="40">
        <v>5</v>
      </c>
      <c r="D393" s="41" t="s">
        <v>449</v>
      </c>
    </row>
    <row r="394" spans="1:4" x14ac:dyDescent="0.25">
      <c r="A394" s="39" t="s">
        <v>1005</v>
      </c>
      <c r="B394" s="39" t="s">
        <v>1006</v>
      </c>
      <c r="C394" s="40">
        <v>5</v>
      </c>
      <c r="D394" s="41" t="s">
        <v>449</v>
      </c>
    </row>
    <row r="395" spans="1:4" x14ac:dyDescent="0.25">
      <c r="A395" s="39" t="s">
        <v>1007</v>
      </c>
      <c r="B395" s="39" t="s">
        <v>1008</v>
      </c>
      <c r="C395" s="40">
        <v>5</v>
      </c>
      <c r="D395" s="41" t="s">
        <v>449</v>
      </c>
    </row>
    <row r="396" spans="1:4" x14ac:dyDescent="0.25">
      <c r="A396" s="39" t="s">
        <v>1009</v>
      </c>
      <c r="B396" s="39" t="s">
        <v>1010</v>
      </c>
      <c r="C396" s="40">
        <v>4</v>
      </c>
      <c r="D396" s="41" t="s">
        <v>266</v>
      </c>
    </row>
    <row r="397" spans="1:4" x14ac:dyDescent="0.25">
      <c r="A397" s="39" t="s">
        <v>1011</v>
      </c>
      <c r="B397" s="39" t="s">
        <v>1012</v>
      </c>
      <c r="C397" s="40">
        <v>5</v>
      </c>
      <c r="D397" s="41" t="s">
        <v>449</v>
      </c>
    </row>
    <row r="398" spans="1:4" x14ac:dyDescent="0.25">
      <c r="A398" s="39" t="s">
        <v>1013</v>
      </c>
      <c r="B398" s="39" t="s">
        <v>1014</v>
      </c>
      <c r="C398" s="40">
        <v>5</v>
      </c>
      <c r="D398" s="41" t="s">
        <v>449</v>
      </c>
    </row>
    <row r="399" spans="1:4" x14ac:dyDescent="0.25">
      <c r="A399" s="39" t="s">
        <v>1015</v>
      </c>
      <c r="B399" s="39" t="s">
        <v>1016</v>
      </c>
      <c r="C399" s="40">
        <v>5</v>
      </c>
      <c r="D399" s="41" t="s">
        <v>449</v>
      </c>
    </row>
    <row r="400" spans="1:4" x14ac:dyDescent="0.25">
      <c r="A400" s="39" t="s">
        <v>1017</v>
      </c>
      <c r="B400" s="39" t="s">
        <v>1018</v>
      </c>
      <c r="C400" s="40">
        <v>5</v>
      </c>
      <c r="D400" s="41" t="s">
        <v>449</v>
      </c>
    </row>
    <row r="401" spans="1:4" x14ac:dyDescent="0.25">
      <c r="A401" s="39" t="s">
        <v>1019</v>
      </c>
      <c r="B401" s="39" t="s">
        <v>1020</v>
      </c>
      <c r="C401" s="40">
        <v>5</v>
      </c>
      <c r="D401" s="41">
        <v>237200</v>
      </c>
    </row>
    <row r="402" spans="1:4" x14ac:dyDescent="0.25">
      <c r="A402" s="39" t="s">
        <v>1021</v>
      </c>
      <c r="B402" s="39" t="s">
        <v>1022</v>
      </c>
      <c r="C402" s="40">
        <v>5</v>
      </c>
      <c r="D402" s="41">
        <v>234000</v>
      </c>
    </row>
    <row r="403" spans="1:4" x14ac:dyDescent="0.25">
      <c r="A403" s="39" t="s">
        <v>1023</v>
      </c>
      <c r="B403" s="39" t="s">
        <v>1024</v>
      </c>
      <c r="C403" s="40">
        <v>5</v>
      </c>
      <c r="D403" s="41" t="s">
        <v>449</v>
      </c>
    </row>
    <row r="404" spans="1:4" x14ac:dyDescent="0.25">
      <c r="A404" s="39" t="s">
        <v>1025</v>
      </c>
      <c r="B404" s="39" t="s">
        <v>1026</v>
      </c>
      <c r="C404" s="40">
        <v>4</v>
      </c>
      <c r="D404" s="41" t="s">
        <v>266</v>
      </c>
    </row>
    <row r="405" spans="1:4" x14ac:dyDescent="0.25">
      <c r="A405" s="39" t="s">
        <v>1027</v>
      </c>
      <c r="B405" s="39" t="s">
        <v>1028</v>
      </c>
      <c r="C405" s="40">
        <v>5</v>
      </c>
      <c r="D405" s="41" t="s">
        <v>449</v>
      </c>
    </row>
    <row r="406" spans="1:4" x14ac:dyDescent="0.25">
      <c r="A406" s="39" t="s">
        <v>1029</v>
      </c>
      <c r="B406" s="39" t="s">
        <v>1030</v>
      </c>
      <c r="C406" s="40">
        <v>3</v>
      </c>
      <c r="D406" s="41" t="s">
        <v>266</v>
      </c>
    </row>
    <row r="407" spans="1:4" x14ac:dyDescent="0.25">
      <c r="A407" s="39" t="s">
        <v>1031</v>
      </c>
      <c r="B407" s="39" t="s">
        <v>1032</v>
      </c>
      <c r="C407" s="40">
        <v>4</v>
      </c>
      <c r="D407" s="41">
        <v>210000</v>
      </c>
    </row>
    <row r="408" spans="1:4" x14ac:dyDescent="0.25">
      <c r="A408" s="39" t="s">
        <v>1033</v>
      </c>
      <c r="B408" s="39" t="s">
        <v>1034</v>
      </c>
      <c r="C408" s="40">
        <v>5</v>
      </c>
      <c r="D408" s="41" t="s">
        <v>449</v>
      </c>
    </row>
    <row r="409" spans="1:4" x14ac:dyDescent="0.25">
      <c r="A409" s="39" t="s">
        <v>1035</v>
      </c>
      <c r="B409" s="39" t="s">
        <v>1036</v>
      </c>
      <c r="C409" s="40">
        <v>5</v>
      </c>
      <c r="D409" s="41" t="s">
        <v>449</v>
      </c>
    </row>
    <row r="410" spans="1:4" x14ac:dyDescent="0.25">
      <c r="A410" s="39" t="s">
        <v>1037</v>
      </c>
      <c r="B410" s="39" t="s">
        <v>1038</v>
      </c>
      <c r="C410" s="40">
        <v>5</v>
      </c>
      <c r="D410" s="41" t="s">
        <v>449</v>
      </c>
    </row>
    <row r="411" spans="1:4" x14ac:dyDescent="0.25">
      <c r="A411" s="39" t="s">
        <v>1039</v>
      </c>
      <c r="B411" s="39" t="s">
        <v>1040</v>
      </c>
      <c r="C411" s="40">
        <v>4</v>
      </c>
      <c r="D411" s="41">
        <v>104400</v>
      </c>
    </row>
    <row r="412" spans="1:4" x14ac:dyDescent="0.25">
      <c r="A412" s="39" t="s">
        <v>1041</v>
      </c>
      <c r="B412" s="39" t="s">
        <v>1042</v>
      </c>
      <c r="C412" s="40">
        <v>5</v>
      </c>
      <c r="D412" s="41">
        <v>104413</v>
      </c>
    </row>
    <row r="413" spans="1:4" x14ac:dyDescent="0.25">
      <c r="A413" s="39" t="s">
        <v>1043</v>
      </c>
      <c r="B413" s="39" t="s">
        <v>1044</v>
      </c>
      <c r="C413" s="40">
        <v>5</v>
      </c>
      <c r="D413" s="41">
        <v>104416</v>
      </c>
    </row>
    <row r="414" spans="1:4" x14ac:dyDescent="0.25">
      <c r="A414" s="39" t="s">
        <v>1045</v>
      </c>
      <c r="B414" s="39" t="s">
        <v>1046</v>
      </c>
      <c r="C414" s="40">
        <v>5</v>
      </c>
      <c r="D414" s="41">
        <v>104433</v>
      </c>
    </row>
    <row r="415" spans="1:4" x14ac:dyDescent="0.25">
      <c r="A415" s="39" t="s">
        <v>1047</v>
      </c>
      <c r="B415" s="39" t="s">
        <v>1048</v>
      </c>
      <c r="C415" s="40">
        <v>5</v>
      </c>
      <c r="D415" s="41">
        <v>104443</v>
      </c>
    </row>
    <row r="416" spans="1:4" x14ac:dyDescent="0.25">
      <c r="A416" s="39" t="s">
        <v>1049</v>
      </c>
      <c r="B416" s="39" t="s">
        <v>1050</v>
      </c>
      <c r="C416" s="40">
        <v>3</v>
      </c>
      <c r="D416" s="41">
        <v>260000</v>
      </c>
    </row>
    <row r="417" spans="1:4" x14ac:dyDescent="0.25">
      <c r="A417" s="39" t="s">
        <v>1051</v>
      </c>
      <c r="B417" s="39" t="s">
        <v>1052</v>
      </c>
      <c r="C417" s="40">
        <v>4</v>
      </c>
      <c r="D417" s="41" t="s">
        <v>266</v>
      </c>
    </row>
    <row r="418" spans="1:4" x14ac:dyDescent="0.25">
      <c r="A418" s="39" t="s">
        <v>1053</v>
      </c>
      <c r="B418" s="39" t="s">
        <v>1054</v>
      </c>
      <c r="C418" s="40">
        <v>5</v>
      </c>
      <c r="D418" s="41" t="s">
        <v>449</v>
      </c>
    </row>
    <row r="419" spans="1:4" x14ac:dyDescent="0.25">
      <c r="A419" s="39" t="s">
        <v>1055</v>
      </c>
      <c r="B419" s="39" t="s">
        <v>1056</v>
      </c>
      <c r="C419" s="40">
        <v>5</v>
      </c>
      <c r="D419" s="41" t="s">
        <v>449</v>
      </c>
    </row>
    <row r="420" spans="1:4" x14ac:dyDescent="0.25">
      <c r="A420" s="39" t="s">
        <v>1057</v>
      </c>
      <c r="B420" s="39" t="s">
        <v>1058</v>
      </c>
      <c r="C420" s="40">
        <v>5</v>
      </c>
      <c r="D420" s="41">
        <v>263100</v>
      </c>
    </row>
    <row r="421" spans="1:4" x14ac:dyDescent="0.25">
      <c r="A421" s="39" t="s">
        <v>1059</v>
      </c>
      <c r="B421" s="39" t="s">
        <v>1060</v>
      </c>
      <c r="C421" s="40">
        <v>5</v>
      </c>
      <c r="D421" s="41">
        <v>481800</v>
      </c>
    </row>
    <row r="422" spans="1:4" x14ac:dyDescent="0.25">
      <c r="A422" s="39" t="s">
        <v>1061</v>
      </c>
      <c r="B422" s="39" t="s">
        <v>1062</v>
      </c>
      <c r="C422" s="40">
        <v>5</v>
      </c>
      <c r="D422" s="41" t="s">
        <v>449</v>
      </c>
    </row>
    <row r="423" spans="1:4" x14ac:dyDescent="0.25">
      <c r="A423" s="39" t="s">
        <v>1063</v>
      </c>
      <c r="B423" s="39" t="s">
        <v>1064</v>
      </c>
      <c r="C423" s="40">
        <v>5</v>
      </c>
      <c r="D423" s="41">
        <v>263600</v>
      </c>
    </row>
    <row r="424" spans="1:4" x14ac:dyDescent="0.25">
      <c r="A424" s="39" t="s">
        <v>1065</v>
      </c>
      <c r="B424" s="39" t="s">
        <v>1066</v>
      </c>
      <c r="C424" s="40">
        <v>5</v>
      </c>
      <c r="D424" s="41" t="s">
        <v>449</v>
      </c>
    </row>
    <row r="425" spans="1:4" x14ac:dyDescent="0.25">
      <c r="A425" s="39" t="s">
        <v>1067</v>
      </c>
      <c r="B425" s="39" t="s">
        <v>1068</v>
      </c>
      <c r="C425" s="40">
        <v>4</v>
      </c>
      <c r="D425" s="41" t="s">
        <v>266</v>
      </c>
    </row>
    <row r="426" spans="1:4" x14ac:dyDescent="0.25">
      <c r="A426" s="39" t="s">
        <v>1069</v>
      </c>
      <c r="B426" s="39" t="s">
        <v>1070</v>
      </c>
      <c r="C426" s="40">
        <v>5</v>
      </c>
      <c r="D426" s="41" t="s">
        <v>449</v>
      </c>
    </row>
    <row r="427" spans="1:4" x14ac:dyDescent="0.25">
      <c r="A427" s="39" t="s">
        <v>1071</v>
      </c>
      <c r="B427" s="39" t="s">
        <v>1072</v>
      </c>
      <c r="C427" s="40">
        <v>5</v>
      </c>
      <c r="D427" s="41" t="s">
        <v>449</v>
      </c>
    </row>
    <row r="428" spans="1:4" x14ac:dyDescent="0.25">
      <c r="A428" s="39" t="s">
        <v>1073</v>
      </c>
      <c r="B428" s="39" t="s">
        <v>1074</v>
      </c>
      <c r="C428" s="40">
        <v>5</v>
      </c>
      <c r="D428" s="41" t="s">
        <v>449</v>
      </c>
    </row>
    <row r="429" spans="1:4" x14ac:dyDescent="0.25">
      <c r="A429" s="39" t="s">
        <v>1075</v>
      </c>
      <c r="B429" s="39" t="s">
        <v>1076</v>
      </c>
      <c r="C429" s="40">
        <v>5</v>
      </c>
      <c r="D429" s="41" t="s">
        <v>449</v>
      </c>
    </row>
    <row r="430" spans="1:4" x14ac:dyDescent="0.25">
      <c r="A430" s="39" t="s">
        <v>1077</v>
      </c>
      <c r="B430" s="39" t="s">
        <v>1078</v>
      </c>
      <c r="C430" s="40">
        <v>4</v>
      </c>
      <c r="D430" s="41" t="s">
        <v>266</v>
      </c>
    </row>
    <row r="431" spans="1:4" x14ac:dyDescent="0.25">
      <c r="A431" s="39" t="s">
        <v>1079</v>
      </c>
      <c r="B431" s="39" t="s">
        <v>1080</v>
      </c>
      <c r="C431" s="40">
        <v>5</v>
      </c>
      <c r="D431" s="41" t="s">
        <v>449</v>
      </c>
    </row>
    <row r="432" spans="1:4" x14ac:dyDescent="0.25">
      <c r="A432" s="39" t="s">
        <v>1081</v>
      </c>
      <c r="B432" s="39" t="s">
        <v>1082</v>
      </c>
      <c r="C432" s="40">
        <v>5</v>
      </c>
      <c r="D432" s="41">
        <v>262726</v>
      </c>
    </row>
    <row r="433" spans="1:4" x14ac:dyDescent="0.25">
      <c r="A433" s="39" t="s">
        <v>1083</v>
      </c>
      <c r="B433" s="39" t="s">
        <v>1084</v>
      </c>
      <c r="C433" s="40">
        <v>5</v>
      </c>
      <c r="D433" s="41" t="s">
        <v>449</v>
      </c>
    </row>
    <row r="434" spans="1:4" x14ac:dyDescent="0.25">
      <c r="A434" s="39" t="s">
        <v>1085</v>
      </c>
      <c r="B434" s="39" t="s">
        <v>1086</v>
      </c>
      <c r="C434" s="40">
        <v>4</v>
      </c>
      <c r="D434" s="41">
        <v>265000</v>
      </c>
    </row>
    <row r="435" spans="1:4" x14ac:dyDescent="0.25">
      <c r="A435" s="39" t="s">
        <v>1087</v>
      </c>
      <c r="B435" s="39" t="s">
        <v>1088</v>
      </c>
      <c r="C435" s="40">
        <v>5</v>
      </c>
      <c r="D435" s="41" t="s">
        <v>449</v>
      </c>
    </row>
    <row r="436" spans="1:4" x14ac:dyDescent="0.25">
      <c r="A436" s="39" t="s">
        <v>1089</v>
      </c>
      <c r="B436" s="39" t="s">
        <v>1090</v>
      </c>
      <c r="C436" s="40">
        <v>5</v>
      </c>
      <c r="D436" s="41" t="s">
        <v>449</v>
      </c>
    </row>
    <row r="437" spans="1:4" x14ac:dyDescent="0.25">
      <c r="A437" s="39" t="s">
        <v>1091</v>
      </c>
      <c r="B437" s="39" t="s">
        <v>1092</v>
      </c>
      <c r="C437" s="40">
        <v>5</v>
      </c>
      <c r="D437" s="41" t="s">
        <v>449</v>
      </c>
    </row>
    <row r="438" spans="1:4" x14ac:dyDescent="0.25">
      <c r="A438" s="39" t="s">
        <v>1093</v>
      </c>
      <c r="B438" s="39" t="s">
        <v>1094</v>
      </c>
      <c r="C438" s="40">
        <v>5</v>
      </c>
      <c r="D438" s="41" t="s">
        <v>449</v>
      </c>
    </row>
    <row r="439" spans="1:4" x14ac:dyDescent="0.25">
      <c r="A439" s="39" t="s">
        <v>1095</v>
      </c>
      <c r="B439" s="39" t="s">
        <v>1096</v>
      </c>
      <c r="C439" s="40">
        <v>4</v>
      </c>
      <c r="D439" s="41" t="s">
        <v>266</v>
      </c>
    </row>
    <row r="440" spans="1:4" x14ac:dyDescent="0.25">
      <c r="A440" s="39" t="s">
        <v>1097</v>
      </c>
      <c r="B440" s="39" t="s">
        <v>1098</v>
      </c>
      <c r="C440" s="40">
        <v>5</v>
      </c>
      <c r="D440" s="41" t="s">
        <v>449</v>
      </c>
    </row>
    <row r="441" spans="1:4" x14ac:dyDescent="0.25">
      <c r="A441" s="39" t="s">
        <v>1099</v>
      </c>
      <c r="B441" s="39" t="s">
        <v>1100</v>
      </c>
      <c r="C441" s="40">
        <v>5</v>
      </c>
      <c r="D441" s="41" t="s">
        <v>449</v>
      </c>
    </row>
    <row r="442" spans="1:4" x14ac:dyDescent="0.25">
      <c r="A442" s="39" t="s">
        <v>1101</v>
      </c>
      <c r="B442" s="39" t="s">
        <v>1102</v>
      </c>
      <c r="C442" s="40">
        <v>5</v>
      </c>
      <c r="D442" s="41">
        <v>264300</v>
      </c>
    </row>
    <row r="443" spans="1:4" x14ac:dyDescent="0.25">
      <c r="A443" s="39" t="s">
        <v>1103</v>
      </c>
      <c r="B443" s="39" t="s">
        <v>1104</v>
      </c>
      <c r="C443" s="40">
        <v>5</v>
      </c>
      <c r="D443" s="41" t="s">
        <v>449</v>
      </c>
    </row>
    <row r="444" spans="1:4" x14ac:dyDescent="0.25">
      <c r="A444" s="39" t="s">
        <v>1105</v>
      </c>
      <c r="B444" s="39" t="s">
        <v>1106</v>
      </c>
      <c r="C444" s="40">
        <v>3</v>
      </c>
      <c r="D444" s="41">
        <v>270000</v>
      </c>
    </row>
    <row r="445" spans="1:4" x14ac:dyDescent="0.25">
      <c r="A445" s="39" t="s">
        <v>1107</v>
      </c>
      <c r="B445" s="39" t="s">
        <v>1108</v>
      </c>
      <c r="C445" s="40">
        <v>4</v>
      </c>
      <c r="D445" s="41">
        <v>272000</v>
      </c>
    </row>
    <row r="446" spans="1:4" x14ac:dyDescent="0.25">
      <c r="A446" s="39" t="s">
        <v>1109</v>
      </c>
      <c r="B446" s="39" t="s">
        <v>1110</v>
      </c>
      <c r="C446" s="40">
        <v>5</v>
      </c>
      <c r="D446" s="41" t="s">
        <v>449</v>
      </c>
    </row>
    <row r="447" spans="1:4" x14ac:dyDescent="0.25">
      <c r="A447" s="39" t="s">
        <v>1111</v>
      </c>
      <c r="B447" s="39" t="s">
        <v>1112</v>
      </c>
      <c r="C447" s="40">
        <v>5</v>
      </c>
      <c r="D447" s="41" t="s">
        <v>449</v>
      </c>
    </row>
    <row r="448" spans="1:4" x14ac:dyDescent="0.25">
      <c r="A448" s="39" t="s">
        <v>1113</v>
      </c>
      <c r="B448" s="39" t="s">
        <v>1114</v>
      </c>
      <c r="C448" s="40">
        <v>5</v>
      </c>
      <c r="D448" s="41" t="s">
        <v>449</v>
      </c>
    </row>
    <row r="449" spans="1:4" x14ac:dyDescent="0.25">
      <c r="A449" s="39" t="s">
        <v>1115</v>
      </c>
      <c r="B449" s="39" t="s">
        <v>1116</v>
      </c>
      <c r="C449" s="40">
        <v>5</v>
      </c>
      <c r="D449" s="41" t="s">
        <v>449</v>
      </c>
    </row>
    <row r="450" spans="1:4" x14ac:dyDescent="0.25">
      <c r="A450" s="39" t="s">
        <v>1117</v>
      </c>
      <c r="B450" s="39" t="s">
        <v>1118</v>
      </c>
      <c r="C450" s="40">
        <v>5</v>
      </c>
      <c r="D450" s="41" t="s">
        <v>449</v>
      </c>
    </row>
    <row r="451" spans="1:4" x14ac:dyDescent="0.25">
      <c r="A451" s="39" t="s">
        <v>1119</v>
      </c>
      <c r="B451" s="39" t="s">
        <v>1120</v>
      </c>
      <c r="C451" s="40">
        <v>4</v>
      </c>
      <c r="D451" s="41">
        <v>273000</v>
      </c>
    </row>
    <row r="452" spans="1:4" x14ac:dyDescent="0.25">
      <c r="A452" s="39" t="s">
        <v>1121</v>
      </c>
      <c r="B452" s="39" t="s">
        <v>1122</v>
      </c>
      <c r="C452" s="40">
        <v>5</v>
      </c>
      <c r="D452" s="41" t="s">
        <v>449</v>
      </c>
    </row>
    <row r="453" spans="1:4" x14ac:dyDescent="0.25">
      <c r="A453" s="39" t="s">
        <v>1123</v>
      </c>
      <c r="B453" s="39" t="s">
        <v>1124</v>
      </c>
      <c r="C453" s="40">
        <v>5</v>
      </c>
      <c r="D453" s="41" t="s">
        <v>449</v>
      </c>
    </row>
    <row r="454" spans="1:4" x14ac:dyDescent="0.25">
      <c r="A454" s="39" t="s">
        <v>1125</v>
      </c>
      <c r="B454" s="39" t="s">
        <v>1126</v>
      </c>
      <c r="C454" s="40">
        <v>5</v>
      </c>
      <c r="D454" s="41" t="s">
        <v>449</v>
      </c>
    </row>
    <row r="455" spans="1:4" x14ac:dyDescent="0.25">
      <c r="A455" s="39" t="s">
        <v>1127</v>
      </c>
      <c r="B455" s="39" t="s">
        <v>1128</v>
      </c>
      <c r="C455" s="40">
        <v>5</v>
      </c>
      <c r="D455" s="41" t="s">
        <v>449</v>
      </c>
    </row>
    <row r="456" spans="1:4" x14ac:dyDescent="0.25">
      <c r="A456" s="39" t="s">
        <v>1129</v>
      </c>
      <c r="B456" s="39" t="s">
        <v>1130</v>
      </c>
      <c r="C456" s="40">
        <v>5</v>
      </c>
      <c r="D456" s="41" t="s">
        <v>449</v>
      </c>
    </row>
    <row r="457" spans="1:4" x14ac:dyDescent="0.25">
      <c r="A457" s="39" t="s">
        <v>1131</v>
      </c>
      <c r="B457" s="39" t="s">
        <v>1132</v>
      </c>
      <c r="C457" s="40">
        <v>4</v>
      </c>
      <c r="D457" s="41">
        <v>274000</v>
      </c>
    </row>
    <row r="458" spans="1:4" x14ac:dyDescent="0.25">
      <c r="A458" s="39" t="s">
        <v>1133</v>
      </c>
      <c r="B458" s="39" t="s">
        <v>1134</v>
      </c>
      <c r="C458" s="40">
        <v>5</v>
      </c>
      <c r="D458" s="41" t="s">
        <v>449</v>
      </c>
    </row>
    <row r="459" spans="1:4" x14ac:dyDescent="0.25">
      <c r="A459" s="39" t="s">
        <v>1135</v>
      </c>
      <c r="B459" s="39" t="s">
        <v>1136</v>
      </c>
      <c r="C459" s="40">
        <v>5</v>
      </c>
      <c r="D459" s="41" t="s">
        <v>449</v>
      </c>
    </row>
    <row r="460" spans="1:4" x14ac:dyDescent="0.25">
      <c r="A460" s="39" t="s">
        <v>1137</v>
      </c>
      <c r="B460" s="39" t="s">
        <v>1138</v>
      </c>
      <c r="C460" s="40">
        <v>4</v>
      </c>
      <c r="D460" s="41">
        <v>275000</v>
      </c>
    </row>
    <row r="461" spans="1:4" x14ac:dyDescent="0.25">
      <c r="A461" s="39" t="s">
        <v>1139</v>
      </c>
      <c r="B461" s="39" t="s">
        <v>1140</v>
      </c>
      <c r="C461" s="40">
        <v>5</v>
      </c>
      <c r="D461" s="41" t="s">
        <v>449</v>
      </c>
    </row>
    <row r="462" spans="1:4" x14ac:dyDescent="0.25">
      <c r="A462" s="39" t="s">
        <v>1141</v>
      </c>
      <c r="B462" s="39" t="s">
        <v>1142</v>
      </c>
      <c r="C462" s="40">
        <v>5</v>
      </c>
      <c r="D462" s="41" t="s">
        <v>449</v>
      </c>
    </row>
    <row r="463" spans="1:4" x14ac:dyDescent="0.25">
      <c r="A463" s="39" t="s">
        <v>1143</v>
      </c>
      <c r="B463" s="39" t="s">
        <v>1144</v>
      </c>
      <c r="C463" s="40">
        <v>5</v>
      </c>
      <c r="D463" s="41" t="s">
        <v>449</v>
      </c>
    </row>
    <row r="464" spans="1:4" x14ac:dyDescent="0.25">
      <c r="A464" s="39" t="s">
        <v>1145</v>
      </c>
      <c r="B464" s="39" t="s">
        <v>1146</v>
      </c>
      <c r="C464" s="40">
        <v>4</v>
      </c>
      <c r="D464" s="41" t="s">
        <v>449</v>
      </c>
    </row>
    <row r="465" spans="1:4" x14ac:dyDescent="0.25">
      <c r="A465" s="39" t="s">
        <v>1147</v>
      </c>
      <c r="B465" s="39" t="s">
        <v>1148</v>
      </c>
      <c r="C465" s="40">
        <v>5</v>
      </c>
      <c r="D465" s="41" t="s">
        <v>449</v>
      </c>
    </row>
    <row r="466" spans="1:4" x14ac:dyDescent="0.25">
      <c r="A466" s="39" t="s">
        <v>1149</v>
      </c>
      <c r="B466" s="39" t="s">
        <v>1150</v>
      </c>
      <c r="C466" s="40">
        <v>3</v>
      </c>
      <c r="D466" s="41">
        <v>280000</v>
      </c>
    </row>
    <row r="467" spans="1:4" x14ac:dyDescent="0.25">
      <c r="A467" s="39" t="s">
        <v>1151</v>
      </c>
      <c r="B467" s="39" t="s">
        <v>1152</v>
      </c>
      <c r="C467" s="40">
        <v>4</v>
      </c>
      <c r="D467" s="41">
        <v>281000</v>
      </c>
    </row>
    <row r="468" spans="1:4" x14ac:dyDescent="0.25">
      <c r="A468" s="39" t="s">
        <v>1153</v>
      </c>
      <c r="B468" s="39" t="s">
        <v>1154</v>
      </c>
      <c r="C468" s="40">
        <v>5</v>
      </c>
      <c r="D468" s="41" t="s">
        <v>449</v>
      </c>
    </row>
    <row r="469" spans="1:4" x14ac:dyDescent="0.25">
      <c r="A469" s="39" t="s">
        <v>1155</v>
      </c>
      <c r="B469" s="39" t="s">
        <v>1156</v>
      </c>
      <c r="C469" s="40">
        <v>5</v>
      </c>
      <c r="D469" s="41" t="s">
        <v>449</v>
      </c>
    </row>
    <row r="470" spans="1:4" x14ac:dyDescent="0.25">
      <c r="A470" s="39" t="s">
        <v>1157</v>
      </c>
      <c r="B470" s="39" t="s">
        <v>1158</v>
      </c>
      <c r="C470" s="40">
        <v>4</v>
      </c>
      <c r="D470" s="41">
        <v>282000</v>
      </c>
    </row>
    <row r="471" spans="1:4" x14ac:dyDescent="0.25">
      <c r="A471" s="39" t="s">
        <v>1159</v>
      </c>
      <c r="B471" s="39" t="s">
        <v>1160</v>
      </c>
      <c r="C471" s="40">
        <v>5</v>
      </c>
      <c r="D471" s="41" t="s">
        <v>449</v>
      </c>
    </row>
    <row r="472" spans="1:4" x14ac:dyDescent="0.25">
      <c r="A472" s="39" t="s">
        <v>1161</v>
      </c>
      <c r="B472" s="39" t="s">
        <v>1162</v>
      </c>
      <c r="C472" s="40">
        <v>5</v>
      </c>
      <c r="D472" s="41" t="s">
        <v>449</v>
      </c>
    </row>
    <row r="473" spans="1:4" x14ac:dyDescent="0.25">
      <c r="A473" s="39" t="s">
        <v>1163</v>
      </c>
      <c r="B473" s="39" t="s">
        <v>1164</v>
      </c>
      <c r="C473" s="40">
        <v>4</v>
      </c>
      <c r="D473" s="41">
        <v>283000</v>
      </c>
    </row>
    <row r="474" spans="1:4" x14ac:dyDescent="0.25">
      <c r="A474" s="39" t="s">
        <v>1165</v>
      </c>
      <c r="B474" s="39" t="s">
        <v>1166</v>
      </c>
      <c r="C474" s="40">
        <v>5</v>
      </c>
      <c r="D474" s="41" t="s">
        <v>449</v>
      </c>
    </row>
    <row r="475" spans="1:4" x14ac:dyDescent="0.25">
      <c r="A475" s="39" t="s">
        <v>1167</v>
      </c>
      <c r="B475" s="39" t="s">
        <v>1168</v>
      </c>
      <c r="C475" s="40">
        <v>5</v>
      </c>
      <c r="D475" s="41" t="s">
        <v>449</v>
      </c>
    </row>
    <row r="476" spans="1:4" x14ac:dyDescent="0.25">
      <c r="A476" s="39" t="s">
        <v>1169</v>
      </c>
      <c r="B476" s="39" t="s">
        <v>1170</v>
      </c>
      <c r="C476" s="40">
        <v>5</v>
      </c>
      <c r="D476" s="41" t="s">
        <v>449</v>
      </c>
    </row>
    <row r="477" spans="1:4" x14ac:dyDescent="0.25">
      <c r="A477" s="39" t="s">
        <v>1171</v>
      </c>
      <c r="B477" s="39" t="s">
        <v>1172</v>
      </c>
      <c r="C477" s="40">
        <v>5</v>
      </c>
      <c r="D477" s="41" t="s">
        <v>449</v>
      </c>
    </row>
    <row r="478" spans="1:4" x14ac:dyDescent="0.25">
      <c r="A478" s="39" t="s">
        <v>1173</v>
      </c>
      <c r="B478" s="39" t="s">
        <v>1174</v>
      </c>
      <c r="C478" s="40">
        <v>5</v>
      </c>
      <c r="D478" s="41" t="s">
        <v>449</v>
      </c>
    </row>
    <row r="479" spans="1:4" x14ac:dyDescent="0.25">
      <c r="A479" s="39" t="s">
        <v>1175</v>
      </c>
      <c r="B479" s="39" t="s">
        <v>1176</v>
      </c>
      <c r="C479" s="40">
        <v>5</v>
      </c>
      <c r="D479" s="41" t="s">
        <v>449</v>
      </c>
    </row>
    <row r="480" spans="1:4" x14ac:dyDescent="0.25">
      <c r="A480" s="39" t="s">
        <v>1177</v>
      </c>
      <c r="B480" s="39" t="s">
        <v>1178</v>
      </c>
      <c r="C480" s="40">
        <v>4</v>
      </c>
      <c r="D480" s="41">
        <v>284600</v>
      </c>
    </row>
    <row r="481" spans="1:4" x14ac:dyDescent="0.25">
      <c r="A481" s="39" t="s">
        <v>1179</v>
      </c>
      <c r="B481" s="39" t="s">
        <v>1180</v>
      </c>
      <c r="C481" s="40">
        <v>5</v>
      </c>
      <c r="D481" s="41" t="s">
        <v>449</v>
      </c>
    </row>
    <row r="482" spans="1:4" x14ac:dyDescent="0.25">
      <c r="A482" s="39" t="s">
        <v>1181</v>
      </c>
      <c r="B482" s="39" t="s">
        <v>1182</v>
      </c>
      <c r="C482" s="40">
        <v>4</v>
      </c>
      <c r="D482" s="41" t="s">
        <v>266</v>
      </c>
    </row>
    <row r="483" spans="1:4" x14ac:dyDescent="0.25">
      <c r="A483" s="39" t="s">
        <v>1183</v>
      </c>
      <c r="B483" s="39" t="s">
        <v>1148</v>
      </c>
      <c r="C483" s="40">
        <v>5</v>
      </c>
      <c r="D483" s="41" t="s">
        <v>449</v>
      </c>
    </row>
    <row r="484" spans="1:4" x14ac:dyDescent="0.25">
      <c r="A484" s="39" t="s">
        <v>1184</v>
      </c>
      <c r="B484" s="39" t="s">
        <v>1185</v>
      </c>
      <c r="C484" s="40">
        <v>3</v>
      </c>
      <c r="D484" s="41">
        <v>253000</v>
      </c>
    </row>
    <row r="485" spans="1:4" x14ac:dyDescent="0.25">
      <c r="A485" s="39" t="s">
        <v>1186</v>
      </c>
      <c r="B485" s="39" t="s">
        <v>1187</v>
      </c>
      <c r="C485" s="40">
        <v>4</v>
      </c>
      <c r="D485" s="41">
        <v>255000</v>
      </c>
    </row>
    <row r="486" spans="1:4" x14ac:dyDescent="0.25">
      <c r="A486" s="39" t="s">
        <v>1188</v>
      </c>
      <c r="B486" s="39" t="s">
        <v>1189</v>
      </c>
      <c r="C486" s="40">
        <v>5</v>
      </c>
      <c r="D486" s="41">
        <v>255100</v>
      </c>
    </row>
    <row r="487" spans="1:4" x14ac:dyDescent="0.25">
      <c r="A487" s="39" t="s">
        <v>1190</v>
      </c>
      <c r="B487" s="39" t="s">
        <v>1191</v>
      </c>
      <c r="C487" s="40">
        <v>5</v>
      </c>
      <c r="D487" s="41">
        <v>255200</v>
      </c>
    </row>
    <row r="488" spans="1:4" x14ac:dyDescent="0.25">
      <c r="A488" s="39" t="s">
        <v>1192</v>
      </c>
      <c r="B488" s="39" t="s">
        <v>1193</v>
      </c>
      <c r="C488" s="40">
        <v>5</v>
      </c>
      <c r="D488" s="41">
        <v>255300</v>
      </c>
    </row>
    <row r="489" spans="1:4" x14ac:dyDescent="0.25">
      <c r="A489" s="39" t="s">
        <v>1194</v>
      </c>
      <c r="B489" s="39" t="s">
        <v>1195</v>
      </c>
      <c r="C489" s="40">
        <v>5</v>
      </c>
      <c r="D489" s="41">
        <v>255400</v>
      </c>
    </row>
    <row r="490" spans="1:4" x14ac:dyDescent="0.25">
      <c r="A490" s="39" t="s">
        <v>1196</v>
      </c>
      <c r="B490" s="39" t="s">
        <v>1197</v>
      </c>
      <c r="C490" s="40">
        <v>5</v>
      </c>
      <c r="D490" s="41">
        <v>255500</v>
      </c>
    </row>
    <row r="491" spans="1:4" x14ac:dyDescent="0.25">
      <c r="A491" s="39" t="s">
        <v>1198</v>
      </c>
      <c r="B491" s="39" t="s">
        <v>1199</v>
      </c>
      <c r="C491" s="40">
        <v>5</v>
      </c>
      <c r="D491" s="41">
        <v>255600</v>
      </c>
    </row>
    <row r="492" spans="1:4" x14ac:dyDescent="0.25">
      <c r="A492" s="39" t="s">
        <v>1200</v>
      </c>
      <c r="B492" s="39" t="s">
        <v>1201</v>
      </c>
      <c r="C492" s="40">
        <v>5</v>
      </c>
      <c r="D492" s="41">
        <v>255700</v>
      </c>
    </row>
    <row r="493" spans="1:4" x14ac:dyDescent="0.25">
      <c r="A493" s="39" t="s">
        <v>1202</v>
      </c>
      <c r="B493" s="39" t="s">
        <v>1203</v>
      </c>
      <c r="C493" s="40">
        <v>5</v>
      </c>
      <c r="D493" s="41">
        <v>255800</v>
      </c>
    </row>
    <row r="494" spans="1:4" x14ac:dyDescent="0.25">
      <c r="A494" s="39" t="s">
        <v>1204</v>
      </c>
      <c r="B494" s="39" t="s">
        <v>1205</v>
      </c>
      <c r="C494" s="40">
        <v>5</v>
      </c>
      <c r="D494" s="41" t="s">
        <v>449</v>
      </c>
    </row>
    <row r="495" spans="1:4" x14ac:dyDescent="0.25">
      <c r="A495" s="39" t="s">
        <v>1206</v>
      </c>
      <c r="B495" s="39" t="s">
        <v>1207</v>
      </c>
      <c r="C495" s="40">
        <v>2</v>
      </c>
      <c r="D495" s="41" t="s">
        <v>266</v>
      </c>
    </row>
    <row r="496" spans="1:4" x14ac:dyDescent="0.25">
      <c r="A496" s="39" t="s">
        <v>1208</v>
      </c>
      <c r="B496" s="39" t="s">
        <v>1209</v>
      </c>
      <c r="C496" s="40">
        <v>3</v>
      </c>
      <c r="D496" s="41">
        <v>110000</v>
      </c>
    </row>
    <row r="497" spans="1:4" x14ac:dyDescent="0.25">
      <c r="A497" s="39" t="s">
        <v>1210</v>
      </c>
      <c r="B497" s="39" t="s">
        <v>1211</v>
      </c>
      <c r="C497" s="40">
        <v>4</v>
      </c>
      <c r="D497" s="41">
        <v>111000</v>
      </c>
    </row>
    <row r="498" spans="1:4" x14ac:dyDescent="0.25">
      <c r="A498" s="39" t="s">
        <v>1212</v>
      </c>
      <c r="B498" s="39" t="s">
        <v>1213</v>
      </c>
      <c r="C498" s="40">
        <v>5</v>
      </c>
      <c r="D498" s="41" t="s">
        <v>449</v>
      </c>
    </row>
    <row r="499" spans="1:4" x14ac:dyDescent="0.25">
      <c r="A499" s="39" t="s">
        <v>1214</v>
      </c>
      <c r="B499" s="39" t="s">
        <v>1215</v>
      </c>
      <c r="C499" s="40">
        <v>5</v>
      </c>
      <c r="D499" s="41" t="s">
        <v>449</v>
      </c>
    </row>
    <row r="500" spans="1:4" x14ac:dyDescent="0.25">
      <c r="A500" s="39" t="s">
        <v>1216</v>
      </c>
      <c r="B500" s="39" t="s">
        <v>1217</v>
      </c>
      <c r="C500" s="40">
        <v>5</v>
      </c>
      <c r="D500" s="41" t="s">
        <v>449</v>
      </c>
    </row>
    <row r="501" spans="1:4" x14ac:dyDescent="0.25">
      <c r="A501" s="39" t="s">
        <v>1218</v>
      </c>
      <c r="B501" s="39" t="s">
        <v>1219</v>
      </c>
      <c r="C501" s="40">
        <v>5</v>
      </c>
      <c r="D501" s="41" t="s">
        <v>449</v>
      </c>
    </row>
    <row r="502" spans="1:4" x14ac:dyDescent="0.25">
      <c r="A502" s="39" t="s">
        <v>1220</v>
      </c>
      <c r="B502" s="39" t="s">
        <v>1221</v>
      </c>
      <c r="C502" s="40">
        <v>4</v>
      </c>
      <c r="D502" s="41">
        <v>112000</v>
      </c>
    </row>
    <row r="503" spans="1:4" x14ac:dyDescent="0.25">
      <c r="A503" s="39" t="s">
        <v>1222</v>
      </c>
      <c r="B503" s="39" t="s">
        <v>1223</v>
      </c>
      <c r="C503" s="40">
        <v>5</v>
      </c>
      <c r="D503" s="41" t="s">
        <v>449</v>
      </c>
    </row>
    <row r="504" spans="1:4" x14ac:dyDescent="0.25">
      <c r="A504" s="39" t="s">
        <v>1224</v>
      </c>
      <c r="B504" s="39" t="s">
        <v>1225</v>
      </c>
      <c r="C504" s="40">
        <v>5</v>
      </c>
      <c r="D504" s="41" t="s">
        <v>449</v>
      </c>
    </row>
    <row r="505" spans="1:4" x14ac:dyDescent="0.25">
      <c r="A505" s="39" t="s">
        <v>1226</v>
      </c>
      <c r="B505" s="39" t="s">
        <v>1227</v>
      </c>
      <c r="C505" s="40">
        <v>5</v>
      </c>
      <c r="D505" s="41" t="s">
        <v>449</v>
      </c>
    </row>
    <row r="506" spans="1:4" x14ac:dyDescent="0.25">
      <c r="A506" s="39" t="s">
        <v>1228</v>
      </c>
      <c r="B506" s="39" t="s">
        <v>1229</v>
      </c>
      <c r="C506" s="40">
        <v>5</v>
      </c>
      <c r="D506" s="41">
        <v>112200</v>
      </c>
    </row>
    <row r="507" spans="1:4" x14ac:dyDescent="0.25">
      <c r="A507" s="39" t="s">
        <v>1230</v>
      </c>
      <c r="B507" s="39" t="s">
        <v>1231</v>
      </c>
      <c r="C507" s="40">
        <v>5</v>
      </c>
      <c r="D507" s="41" t="s">
        <v>449</v>
      </c>
    </row>
    <row r="508" spans="1:4" x14ac:dyDescent="0.25">
      <c r="A508" s="39" t="s">
        <v>1232</v>
      </c>
      <c r="B508" s="39" t="s">
        <v>1233</v>
      </c>
      <c r="C508" s="40">
        <v>5</v>
      </c>
      <c r="D508" s="41" t="s">
        <v>449</v>
      </c>
    </row>
    <row r="509" spans="1:4" x14ac:dyDescent="0.25">
      <c r="A509" s="39" t="s">
        <v>1234</v>
      </c>
      <c r="B509" s="39" t="s">
        <v>1235</v>
      </c>
      <c r="C509" s="40">
        <v>5</v>
      </c>
      <c r="D509" s="41" t="s">
        <v>449</v>
      </c>
    </row>
    <row r="510" spans="1:4" x14ac:dyDescent="0.25">
      <c r="A510" s="39" t="s">
        <v>1236</v>
      </c>
      <c r="B510" s="39" t="s">
        <v>1237</v>
      </c>
      <c r="C510" s="40">
        <v>5</v>
      </c>
      <c r="D510" s="41">
        <v>112600</v>
      </c>
    </row>
    <row r="511" spans="1:4" x14ac:dyDescent="0.25">
      <c r="A511" s="39" t="s">
        <v>1238</v>
      </c>
      <c r="B511" s="39" t="s">
        <v>1239</v>
      </c>
      <c r="C511" s="40">
        <v>5</v>
      </c>
      <c r="D511" s="41" t="s">
        <v>449</v>
      </c>
    </row>
    <row r="512" spans="1:4" x14ac:dyDescent="0.25">
      <c r="A512" s="39" t="s">
        <v>1240</v>
      </c>
      <c r="B512" s="39" t="s">
        <v>1241</v>
      </c>
      <c r="C512" s="40">
        <v>5</v>
      </c>
      <c r="D512" s="41" t="s">
        <v>449</v>
      </c>
    </row>
    <row r="513" spans="1:4" x14ac:dyDescent="0.25">
      <c r="A513" s="39" t="s">
        <v>1242</v>
      </c>
      <c r="B513" s="39" t="s">
        <v>1243</v>
      </c>
      <c r="C513" s="40">
        <v>5</v>
      </c>
      <c r="D513" s="41" t="s">
        <v>449</v>
      </c>
    </row>
    <row r="514" spans="1:4" x14ac:dyDescent="0.25">
      <c r="A514" s="39" t="s">
        <v>1244</v>
      </c>
      <c r="B514" s="39" t="s">
        <v>1245</v>
      </c>
      <c r="C514" s="40">
        <v>5</v>
      </c>
      <c r="D514" s="41" t="s">
        <v>449</v>
      </c>
    </row>
    <row r="515" spans="1:4" x14ac:dyDescent="0.25">
      <c r="A515" s="39" t="s">
        <v>1246</v>
      </c>
      <c r="B515" s="39" t="s">
        <v>1247</v>
      </c>
      <c r="C515" s="40">
        <v>4</v>
      </c>
      <c r="D515" s="41">
        <v>115000</v>
      </c>
    </row>
    <row r="516" spans="1:4" x14ac:dyDescent="0.25">
      <c r="A516" s="39" t="s">
        <v>1248</v>
      </c>
      <c r="B516" s="39" t="s">
        <v>1249</v>
      </c>
      <c r="C516" s="40">
        <v>5</v>
      </c>
      <c r="D516" s="41" t="s">
        <v>449</v>
      </c>
    </row>
    <row r="517" spans="1:4" x14ac:dyDescent="0.25">
      <c r="A517" s="39" t="s">
        <v>1250</v>
      </c>
      <c r="B517" s="39" t="s">
        <v>1251</v>
      </c>
      <c r="C517" s="40">
        <v>5</v>
      </c>
      <c r="D517" s="41" t="s">
        <v>449</v>
      </c>
    </row>
    <row r="518" spans="1:4" x14ac:dyDescent="0.25">
      <c r="A518" s="39" t="s">
        <v>1252</v>
      </c>
      <c r="B518" s="39" t="s">
        <v>1253</v>
      </c>
      <c r="C518" s="40">
        <v>5</v>
      </c>
      <c r="D518" s="41" t="s">
        <v>449</v>
      </c>
    </row>
    <row r="519" spans="1:4" x14ac:dyDescent="0.25">
      <c r="A519" s="39" t="s">
        <v>1254</v>
      </c>
      <c r="B519" s="39" t="s">
        <v>1255</v>
      </c>
      <c r="C519" s="40">
        <v>5</v>
      </c>
      <c r="D519" s="41" t="s">
        <v>449</v>
      </c>
    </row>
    <row r="520" spans="1:4" x14ac:dyDescent="0.25">
      <c r="A520" s="39" t="s">
        <v>1256</v>
      </c>
      <c r="B520" s="39" t="s">
        <v>1257</v>
      </c>
      <c r="C520" s="40">
        <v>5</v>
      </c>
      <c r="D520" s="41" t="s">
        <v>449</v>
      </c>
    </row>
    <row r="521" spans="1:4" x14ac:dyDescent="0.25">
      <c r="A521" s="39" t="s">
        <v>1258</v>
      </c>
      <c r="B521" s="39" t="s">
        <v>1259</v>
      </c>
      <c r="C521" s="40">
        <v>4</v>
      </c>
      <c r="D521" s="41">
        <v>113000</v>
      </c>
    </row>
    <row r="522" spans="1:4" x14ac:dyDescent="0.25">
      <c r="A522" s="39" t="s">
        <v>1260</v>
      </c>
      <c r="B522" s="39" t="s">
        <v>1261</v>
      </c>
      <c r="C522" s="40">
        <v>5</v>
      </c>
      <c r="D522" s="41" t="s">
        <v>449</v>
      </c>
    </row>
    <row r="523" spans="1:4" x14ac:dyDescent="0.25">
      <c r="A523" s="39" t="s">
        <v>1262</v>
      </c>
      <c r="B523" s="39" t="s">
        <v>1263</v>
      </c>
      <c r="C523" s="40">
        <v>5</v>
      </c>
      <c r="D523" s="41">
        <v>113300</v>
      </c>
    </row>
    <row r="524" spans="1:4" x14ac:dyDescent="0.25">
      <c r="A524" s="39" t="s">
        <v>1264</v>
      </c>
      <c r="B524" s="39" t="s">
        <v>1265</v>
      </c>
      <c r="C524" s="40">
        <v>5</v>
      </c>
      <c r="D524" s="41">
        <v>113400</v>
      </c>
    </row>
    <row r="525" spans="1:4" x14ac:dyDescent="0.25">
      <c r="A525" s="39" t="s">
        <v>1266</v>
      </c>
      <c r="B525" s="39" t="s">
        <v>1267</v>
      </c>
      <c r="C525" s="40">
        <v>4</v>
      </c>
      <c r="D525" s="41" t="s">
        <v>266</v>
      </c>
    </row>
    <row r="526" spans="1:4" x14ac:dyDescent="0.25">
      <c r="A526" s="39" t="s">
        <v>1268</v>
      </c>
      <c r="B526" s="39" t="s">
        <v>1269</v>
      </c>
      <c r="C526" s="40">
        <v>5</v>
      </c>
      <c r="D526" s="41" t="s">
        <v>449</v>
      </c>
    </row>
    <row r="527" spans="1:4" x14ac:dyDescent="0.25">
      <c r="A527" s="39" t="s">
        <v>1270</v>
      </c>
      <c r="B527" s="39" t="s">
        <v>1271</v>
      </c>
      <c r="C527" s="40">
        <v>5</v>
      </c>
      <c r="D527" s="41" t="s">
        <v>449</v>
      </c>
    </row>
    <row r="528" spans="1:4" x14ac:dyDescent="0.25">
      <c r="A528" s="39" t="s">
        <v>1272</v>
      </c>
      <c r="B528" s="39" t="s">
        <v>1273</v>
      </c>
      <c r="C528" s="40">
        <v>5</v>
      </c>
      <c r="D528" s="41" t="s">
        <v>449</v>
      </c>
    </row>
    <row r="529" spans="1:4" x14ac:dyDescent="0.25">
      <c r="A529" s="39" t="s">
        <v>1274</v>
      </c>
      <c r="B529" s="39" t="s">
        <v>1275</v>
      </c>
      <c r="C529" s="40">
        <v>5</v>
      </c>
      <c r="D529" s="41" t="s">
        <v>449</v>
      </c>
    </row>
    <row r="530" spans="1:4" x14ac:dyDescent="0.25">
      <c r="A530" s="39" t="s">
        <v>1276</v>
      </c>
      <c r="B530" s="39" t="s">
        <v>1277</v>
      </c>
      <c r="C530" s="40">
        <v>4</v>
      </c>
      <c r="D530" s="41">
        <v>119000</v>
      </c>
    </row>
    <row r="531" spans="1:4" x14ac:dyDescent="0.25">
      <c r="A531" s="39" t="s">
        <v>1278</v>
      </c>
      <c r="B531" s="39" t="s">
        <v>1279</v>
      </c>
      <c r="C531" s="40">
        <v>5</v>
      </c>
      <c r="D531" s="41" t="s">
        <v>449</v>
      </c>
    </row>
    <row r="532" spans="1:4" x14ac:dyDescent="0.25">
      <c r="A532" s="39" t="s">
        <v>1280</v>
      </c>
      <c r="B532" s="39" t="s">
        <v>1281</v>
      </c>
      <c r="C532" s="40">
        <v>5</v>
      </c>
      <c r="D532" s="41" t="s">
        <v>449</v>
      </c>
    </row>
    <row r="533" spans="1:4" x14ac:dyDescent="0.25">
      <c r="A533" s="39" t="s">
        <v>1282</v>
      </c>
      <c r="B533" s="39" t="s">
        <v>1283</v>
      </c>
      <c r="C533" s="40">
        <v>5</v>
      </c>
      <c r="D533" s="41" t="s">
        <v>449</v>
      </c>
    </row>
    <row r="534" spans="1:4" x14ac:dyDescent="0.25">
      <c r="A534" s="39" t="s">
        <v>1284</v>
      </c>
      <c r="B534" s="39" t="s">
        <v>1285</v>
      </c>
      <c r="C534" s="40">
        <v>5</v>
      </c>
      <c r="D534" s="41" t="s">
        <v>266</v>
      </c>
    </row>
    <row r="535" spans="1:4" x14ac:dyDescent="0.25">
      <c r="A535" s="39" t="s">
        <v>1286</v>
      </c>
      <c r="B535" s="39" t="s">
        <v>1287</v>
      </c>
      <c r="C535" s="40">
        <v>3</v>
      </c>
      <c r="D535" s="41">
        <v>120000</v>
      </c>
    </row>
    <row r="536" spans="1:4" x14ac:dyDescent="0.25">
      <c r="A536" s="39" t="s">
        <v>1288</v>
      </c>
      <c r="B536" s="39" t="s">
        <v>1289</v>
      </c>
      <c r="C536" s="40">
        <v>4</v>
      </c>
      <c r="D536" s="41" t="s">
        <v>266</v>
      </c>
    </row>
    <row r="537" spans="1:4" x14ac:dyDescent="0.25">
      <c r="A537" s="39" t="s">
        <v>1290</v>
      </c>
      <c r="B537" s="39" t="s">
        <v>1291</v>
      </c>
      <c r="C537" s="40">
        <v>5</v>
      </c>
      <c r="D537" s="41" t="s">
        <v>449</v>
      </c>
    </row>
    <row r="538" spans="1:4" x14ac:dyDescent="0.25">
      <c r="A538" s="39" t="s">
        <v>1292</v>
      </c>
      <c r="B538" s="39" t="s">
        <v>1293</v>
      </c>
      <c r="C538" s="40">
        <v>5</v>
      </c>
      <c r="D538" s="41" t="s">
        <v>449</v>
      </c>
    </row>
    <row r="539" spans="1:4" x14ac:dyDescent="0.25">
      <c r="A539" s="39" t="s">
        <v>1294</v>
      </c>
      <c r="B539" s="39" t="s">
        <v>1295</v>
      </c>
      <c r="C539" s="40">
        <v>5</v>
      </c>
      <c r="D539" s="41" t="s">
        <v>449</v>
      </c>
    </row>
    <row r="540" spans="1:4" x14ac:dyDescent="0.25">
      <c r="A540" s="39" t="s">
        <v>1296</v>
      </c>
      <c r="B540" s="39" t="s">
        <v>1297</v>
      </c>
      <c r="C540" s="40">
        <v>5</v>
      </c>
      <c r="D540" s="41" t="s">
        <v>449</v>
      </c>
    </row>
    <row r="541" spans="1:4" x14ac:dyDescent="0.25">
      <c r="A541" s="39" t="s">
        <v>1298</v>
      </c>
      <c r="B541" s="39" t="s">
        <v>1299</v>
      </c>
      <c r="C541" s="40">
        <v>5</v>
      </c>
      <c r="D541" s="41" t="s">
        <v>449</v>
      </c>
    </row>
    <row r="542" spans="1:4" x14ac:dyDescent="0.25">
      <c r="A542" s="39" t="s">
        <v>1300</v>
      </c>
      <c r="B542" s="39" t="s">
        <v>1301</v>
      </c>
      <c r="C542" s="40">
        <v>4</v>
      </c>
      <c r="D542" s="41" t="s">
        <v>266</v>
      </c>
    </row>
    <row r="543" spans="1:4" x14ac:dyDescent="0.25">
      <c r="A543" s="39" t="s">
        <v>1302</v>
      </c>
      <c r="B543" s="39" t="s">
        <v>1303</v>
      </c>
      <c r="C543" s="40">
        <v>5</v>
      </c>
      <c r="D543" s="41" t="s">
        <v>449</v>
      </c>
    </row>
    <row r="544" spans="1:4" x14ac:dyDescent="0.25">
      <c r="A544" s="39" t="s">
        <v>1304</v>
      </c>
      <c r="B544" s="39" t="s">
        <v>1305</v>
      </c>
      <c r="C544" s="40">
        <v>5</v>
      </c>
      <c r="D544" s="41" t="s">
        <v>449</v>
      </c>
    </row>
    <row r="545" spans="1:4" x14ac:dyDescent="0.25">
      <c r="A545" s="39" t="s">
        <v>1306</v>
      </c>
      <c r="B545" s="39" t="s">
        <v>1307</v>
      </c>
      <c r="C545" s="40">
        <v>5</v>
      </c>
      <c r="D545" s="41" t="s">
        <v>449</v>
      </c>
    </row>
    <row r="546" spans="1:4" x14ac:dyDescent="0.25">
      <c r="A546" s="39" t="s">
        <v>1308</v>
      </c>
      <c r="B546" s="39" t="s">
        <v>1309</v>
      </c>
      <c r="C546" s="40">
        <v>5</v>
      </c>
      <c r="D546" s="41" t="s">
        <v>449</v>
      </c>
    </row>
    <row r="547" spans="1:4" x14ac:dyDescent="0.25">
      <c r="A547" s="39" t="s">
        <v>1310</v>
      </c>
      <c r="B547" s="39" t="s">
        <v>1311</v>
      </c>
      <c r="C547" s="40">
        <v>5</v>
      </c>
      <c r="D547" s="41" t="s">
        <v>449</v>
      </c>
    </row>
    <row r="548" spans="1:4" x14ac:dyDescent="0.25">
      <c r="A548" s="39" t="s">
        <v>1312</v>
      </c>
      <c r="B548" s="39" t="s">
        <v>1313</v>
      </c>
      <c r="C548" s="40">
        <v>2</v>
      </c>
      <c r="D548" s="41" t="s">
        <v>266</v>
      </c>
    </row>
    <row r="549" spans="1:4" x14ac:dyDescent="0.25">
      <c r="A549" s="39" t="s">
        <v>1314</v>
      </c>
      <c r="B549" s="39" t="s">
        <v>1315</v>
      </c>
      <c r="C549" s="40">
        <v>3</v>
      </c>
      <c r="D549" s="41" t="s">
        <v>266</v>
      </c>
    </row>
    <row r="550" spans="1:4" x14ac:dyDescent="0.25">
      <c r="A550" s="39" t="s">
        <v>1316</v>
      </c>
      <c r="B550" s="39" t="s">
        <v>1317</v>
      </c>
      <c r="C550" s="40">
        <v>4</v>
      </c>
      <c r="D550" s="41" t="s">
        <v>266</v>
      </c>
    </row>
    <row r="551" spans="1:4" x14ac:dyDescent="0.25">
      <c r="A551" s="39" t="s">
        <v>1318</v>
      </c>
      <c r="B551" s="39" t="s">
        <v>1319</v>
      </c>
      <c r="C551" s="40">
        <v>5</v>
      </c>
      <c r="D551" s="41" t="s">
        <v>449</v>
      </c>
    </row>
    <row r="552" spans="1:4" x14ac:dyDescent="0.25">
      <c r="A552" s="39" t="s">
        <v>1320</v>
      </c>
      <c r="B552" s="39" t="s">
        <v>1321</v>
      </c>
      <c r="C552" s="40">
        <v>5</v>
      </c>
      <c r="D552" s="41" t="s">
        <v>449</v>
      </c>
    </row>
    <row r="553" spans="1:4" x14ac:dyDescent="0.25">
      <c r="A553" s="39" t="s">
        <v>1322</v>
      </c>
      <c r="B553" s="39" t="s">
        <v>1323</v>
      </c>
      <c r="C553" s="40">
        <v>5</v>
      </c>
      <c r="D553" s="41">
        <v>134400</v>
      </c>
    </row>
    <row r="554" spans="1:4" x14ac:dyDescent="0.25">
      <c r="A554" s="39" t="s">
        <v>1324</v>
      </c>
      <c r="B554" s="39" t="s">
        <v>1325</v>
      </c>
      <c r="C554" s="40">
        <v>4</v>
      </c>
      <c r="D554" s="41">
        <v>133000</v>
      </c>
    </row>
    <row r="555" spans="1:4" x14ac:dyDescent="0.25">
      <c r="A555" s="39" t="s">
        <v>1326</v>
      </c>
      <c r="B555" s="39" t="s">
        <v>1327</v>
      </c>
      <c r="C555" s="40">
        <v>5</v>
      </c>
      <c r="D555" s="41" t="s">
        <v>449</v>
      </c>
    </row>
    <row r="556" spans="1:4" x14ac:dyDescent="0.25">
      <c r="A556" s="39" t="s">
        <v>1328</v>
      </c>
      <c r="B556" s="39" t="s">
        <v>1329</v>
      </c>
      <c r="C556" s="40">
        <v>5</v>
      </c>
      <c r="D556" s="41">
        <v>133200</v>
      </c>
    </row>
    <row r="557" spans="1:4" x14ac:dyDescent="0.25">
      <c r="A557" s="39" t="s">
        <v>1330</v>
      </c>
      <c r="B557" s="39" t="s">
        <v>1331</v>
      </c>
      <c r="C557" s="40">
        <v>5</v>
      </c>
      <c r="D557" s="41">
        <v>133300</v>
      </c>
    </row>
    <row r="558" spans="1:4" x14ac:dyDescent="0.25">
      <c r="A558" s="39" t="s">
        <v>1332</v>
      </c>
      <c r="B558" s="39" t="s">
        <v>1333</v>
      </c>
      <c r="C558" s="40">
        <v>5</v>
      </c>
      <c r="D558" s="41" t="s">
        <v>449</v>
      </c>
    </row>
    <row r="559" spans="1:4" x14ac:dyDescent="0.25">
      <c r="A559" s="39" t="s">
        <v>1334</v>
      </c>
      <c r="B559" s="39" t="s">
        <v>1335</v>
      </c>
      <c r="C559" s="40">
        <v>5</v>
      </c>
      <c r="D559" s="41">
        <v>107316</v>
      </c>
    </row>
    <row r="560" spans="1:4" x14ac:dyDescent="0.25">
      <c r="A560" s="39" t="s">
        <v>1336</v>
      </c>
      <c r="B560" s="39" t="s">
        <v>1337</v>
      </c>
      <c r="C560" s="40">
        <v>5</v>
      </c>
      <c r="D560" s="41" t="s">
        <v>449</v>
      </c>
    </row>
    <row r="561" spans="1:4" x14ac:dyDescent="0.25">
      <c r="A561" s="39" t="s">
        <v>1338</v>
      </c>
      <c r="B561" s="39" t="s">
        <v>1339</v>
      </c>
      <c r="C561" s="40">
        <v>5</v>
      </c>
      <c r="D561" s="41">
        <v>133600</v>
      </c>
    </row>
    <row r="562" spans="1:4" x14ac:dyDescent="0.25">
      <c r="A562" s="39" t="s">
        <v>1340</v>
      </c>
      <c r="B562" s="39" t="s">
        <v>1341</v>
      </c>
      <c r="C562" s="40">
        <v>4</v>
      </c>
      <c r="D562" s="41" t="s">
        <v>266</v>
      </c>
    </row>
    <row r="563" spans="1:4" x14ac:dyDescent="0.25">
      <c r="A563" s="39" t="s">
        <v>1342</v>
      </c>
      <c r="B563" s="39" t="s">
        <v>1343</v>
      </c>
      <c r="C563" s="40">
        <v>5</v>
      </c>
      <c r="D563" s="41">
        <v>134800</v>
      </c>
    </row>
    <row r="564" spans="1:4" x14ac:dyDescent="0.25">
      <c r="A564" s="39" t="s">
        <v>1344</v>
      </c>
      <c r="B564" s="39" t="s">
        <v>1345</v>
      </c>
      <c r="C564" s="40">
        <v>5</v>
      </c>
      <c r="D564" s="41">
        <v>134800</v>
      </c>
    </row>
    <row r="565" spans="1:4" x14ac:dyDescent="0.25">
      <c r="A565" s="39" t="s">
        <v>1346</v>
      </c>
      <c r="B565" s="39" t="s">
        <v>1347</v>
      </c>
      <c r="C565" s="40">
        <v>5</v>
      </c>
      <c r="D565" s="41">
        <v>134900</v>
      </c>
    </row>
    <row r="566" spans="1:4" x14ac:dyDescent="0.25">
      <c r="A566" s="39" t="s">
        <v>1348</v>
      </c>
      <c r="B566" s="39" t="s">
        <v>1349</v>
      </c>
      <c r="C566" s="40">
        <v>4</v>
      </c>
      <c r="D566" s="41" t="s">
        <v>266</v>
      </c>
    </row>
    <row r="567" spans="1:4" x14ac:dyDescent="0.25">
      <c r="A567" s="39" t="s">
        <v>1350</v>
      </c>
      <c r="B567" s="39" t="s">
        <v>1351</v>
      </c>
      <c r="C567" s="40">
        <v>5</v>
      </c>
      <c r="D567" s="41" t="s">
        <v>449</v>
      </c>
    </row>
    <row r="568" spans="1:4" x14ac:dyDescent="0.25">
      <c r="A568" s="39" t="s">
        <v>1352</v>
      </c>
      <c r="B568" s="39" t="s">
        <v>1353</v>
      </c>
      <c r="C568" s="40">
        <v>5</v>
      </c>
      <c r="D568" s="41" t="s">
        <v>449</v>
      </c>
    </row>
    <row r="569" spans="1:4" x14ac:dyDescent="0.25">
      <c r="A569" s="39" t="s">
        <v>1354</v>
      </c>
      <c r="B569" s="39" t="s">
        <v>1355</v>
      </c>
      <c r="C569" s="40">
        <v>5</v>
      </c>
      <c r="D569" s="41" t="s">
        <v>266</v>
      </c>
    </row>
    <row r="570" spans="1:4" x14ac:dyDescent="0.25">
      <c r="A570" s="39" t="s">
        <v>1356</v>
      </c>
      <c r="B570" s="39" t="s">
        <v>1357</v>
      </c>
      <c r="C570" s="40">
        <v>5</v>
      </c>
      <c r="D570" s="41">
        <v>131300</v>
      </c>
    </row>
    <row r="571" spans="1:4" x14ac:dyDescent="0.25">
      <c r="A571" s="39" t="s">
        <v>1358</v>
      </c>
      <c r="B571" s="39" t="s">
        <v>1359</v>
      </c>
      <c r="C571" s="40">
        <v>5</v>
      </c>
      <c r="D571" s="41" t="s">
        <v>449</v>
      </c>
    </row>
    <row r="572" spans="1:4" x14ac:dyDescent="0.25">
      <c r="A572" s="39" t="s">
        <v>1360</v>
      </c>
      <c r="B572" s="39" t="s">
        <v>1361</v>
      </c>
      <c r="C572" s="40">
        <v>5</v>
      </c>
      <c r="D572" s="41">
        <v>131800</v>
      </c>
    </row>
    <row r="573" spans="1:4" x14ac:dyDescent="0.25">
      <c r="A573" s="39" t="s">
        <v>1362</v>
      </c>
      <c r="B573" s="39" t="s">
        <v>1363</v>
      </c>
      <c r="C573" s="40">
        <v>5</v>
      </c>
      <c r="D573" s="41">
        <v>131900</v>
      </c>
    </row>
    <row r="574" spans="1:4" x14ac:dyDescent="0.25">
      <c r="A574" s="39" t="s">
        <v>1364</v>
      </c>
      <c r="B574" s="39" t="s">
        <v>1365</v>
      </c>
      <c r="C574" s="40">
        <v>4</v>
      </c>
      <c r="D574" s="41">
        <v>132800</v>
      </c>
    </row>
    <row r="575" spans="1:4" x14ac:dyDescent="0.25">
      <c r="A575" s="39" t="s">
        <v>1366</v>
      </c>
      <c r="B575" s="39" t="s">
        <v>1367</v>
      </c>
      <c r="C575" s="40">
        <v>5</v>
      </c>
      <c r="D575" s="41">
        <v>132813</v>
      </c>
    </row>
    <row r="576" spans="1:4" x14ac:dyDescent="0.25">
      <c r="A576" s="39" t="s">
        <v>1368</v>
      </c>
      <c r="B576" s="39" t="s">
        <v>1369</v>
      </c>
      <c r="C576" s="40">
        <v>5</v>
      </c>
      <c r="D576" s="41">
        <v>132816</v>
      </c>
    </row>
    <row r="577" spans="1:4" x14ac:dyDescent="0.25">
      <c r="A577" s="39" t="s">
        <v>1370</v>
      </c>
      <c r="B577" s="39" t="s">
        <v>1371</v>
      </c>
      <c r="C577" s="40">
        <v>5</v>
      </c>
      <c r="D577" s="41">
        <v>132819</v>
      </c>
    </row>
    <row r="578" spans="1:4" x14ac:dyDescent="0.25">
      <c r="A578" s="39" t="s">
        <v>1372</v>
      </c>
      <c r="B578" s="39" t="s">
        <v>1373</v>
      </c>
      <c r="C578" s="40">
        <v>5</v>
      </c>
      <c r="D578" s="41">
        <v>132826</v>
      </c>
    </row>
    <row r="579" spans="1:4" x14ac:dyDescent="0.25">
      <c r="A579" s="39" t="s">
        <v>1374</v>
      </c>
      <c r="B579" s="39" t="s">
        <v>1375</v>
      </c>
      <c r="C579" s="40">
        <v>5</v>
      </c>
      <c r="D579" s="41">
        <v>132833</v>
      </c>
    </row>
    <row r="580" spans="1:4" x14ac:dyDescent="0.25">
      <c r="A580" s="39" t="s">
        <v>1376</v>
      </c>
      <c r="B580" s="39" t="s">
        <v>1377</v>
      </c>
      <c r="C580" s="40">
        <v>5</v>
      </c>
      <c r="D580" s="41">
        <v>132866</v>
      </c>
    </row>
    <row r="581" spans="1:4" x14ac:dyDescent="0.25">
      <c r="A581" s="39" t="s">
        <v>1378</v>
      </c>
      <c r="B581" s="39" t="s">
        <v>1379</v>
      </c>
      <c r="C581" s="40">
        <v>4</v>
      </c>
      <c r="D581" s="41">
        <v>135000</v>
      </c>
    </row>
    <row r="582" spans="1:4" x14ac:dyDescent="0.25">
      <c r="A582" s="39" t="s">
        <v>1380</v>
      </c>
      <c r="B582" s="39" t="s">
        <v>1381</v>
      </c>
      <c r="C582" s="40">
        <v>5</v>
      </c>
      <c r="D582" s="41">
        <v>135100</v>
      </c>
    </row>
    <row r="583" spans="1:4" x14ac:dyDescent="0.25">
      <c r="A583" s="39" t="s">
        <v>1382</v>
      </c>
      <c r="B583" s="39" t="s">
        <v>1383</v>
      </c>
      <c r="C583" s="40">
        <v>5</v>
      </c>
      <c r="D583" s="41">
        <v>135100</v>
      </c>
    </row>
    <row r="584" spans="1:4" x14ac:dyDescent="0.25">
      <c r="A584" s="39" t="s">
        <v>1384</v>
      </c>
      <c r="B584" s="39" t="s">
        <v>1385</v>
      </c>
      <c r="C584" s="40">
        <v>5</v>
      </c>
      <c r="D584" s="41" t="s">
        <v>449</v>
      </c>
    </row>
    <row r="585" spans="1:4" x14ac:dyDescent="0.25">
      <c r="A585" s="39" t="s">
        <v>1386</v>
      </c>
      <c r="B585" s="39" t="s">
        <v>1387</v>
      </c>
      <c r="C585" s="40">
        <v>5</v>
      </c>
      <c r="D585" s="41" t="s">
        <v>266</v>
      </c>
    </row>
    <row r="586" spans="1:4" x14ac:dyDescent="0.25">
      <c r="A586" s="39" t="s">
        <v>1388</v>
      </c>
      <c r="B586" s="39" t="s">
        <v>1389</v>
      </c>
      <c r="C586" s="40">
        <v>3</v>
      </c>
      <c r="D586" s="41" t="s">
        <v>266</v>
      </c>
    </row>
    <row r="587" spans="1:4" x14ac:dyDescent="0.25">
      <c r="A587" s="39" t="s">
        <v>1390</v>
      </c>
      <c r="B587" s="39" t="s">
        <v>1391</v>
      </c>
      <c r="C587" s="40">
        <v>4</v>
      </c>
      <c r="D587" s="41">
        <v>28000</v>
      </c>
    </row>
    <row r="588" spans="1:4" x14ac:dyDescent="0.25">
      <c r="A588" s="39" t="s">
        <v>1392</v>
      </c>
      <c r="B588" s="39" t="s">
        <v>1393</v>
      </c>
      <c r="C588" s="40">
        <v>5</v>
      </c>
      <c r="D588" s="41">
        <v>28100</v>
      </c>
    </row>
    <row r="589" spans="1:4" x14ac:dyDescent="0.25">
      <c r="A589" s="39" t="s">
        <v>1394</v>
      </c>
      <c r="B589" s="39" t="s">
        <v>1395</v>
      </c>
      <c r="C589" s="40">
        <v>5</v>
      </c>
      <c r="D589" s="41" t="s">
        <v>449</v>
      </c>
    </row>
    <row r="590" spans="1:4" x14ac:dyDescent="0.25">
      <c r="A590" s="39" t="s">
        <v>1396</v>
      </c>
      <c r="B590" s="39" t="s">
        <v>1397</v>
      </c>
      <c r="C590" s="40">
        <v>5</v>
      </c>
      <c r="D590" s="41" t="s">
        <v>449</v>
      </c>
    </row>
    <row r="591" spans="1:4" x14ac:dyDescent="0.25">
      <c r="A591" s="39" t="s">
        <v>1398</v>
      </c>
      <c r="B591" s="39" t="s">
        <v>1399</v>
      </c>
      <c r="C591" s="40">
        <v>5</v>
      </c>
      <c r="D591" s="41" t="s">
        <v>449</v>
      </c>
    </row>
    <row r="592" spans="1:4" x14ac:dyDescent="0.25">
      <c r="A592" s="39" t="s">
        <v>1400</v>
      </c>
      <c r="B592" s="39" t="s">
        <v>1401</v>
      </c>
      <c r="C592" s="40">
        <v>5</v>
      </c>
      <c r="D592" s="41" t="s">
        <v>449</v>
      </c>
    </row>
    <row r="593" spans="1:4" x14ac:dyDescent="0.25">
      <c r="A593" s="39" t="s">
        <v>1402</v>
      </c>
      <c r="B593" s="39" t="s">
        <v>1403</v>
      </c>
      <c r="C593" s="40">
        <v>3</v>
      </c>
      <c r="D593" s="41" t="s">
        <v>266</v>
      </c>
    </row>
    <row r="594" spans="1:4" x14ac:dyDescent="0.25">
      <c r="A594" s="39" t="s">
        <v>1404</v>
      </c>
      <c r="B594" s="39" t="s">
        <v>1405</v>
      </c>
      <c r="C594" s="40">
        <v>4</v>
      </c>
      <c r="D594" s="41">
        <v>24116</v>
      </c>
    </row>
    <row r="595" spans="1:4" x14ac:dyDescent="0.25">
      <c r="A595" s="39" t="s">
        <v>1406</v>
      </c>
      <c r="B595" s="39" t="s">
        <v>1407</v>
      </c>
      <c r="C595" s="40">
        <v>5</v>
      </c>
      <c r="D595" s="42">
        <v>24116.13</v>
      </c>
    </row>
    <row r="596" spans="1:4" x14ac:dyDescent="0.25">
      <c r="A596" s="39" t="s">
        <v>1408</v>
      </c>
      <c r="B596" s="39" t="s">
        <v>1409</v>
      </c>
      <c r="C596" s="40">
        <v>5</v>
      </c>
      <c r="D596" s="42">
        <v>24116.23</v>
      </c>
    </row>
    <row r="597" spans="1:4" x14ac:dyDescent="0.25">
      <c r="A597" s="39" t="s">
        <v>1410</v>
      </c>
      <c r="B597" s="39" t="s">
        <v>1411</v>
      </c>
      <c r="C597" s="40">
        <v>5</v>
      </c>
      <c r="D597" s="42">
        <v>24116.33</v>
      </c>
    </row>
    <row r="598" spans="1:4" x14ac:dyDescent="0.25">
      <c r="A598" s="39" t="s">
        <v>1412</v>
      </c>
      <c r="B598" s="39" t="s">
        <v>1413</v>
      </c>
      <c r="C598" s="40">
        <v>5</v>
      </c>
      <c r="D598" s="42">
        <v>24116.43</v>
      </c>
    </row>
    <row r="599" spans="1:4" x14ac:dyDescent="0.25">
      <c r="A599" s="39" t="s">
        <v>1414</v>
      </c>
      <c r="B599" s="39" t="s">
        <v>1415</v>
      </c>
      <c r="C599" s="40">
        <v>4</v>
      </c>
      <c r="D599" s="41">
        <v>24119</v>
      </c>
    </row>
    <row r="600" spans="1:4" x14ac:dyDescent="0.25">
      <c r="A600" s="39" t="s">
        <v>1416</v>
      </c>
      <c r="B600" s="39" t="s">
        <v>1417</v>
      </c>
      <c r="C600" s="40">
        <v>5</v>
      </c>
      <c r="D600" s="42">
        <v>24119.13</v>
      </c>
    </row>
    <row r="601" spans="1:4" x14ac:dyDescent="0.25">
      <c r="A601" s="39" t="s">
        <v>1418</v>
      </c>
      <c r="B601" s="39" t="s">
        <v>1419</v>
      </c>
      <c r="C601" s="40">
        <v>5</v>
      </c>
      <c r="D601" s="42">
        <v>24119.16</v>
      </c>
    </row>
    <row r="602" spans="1:4" x14ac:dyDescent="0.25">
      <c r="A602" s="39" t="s">
        <v>1420</v>
      </c>
      <c r="B602" s="39" t="s">
        <v>1421</v>
      </c>
      <c r="C602" s="40">
        <v>5</v>
      </c>
      <c r="D602" s="42">
        <v>24119.33</v>
      </c>
    </row>
    <row r="603" spans="1:4" x14ac:dyDescent="0.25">
      <c r="A603" s="39" t="s">
        <v>1422</v>
      </c>
      <c r="B603" s="39" t="s">
        <v>1423</v>
      </c>
      <c r="C603" s="40">
        <v>5</v>
      </c>
      <c r="D603" s="41">
        <v>24191</v>
      </c>
    </row>
    <row r="604" spans="1:4" x14ac:dyDescent="0.25">
      <c r="A604" s="39" t="s">
        <v>1424</v>
      </c>
      <c r="B604" s="39" t="s">
        <v>1425</v>
      </c>
      <c r="C604" s="40">
        <v>4</v>
      </c>
      <c r="D604" s="41">
        <v>24300</v>
      </c>
    </row>
    <row r="605" spans="1:4" x14ac:dyDescent="0.25">
      <c r="A605" s="39" t="s">
        <v>1426</v>
      </c>
      <c r="B605" s="39" t="s">
        <v>1427</v>
      </c>
      <c r="C605" s="40">
        <v>5</v>
      </c>
      <c r="D605" s="41">
        <v>24313</v>
      </c>
    </row>
    <row r="606" spans="1:4" x14ac:dyDescent="0.25">
      <c r="A606" s="39" t="s">
        <v>1428</v>
      </c>
      <c r="B606" s="39" t="s">
        <v>1429</v>
      </c>
      <c r="C606" s="40">
        <v>5</v>
      </c>
      <c r="D606" s="41">
        <v>24316</v>
      </c>
    </row>
    <row r="607" spans="1:4" x14ac:dyDescent="0.25">
      <c r="A607" s="39" t="s">
        <v>1430</v>
      </c>
      <c r="B607" s="39" t="s">
        <v>1431</v>
      </c>
      <c r="C607" s="40">
        <v>2</v>
      </c>
      <c r="D607" s="41" t="s">
        <v>266</v>
      </c>
    </row>
    <row r="608" spans="1:4" x14ac:dyDescent="0.25">
      <c r="A608" s="39" t="s">
        <v>1432</v>
      </c>
      <c r="B608" s="39" t="s">
        <v>1433</v>
      </c>
      <c r="C608" s="40">
        <v>3</v>
      </c>
      <c r="D608" s="41">
        <v>310000</v>
      </c>
    </row>
    <row r="609" spans="1:4" x14ac:dyDescent="0.25">
      <c r="A609" s="39" t="s">
        <v>1434</v>
      </c>
      <c r="B609" s="39" t="s">
        <v>1435</v>
      </c>
      <c r="C609" s="40">
        <v>4</v>
      </c>
      <c r="D609" s="41">
        <v>311000</v>
      </c>
    </row>
    <row r="610" spans="1:4" x14ac:dyDescent="0.25">
      <c r="A610" s="39" t="s">
        <v>1436</v>
      </c>
      <c r="B610" s="39" t="s">
        <v>1437</v>
      </c>
      <c r="C610" s="40">
        <v>5</v>
      </c>
      <c r="D610" s="41">
        <v>311100</v>
      </c>
    </row>
    <row r="611" spans="1:4" x14ac:dyDescent="0.25">
      <c r="A611" s="39" t="s">
        <v>1438</v>
      </c>
      <c r="B611" s="39" t="s">
        <v>1439</v>
      </c>
      <c r="C611" s="40">
        <v>5</v>
      </c>
      <c r="D611" s="41">
        <v>311300</v>
      </c>
    </row>
    <row r="612" spans="1:4" x14ac:dyDescent="0.25">
      <c r="A612" s="39" t="s">
        <v>1440</v>
      </c>
      <c r="B612" s="39" t="s">
        <v>1441</v>
      </c>
      <c r="C612" s="40">
        <v>5</v>
      </c>
      <c r="D612" s="41" t="s">
        <v>449</v>
      </c>
    </row>
    <row r="613" spans="1:4" x14ac:dyDescent="0.25">
      <c r="A613" s="39" t="s">
        <v>1442</v>
      </c>
      <c r="B613" s="39" t="s">
        <v>1443</v>
      </c>
      <c r="C613" s="40">
        <v>4</v>
      </c>
      <c r="D613" s="41" t="s">
        <v>266</v>
      </c>
    </row>
    <row r="614" spans="1:4" x14ac:dyDescent="0.25">
      <c r="A614" s="39" t="s">
        <v>1444</v>
      </c>
      <c r="B614" s="39" t="s">
        <v>1445</v>
      </c>
      <c r="C614" s="40">
        <v>5</v>
      </c>
      <c r="D614" s="41" t="s">
        <v>266</v>
      </c>
    </row>
    <row r="615" spans="1:4" x14ac:dyDescent="0.25">
      <c r="A615" s="39" t="s">
        <v>1446</v>
      </c>
      <c r="B615" s="39" t="s">
        <v>1447</v>
      </c>
      <c r="C615" s="40">
        <v>5</v>
      </c>
      <c r="D615" s="41" t="s">
        <v>266</v>
      </c>
    </row>
    <row r="616" spans="1:4" x14ac:dyDescent="0.25">
      <c r="A616" s="39" t="s">
        <v>1448</v>
      </c>
      <c r="B616" s="39" t="s">
        <v>1449</v>
      </c>
      <c r="C616" s="40">
        <v>5</v>
      </c>
      <c r="D616" s="41">
        <v>24113</v>
      </c>
    </row>
    <row r="617" spans="1:4" x14ac:dyDescent="0.25">
      <c r="A617" s="39" t="s">
        <v>1450</v>
      </c>
      <c r="B617" s="39" t="s">
        <v>1451</v>
      </c>
      <c r="C617" s="40">
        <v>4</v>
      </c>
      <c r="D617" s="41" t="s">
        <v>266</v>
      </c>
    </row>
    <row r="618" spans="1:4" x14ac:dyDescent="0.25">
      <c r="A618" s="39" t="s">
        <v>1452</v>
      </c>
      <c r="B618" s="39" t="s">
        <v>1453</v>
      </c>
      <c r="C618" s="40">
        <v>5</v>
      </c>
      <c r="D618" s="41" t="s">
        <v>266</v>
      </c>
    </row>
    <row r="619" spans="1:4" x14ac:dyDescent="0.25">
      <c r="A619" s="39" t="s">
        <v>1454</v>
      </c>
      <c r="B619" s="39" t="s">
        <v>1455</v>
      </c>
      <c r="C619" s="40">
        <v>4</v>
      </c>
      <c r="D619" s="41">
        <v>25000</v>
      </c>
    </row>
    <row r="620" spans="1:4" x14ac:dyDescent="0.25">
      <c r="A620" s="39" t="s">
        <v>1456</v>
      </c>
      <c r="B620" s="39" t="s">
        <v>1457</v>
      </c>
      <c r="C620" s="40">
        <v>5</v>
      </c>
      <c r="D620" s="41" t="s">
        <v>449</v>
      </c>
    </row>
    <row r="621" spans="1:4" x14ac:dyDescent="0.25">
      <c r="A621" s="39" t="s">
        <v>1458</v>
      </c>
      <c r="B621" s="39" t="s">
        <v>1459</v>
      </c>
      <c r="C621" s="40">
        <v>5</v>
      </c>
      <c r="D621" s="41" t="s">
        <v>449</v>
      </c>
    </row>
    <row r="622" spans="1:4" x14ac:dyDescent="0.25">
      <c r="A622" s="39" t="s">
        <v>1460</v>
      </c>
      <c r="B622" s="39" t="s">
        <v>1461</v>
      </c>
      <c r="C622" s="40">
        <v>5</v>
      </c>
      <c r="D622" s="41" t="s">
        <v>449</v>
      </c>
    </row>
    <row r="623" spans="1:4" x14ac:dyDescent="0.25">
      <c r="A623" s="39" t="s">
        <v>1462</v>
      </c>
      <c r="B623" s="39" t="s">
        <v>1463</v>
      </c>
      <c r="C623" s="40">
        <v>5</v>
      </c>
      <c r="D623" s="41" t="s">
        <v>449</v>
      </c>
    </row>
    <row r="624" spans="1:4" x14ac:dyDescent="0.25">
      <c r="A624" s="39" t="s">
        <v>1464</v>
      </c>
      <c r="B624" s="39" t="s">
        <v>1465</v>
      </c>
      <c r="C624" s="40">
        <v>5</v>
      </c>
      <c r="D624" s="41">
        <v>25500</v>
      </c>
    </row>
    <row r="625" spans="1:4" x14ac:dyDescent="0.25">
      <c r="A625" s="39" t="s">
        <v>1466</v>
      </c>
      <c r="B625" s="39" t="s">
        <v>1467</v>
      </c>
      <c r="C625" s="40">
        <v>5</v>
      </c>
      <c r="D625" s="41" t="s">
        <v>449</v>
      </c>
    </row>
    <row r="626" spans="1:4" x14ac:dyDescent="0.25">
      <c r="A626" s="39" t="s">
        <v>1468</v>
      </c>
      <c r="B626" s="39" t="s">
        <v>1469</v>
      </c>
      <c r="C626" s="40">
        <v>5</v>
      </c>
      <c r="D626" s="41" t="s">
        <v>449</v>
      </c>
    </row>
    <row r="627" spans="1:4" x14ac:dyDescent="0.25">
      <c r="A627" s="39" t="s">
        <v>1470</v>
      </c>
      <c r="B627" s="39" t="s">
        <v>1471</v>
      </c>
      <c r="C627" s="40">
        <v>5</v>
      </c>
      <c r="D627" s="41">
        <v>28600</v>
      </c>
    </row>
    <row r="628" spans="1:4" x14ac:dyDescent="0.25">
      <c r="A628" s="39" t="s">
        <v>1472</v>
      </c>
      <c r="B628" s="39" t="s">
        <v>1473</v>
      </c>
      <c r="C628" s="40">
        <v>5</v>
      </c>
      <c r="D628" s="41" t="s">
        <v>449</v>
      </c>
    </row>
    <row r="629" spans="1:4" x14ac:dyDescent="0.25">
      <c r="A629" s="39" t="s">
        <v>1474</v>
      </c>
      <c r="B629" s="39" t="s">
        <v>1475</v>
      </c>
      <c r="C629" s="40">
        <v>5</v>
      </c>
      <c r="D629" s="41" t="s">
        <v>449</v>
      </c>
    </row>
    <row r="630" spans="1:4" x14ac:dyDescent="0.25">
      <c r="A630" s="39" t="s">
        <v>1476</v>
      </c>
      <c r="B630" s="39" t="s">
        <v>1477</v>
      </c>
      <c r="C630" s="40">
        <v>4</v>
      </c>
      <c r="D630" s="41">
        <v>312000</v>
      </c>
    </row>
    <row r="631" spans="1:4" x14ac:dyDescent="0.25">
      <c r="A631" s="39" t="s">
        <v>1478</v>
      </c>
      <c r="B631" s="39" t="s">
        <v>1479</v>
      </c>
      <c r="C631" s="40">
        <v>5</v>
      </c>
      <c r="D631" s="41" t="s">
        <v>449</v>
      </c>
    </row>
    <row r="632" spans="1:4" x14ac:dyDescent="0.25">
      <c r="A632" s="39" t="s">
        <v>1480</v>
      </c>
      <c r="B632" s="39" t="s">
        <v>1481</v>
      </c>
      <c r="C632" s="40">
        <v>5</v>
      </c>
      <c r="D632" s="41" t="s">
        <v>449</v>
      </c>
    </row>
    <row r="633" spans="1:4" x14ac:dyDescent="0.25">
      <c r="A633" s="39" t="s">
        <v>1482</v>
      </c>
      <c r="B633" s="39" t="s">
        <v>1483</v>
      </c>
      <c r="C633" s="40">
        <v>5</v>
      </c>
      <c r="D633" s="41" t="s">
        <v>449</v>
      </c>
    </row>
    <row r="634" spans="1:4" x14ac:dyDescent="0.25">
      <c r="A634" s="39" t="s">
        <v>1484</v>
      </c>
      <c r="B634" s="39" t="s">
        <v>1485</v>
      </c>
      <c r="C634" s="40">
        <v>5</v>
      </c>
      <c r="D634" s="41">
        <v>312500</v>
      </c>
    </row>
    <row r="635" spans="1:4" x14ac:dyDescent="0.25">
      <c r="A635" s="39" t="s">
        <v>1486</v>
      </c>
      <c r="B635" s="39" t="s">
        <v>1487</v>
      </c>
      <c r="C635" s="40">
        <v>5</v>
      </c>
      <c r="D635" s="41" t="s">
        <v>449</v>
      </c>
    </row>
    <row r="636" spans="1:4" x14ac:dyDescent="0.25">
      <c r="A636" s="39" t="s">
        <v>1488</v>
      </c>
      <c r="B636" s="39" t="s">
        <v>1489</v>
      </c>
      <c r="C636" s="40">
        <v>5</v>
      </c>
      <c r="D636" s="41" t="s">
        <v>449</v>
      </c>
    </row>
    <row r="637" spans="1:4" x14ac:dyDescent="0.25">
      <c r="A637" s="39" t="s">
        <v>1490</v>
      </c>
      <c r="B637" s="39" t="s">
        <v>1491</v>
      </c>
      <c r="C637" s="40">
        <v>5</v>
      </c>
      <c r="D637" s="41" t="s">
        <v>449</v>
      </c>
    </row>
    <row r="638" spans="1:4" x14ac:dyDescent="0.25">
      <c r="A638" s="39" t="s">
        <v>1492</v>
      </c>
      <c r="B638" s="39" t="s">
        <v>1493</v>
      </c>
      <c r="C638" s="40">
        <v>5</v>
      </c>
      <c r="D638" s="41" t="s">
        <v>449</v>
      </c>
    </row>
    <row r="639" spans="1:4" x14ac:dyDescent="0.25">
      <c r="A639" s="39" t="s">
        <v>1494</v>
      </c>
      <c r="B639" s="39" t="s">
        <v>1495</v>
      </c>
      <c r="C639" s="40">
        <v>5</v>
      </c>
      <c r="D639" s="41" t="s">
        <v>449</v>
      </c>
    </row>
    <row r="640" spans="1:4" x14ac:dyDescent="0.25">
      <c r="A640" s="39" t="s">
        <v>1496</v>
      </c>
      <c r="B640" s="39" t="s">
        <v>1497</v>
      </c>
      <c r="C640" s="40">
        <v>5</v>
      </c>
      <c r="D640" s="41">
        <v>313700</v>
      </c>
    </row>
    <row r="641" spans="1:4" x14ac:dyDescent="0.25">
      <c r="A641" s="39" t="s">
        <v>1498</v>
      </c>
      <c r="B641" s="39" t="s">
        <v>1499</v>
      </c>
      <c r="C641" s="40">
        <v>5</v>
      </c>
      <c r="D641" s="41" t="s">
        <v>449</v>
      </c>
    </row>
    <row r="642" spans="1:4" x14ac:dyDescent="0.25">
      <c r="A642" s="39" t="s">
        <v>1500</v>
      </c>
      <c r="B642" s="39" t="s">
        <v>1501</v>
      </c>
      <c r="C642" s="40">
        <v>5</v>
      </c>
      <c r="D642" s="41">
        <v>357313</v>
      </c>
    </row>
    <row r="643" spans="1:4" x14ac:dyDescent="0.25">
      <c r="A643" s="39" t="s">
        <v>1502</v>
      </c>
      <c r="B643" s="39" t="s">
        <v>1503</v>
      </c>
      <c r="C643" s="40">
        <v>5</v>
      </c>
      <c r="D643" s="41" t="s">
        <v>449</v>
      </c>
    </row>
    <row r="644" spans="1:4" x14ac:dyDescent="0.25">
      <c r="A644" s="39" t="s">
        <v>1504</v>
      </c>
      <c r="B644" s="39" t="s">
        <v>1505</v>
      </c>
      <c r="C644" s="40">
        <v>3</v>
      </c>
      <c r="D644" s="41" t="s">
        <v>266</v>
      </c>
    </row>
    <row r="645" spans="1:4" x14ac:dyDescent="0.25">
      <c r="A645" s="39" t="s">
        <v>1506</v>
      </c>
      <c r="B645" s="39" t="s">
        <v>1507</v>
      </c>
      <c r="C645" s="40">
        <v>4</v>
      </c>
      <c r="D645" s="41" t="s">
        <v>266</v>
      </c>
    </row>
    <row r="646" spans="1:4" x14ac:dyDescent="0.25">
      <c r="A646" s="39" t="s">
        <v>1508</v>
      </c>
      <c r="B646" s="39" t="s">
        <v>1509</v>
      </c>
      <c r="C646" s="40">
        <v>5</v>
      </c>
      <c r="D646" s="41" t="s">
        <v>449</v>
      </c>
    </row>
    <row r="647" spans="1:4" x14ac:dyDescent="0.25">
      <c r="A647" s="39" t="s">
        <v>1510</v>
      </c>
      <c r="B647" s="39" t="s">
        <v>1511</v>
      </c>
      <c r="C647" s="40">
        <v>5</v>
      </c>
      <c r="D647" s="41">
        <v>321613</v>
      </c>
    </row>
    <row r="648" spans="1:4" x14ac:dyDescent="0.25">
      <c r="A648" s="39" t="s">
        <v>1512</v>
      </c>
      <c r="B648" s="39" t="s">
        <v>1513</v>
      </c>
      <c r="C648" s="40">
        <v>5</v>
      </c>
      <c r="D648" s="41" t="s">
        <v>449</v>
      </c>
    </row>
    <row r="649" spans="1:4" x14ac:dyDescent="0.25">
      <c r="A649" s="39" t="s">
        <v>1514</v>
      </c>
      <c r="B649" s="39" t="s">
        <v>1515</v>
      </c>
      <c r="C649" s="40">
        <v>5</v>
      </c>
      <c r="D649" s="41">
        <v>265619</v>
      </c>
    </row>
    <row r="650" spans="1:4" x14ac:dyDescent="0.25">
      <c r="A650" s="39" t="s">
        <v>1516</v>
      </c>
      <c r="B650" s="39" t="s">
        <v>1517</v>
      </c>
      <c r="C650" s="40">
        <v>5</v>
      </c>
      <c r="D650" s="41" t="s">
        <v>449</v>
      </c>
    </row>
    <row r="651" spans="1:4" x14ac:dyDescent="0.25">
      <c r="A651" s="39" t="s">
        <v>1518</v>
      </c>
      <c r="B651" s="39" t="s">
        <v>1519</v>
      </c>
      <c r="C651" s="40">
        <v>4</v>
      </c>
      <c r="D651" s="41" t="s">
        <v>266</v>
      </c>
    </row>
    <row r="652" spans="1:4" x14ac:dyDescent="0.25">
      <c r="A652" s="39" t="s">
        <v>1520</v>
      </c>
      <c r="B652" s="39" t="s">
        <v>1521</v>
      </c>
      <c r="C652" s="40">
        <v>5</v>
      </c>
      <c r="D652" s="41" t="s">
        <v>449</v>
      </c>
    </row>
    <row r="653" spans="1:4" x14ac:dyDescent="0.25">
      <c r="A653" s="39" t="s">
        <v>1522</v>
      </c>
      <c r="B653" s="39" t="s">
        <v>1523</v>
      </c>
      <c r="C653" s="40">
        <v>5</v>
      </c>
      <c r="D653" s="41">
        <v>321613</v>
      </c>
    </row>
    <row r="654" spans="1:4" x14ac:dyDescent="0.25">
      <c r="A654" s="39" t="s">
        <v>1524</v>
      </c>
      <c r="B654" s="39" t="s">
        <v>1525</v>
      </c>
      <c r="C654" s="40">
        <v>5</v>
      </c>
      <c r="D654" s="41" t="s">
        <v>449</v>
      </c>
    </row>
    <row r="655" spans="1:4" x14ac:dyDescent="0.25">
      <c r="A655" s="39" t="s">
        <v>1526</v>
      </c>
      <c r="B655" s="39" t="s">
        <v>1527</v>
      </c>
      <c r="C655" s="40">
        <v>5</v>
      </c>
      <c r="D655" s="41">
        <v>265616</v>
      </c>
    </row>
    <row r="656" spans="1:4" x14ac:dyDescent="0.25">
      <c r="A656" s="39" t="s">
        <v>1528</v>
      </c>
      <c r="B656" s="39" t="s">
        <v>1529</v>
      </c>
      <c r="C656" s="40">
        <v>5</v>
      </c>
      <c r="D656" s="41" t="s">
        <v>449</v>
      </c>
    </row>
    <row r="657" spans="1:4" x14ac:dyDescent="0.25">
      <c r="A657" s="39" t="s">
        <v>1530</v>
      </c>
      <c r="B657" s="39" t="s">
        <v>1531</v>
      </c>
      <c r="C657" s="40">
        <v>4</v>
      </c>
      <c r="D657" s="41" t="s">
        <v>266</v>
      </c>
    </row>
    <row r="658" spans="1:4" x14ac:dyDescent="0.25">
      <c r="A658" s="39" t="s">
        <v>1532</v>
      </c>
      <c r="B658" s="39" t="s">
        <v>1533</v>
      </c>
      <c r="C658" s="40">
        <v>5</v>
      </c>
      <c r="D658" s="41" t="s">
        <v>449</v>
      </c>
    </row>
    <row r="659" spans="1:4" x14ac:dyDescent="0.25">
      <c r="A659" s="39" t="s">
        <v>1534</v>
      </c>
      <c r="B659" s="39" t="s">
        <v>1535</v>
      </c>
      <c r="C659" s="40">
        <v>5</v>
      </c>
      <c r="D659" s="41">
        <v>321613</v>
      </c>
    </row>
    <row r="660" spans="1:4" x14ac:dyDescent="0.25">
      <c r="A660" s="39" t="s">
        <v>1536</v>
      </c>
      <c r="B660" s="39" t="s">
        <v>1537</v>
      </c>
      <c r="C660" s="40">
        <v>5</v>
      </c>
      <c r="D660" s="41" t="s">
        <v>266</v>
      </c>
    </row>
    <row r="661" spans="1:4" x14ac:dyDescent="0.25">
      <c r="A661" s="39" t="s">
        <v>1538</v>
      </c>
      <c r="B661" s="39" t="s">
        <v>1539</v>
      </c>
      <c r="C661" s="40">
        <v>5</v>
      </c>
      <c r="D661" s="41" t="s">
        <v>449</v>
      </c>
    </row>
    <row r="662" spans="1:4" x14ac:dyDescent="0.25">
      <c r="A662" s="39" t="s">
        <v>1540</v>
      </c>
      <c r="B662" s="39" t="s">
        <v>1541</v>
      </c>
      <c r="C662" s="40">
        <v>5</v>
      </c>
      <c r="D662" s="41">
        <v>265633</v>
      </c>
    </row>
    <row r="663" spans="1:4" x14ac:dyDescent="0.25">
      <c r="A663" s="39" t="s">
        <v>1542</v>
      </c>
      <c r="B663" s="39" t="s">
        <v>1543</v>
      </c>
      <c r="C663" s="40">
        <v>5</v>
      </c>
      <c r="D663" s="41" t="s">
        <v>449</v>
      </c>
    </row>
    <row r="664" spans="1:4" x14ac:dyDescent="0.25">
      <c r="A664" s="39" t="s">
        <v>1544</v>
      </c>
      <c r="B664" s="39" t="s">
        <v>1545</v>
      </c>
      <c r="C664" s="40">
        <v>4</v>
      </c>
      <c r="D664" s="41" t="s">
        <v>266</v>
      </c>
    </row>
    <row r="665" spans="1:4" x14ac:dyDescent="0.25">
      <c r="A665" s="39" t="s">
        <v>1546</v>
      </c>
      <c r="B665" s="39" t="s">
        <v>1547</v>
      </c>
      <c r="C665" s="40">
        <v>5</v>
      </c>
      <c r="D665" s="41" t="s">
        <v>449</v>
      </c>
    </row>
    <row r="666" spans="1:4" x14ac:dyDescent="0.25">
      <c r="A666" s="39" t="s">
        <v>1548</v>
      </c>
      <c r="B666" s="39" t="s">
        <v>1549</v>
      </c>
      <c r="C666" s="40">
        <v>5</v>
      </c>
      <c r="D666" s="41">
        <v>321613</v>
      </c>
    </row>
    <row r="667" spans="1:4" x14ac:dyDescent="0.25">
      <c r="A667" s="39" t="s">
        <v>1550</v>
      </c>
      <c r="B667" s="39" t="s">
        <v>1551</v>
      </c>
      <c r="C667" s="40">
        <v>5</v>
      </c>
      <c r="D667" s="41" t="s">
        <v>449</v>
      </c>
    </row>
    <row r="668" spans="1:4" x14ac:dyDescent="0.25">
      <c r="A668" s="39" t="s">
        <v>1552</v>
      </c>
      <c r="B668" s="39" t="s">
        <v>1553</v>
      </c>
      <c r="C668" s="40">
        <v>5</v>
      </c>
      <c r="D668" s="41">
        <v>265600</v>
      </c>
    </row>
    <row r="669" spans="1:4" x14ac:dyDescent="0.25">
      <c r="A669" s="39" t="s">
        <v>1554</v>
      </c>
      <c r="B669" s="39" t="s">
        <v>1555</v>
      </c>
      <c r="C669" s="40">
        <v>5</v>
      </c>
      <c r="D669" s="41" t="s">
        <v>449</v>
      </c>
    </row>
    <row r="670" spans="1:4" x14ac:dyDescent="0.25">
      <c r="A670" s="39" t="s">
        <v>1556</v>
      </c>
      <c r="B670" s="39" t="s">
        <v>1557</v>
      </c>
      <c r="C670" s="40">
        <v>4</v>
      </c>
      <c r="D670" s="41" t="s">
        <v>266</v>
      </c>
    </row>
    <row r="671" spans="1:4" x14ac:dyDescent="0.25">
      <c r="A671" s="39" t="s">
        <v>1558</v>
      </c>
      <c r="B671" s="39" t="s">
        <v>1559</v>
      </c>
      <c r="C671" s="40">
        <v>5</v>
      </c>
      <c r="D671" s="41" t="s">
        <v>449</v>
      </c>
    </row>
    <row r="672" spans="1:4" x14ac:dyDescent="0.25">
      <c r="A672" s="39" t="s">
        <v>1560</v>
      </c>
      <c r="B672" s="39" t="s">
        <v>1561</v>
      </c>
      <c r="C672" s="40">
        <v>5</v>
      </c>
      <c r="D672" s="41" t="s">
        <v>449</v>
      </c>
    </row>
    <row r="673" spans="1:4" x14ac:dyDescent="0.25">
      <c r="A673" s="39" t="s">
        <v>1562</v>
      </c>
      <c r="B673" s="39" t="s">
        <v>1563</v>
      </c>
      <c r="C673" s="40">
        <v>5</v>
      </c>
      <c r="D673" s="41" t="s">
        <v>449</v>
      </c>
    </row>
    <row r="674" spans="1:4" x14ac:dyDescent="0.25">
      <c r="A674" s="39" t="s">
        <v>1564</v>
      </c>
      <c r="B674" s="39" t="s">
        <v>1565</v>
      </c>
      <c r="C674" s="40">
        <v>4</v>
      </c>
      <c r="D674" s="41" t="s">
        <v>266</v>
      </c>
    </row>
    <row r="675" spans="1:4" x14ac:dyDescent="0.25">
      <c r="A675" s="39" t="s">
        <v>1566</v>
      </c>
      <c r="B675" s="39" t="s">
        <v>1567</v>
      </c>
      <c r="C675" s="40">
        <v>5</v>
      </c>
      <c r="D675" s="41" t="s">
        <v>449</v>
      </c>
    </row>
    <row r="676" spans="1:4" x14ac:dyDescent="0.25">
      <c r="A676" s="39" t="s">
        <v>1568</v>
      </c>
      <c r="B676" s="39" t="s">
        <v>1569</v>
      </c>
      <c r="C676" s="40">
        <v>5</v>
      </c>
      <c r="D676" s="41" t="s">
        <v>449</v>
      </c>
    </row>
    <row r="677" spans="1:4" x14ac:dyDescent="0.25">
      <c r="A677" s="39" t="s">
        <v>1570</v>
      </c>
      <c r="B677" s="39" t="s">
        <v>1571</v>
      </c>
      <c r="C677" s="40">
        <v>5</v>
      </c>
      <c r="D677" s="41" t="s">
        <v>449</v>
      </c>
    </row>
    <row r="678" spans="1:4" x14ac:dyDescent="0.25">
      <c r="A678" s="39" t="s">
        <v>1572</v>
      </c>
      <c r="B678" s="39" t="s">
        <v>1573</v>
      </c>
      <c r="C678" s="40">
        <v>5</v>
      </c>
      <c r="D678" s="41" t="s">
        <v>449</v>
      </c>
    </row>
    <row r="679" spans="1:4" x14ac:dyDescent="0.25">
      <c r="A679" s="39" t="s">
        <v>1574</v>
      </c>
      <c r="B679" s="39" t="s">
        <v>1575</v>
      </c>
      <c r="C679" s="40">
        <v>5</v>
      </c>
      <c r="D679" s="41" t="s">
        <v>449</v>
      </c>
    </row>
    <row r="680" spans="1:4" x14ac:dyDescent="0.25">
      <c r="A680" s="39" t="s">
        <v>1576</v>
      </c>
      <c r="B680" s="39" t="s">
        <v>1577</v>
      </c>
      <c r="C680" s="40">
        <v>5</v>
      </c>
      <c r="D680" s="41" t="s">
        <v>449</v>
      </c>
    </row>
    <row r="681" spans="1:4" x14ac:dyDescent="0.25">
      <c r="A681" s="39" t="s">
        <v>1578</v>
      </c>
      <c r="B681" s="39" t="s">
        <v>1579</v>
      </c>
      <c r="C681" s="40">
        <v>5</v>
      </c>
      <c r="D681" s="41">
        <v>108413</v>
      </c>
    </row>
    <row r="682" spans="1:4" x14ac:dyDescent="0.25">
      <c r="A682" s="39" t="s">
        <v>1580</v>
      </c>
      <c r="B682" s="39" t="s">
        <v>1581</v>
      </c>
      <c r="C682" s="40">
        <v>5</v>
      </c>
      <c r="D682" s="41" t="s">
        <v>449</v>
      </c>
    </row>
    <row r="683" spans="1:4" x14ac:dyDescent="0.25">
      <c r="A683" s="39" t="s">
        <v>1582</v>
      </c>
      <c r="B683" s="39" t="s">
        <v>1583</v>
      </c>
      <c r="C683" s="40">
        <v>5</v>
      </c>
      <c r="D683" s="41" t="s">
        <v>449</v>
      </c>
    </row>
    <row r="684" spans="1:4" x14ac:dyDescent="0.25">
      <c r="A684" s="39" t="s">
        <v>1584</v>
      </c>
      <c r="B684" s="39" t="s">
        <v>1585</v>
      </c>
      <c r="C684" s="40">
        <v>5</v>
      </c>
      <c r="D684" s="41" t="s">
        <v>449</v>
      </c>
    </row>
    <row r="685" spans="1:4" x14ac:dyDescent="0.25">
      <c r="A685" s="39" t="s">
        <v>1586</v>
      </c>
      <c r="B685" s="39" t="s">
        <v>1587</v>
      </c>
      <c r="C685" s="40">
        <v>5</v>
      </c>
      <c r="D685" s="41" t="s">
        <v>449</v>
      </c>
    </row>
    <row r="686" spans="1:4" x14ac:dyDescent="0.25">
      <c r="A686" s="39" t="s">
        <v>1588</v>
      </c>
      <c r="B686" s="39" t="s">
        <v>1589</v>
      </c>
      <c r="C686" s="40">
        <v>5</v>
      </c>
      <c r="D686" s="41" t="s">
        <v>449</v>
      </c>
    </row>
    <row r="687" spans="1:4" x14ac:dyDescent="0.25">
      <c r="A687" s="39" t="s">
        <v>1590</v>
      </c>
      <c r="B687" s="39" t="s">
        <v>1591</v>
      </c>
      <c r="C687" s="40">
        <v>4</v>
      </c>
      <c r="D687" s="41" t="s">
        <v>266</v>
      </c>
    </row>
    <row r="688" spans="1:4" x14ac:dyDescent="0.25">
      <c r="A688" s="39" t="s">
        <v>1592</v>
      </c>
      <c r="B688" s="39" t="s">
        <v>1593</v>
      </c>
      <c r="C688" s="40">
        <v>5</v>
      </c>
      <c r="D688" s="41" t="s">
        <v>449</v>
      </c>
    </row>
    <row r="689" spans="1:4" x14ac:dyDescent="0.25">
      <c r="A689" s="39" t="s">
        <v>1594</v>
      </c>
      <c r="B689" s="39" t="s">
        <v>1595</v>
      </c>
      <c r="C689" s="40">
        <v>5</v>
      </c>
      <c r="D689" s="41" t="s">
        <v>449</v>
      </c>
    </row>
    <row r="690" spans="1:4" x14ac:dyDescent="0.25">
      <c r="A690" s="39" t="s">
        <v>1596</v>
      </c>
      <c r="B690" s="39" t="s">
        <v>1597</v>
      </c>
      <c r="C690" s="40">
        <v>5</v>
      </c>
      <c r="D690" s="41" t="s">
        <v>449</v>
      </c>
    </row>
    <row r="691" spans="1:4" x14ac:dyDescent="0.25">
      <c r="A691" s="39" t="s">
        <v>1598</v>
      </c>
      <c r="B691" s="39" t="s">
        <v>1599</v>
      </c>
      <c r="C691" s="40">
        <v>5</v>
      </c>
      <c r="D691" s="41" t="s">
        <v>449</v>
      </c>
    </row>
    <row r="692" spans="1:4" x14ac:dyDescent="0.25">
      <c r="A692" s="39" t="s">
        <v>1600</v>
      </c>
      <c r="B692" s="39" t="s">
        <v>1601</v>
      </c>
      <c r="C692" s="40">
        <v>5</v>
      </c>
      <c r="D692" s="41">
        <v>265626</v>
      </c>
    </row>
    <row r="693" spans="1:4" x14ac:dyDescent="0.25">
      <c r="A693" s="39" t="s">
        <v>1602</v>
      </c>
      <c r="B693" s="39" t="s">
        <v>1603</v>
      </c>
      <c r="C693" s="40">
        <v>5</v>
      </c>
      <c r="D693" s="41" t="s">
        <v>449</v>
      </c>
    </row>
    <row r="694" spans="1:4" x14ac:dyDescent="0.25">
      <c r="A694" s="39" t="s">
        <v>1604</v>
      </c>
      <c r="B694" s="39" t="s">
        <v>1605</v>
      </c>
      <c r="C694" s="40">
        <v>3</v>
      </c>
      <c r="D694" s="41" t="s">
        <v>266</v>
      </c>
    </row>
    <row r="695" spans="1:4" x14ac:dyDescent="0.25">
      <c r="A695" s="39" t="s">
        <v>1606</v>
      </c>
      <c r="B695" s="39" t="s">
        <v>1607</v>
      </c>
      <c r="C695" s="40">
        <v>4</v>
      </c>
      <c r="D695" s="41">
        <v>331000</v>
      </c>
    </row>
    <row r="696" spans="1:4" x14ac:dyDescent="0.25">
      <c r="A696" s="39" t="s">
        <v>1608</v>
      </c>
      <c r="B696" s="39" t="s">
        <v>1609</v>
      </c>
      <c r="C696" s="40">
        <v>5</v>
      </c>
      <c r="D696" s="41" t="s">
        <v>449</v>
      </c>
    </row>
    <row r="697" spans="1:4" x14ac:dyDescent="0.25">
      <c r="A697" s="39" t="s">
        <v>1610</v>
      </c>
      <c r="B697" s="39" t="s">
        <v>1611</v>
      </c>
      <c r="C697" s="40">
        <v>5</v>
      </c>
      <c r="D697" s="41" t="s">
        <v>449</v>
      </c>
    </row>
    <row r="698" spans="1:4" x14ac:dyDescent="0.25">
      <c r="A698" s="39" t="s">
        <v>1612</v>
      </c>
      <c r="B698" s="39" t="s">
        <v>1613</v>
      </c>
      <c r="C698" s="40">
        <v>5</v>
      </c>
      <c r="D698" s="41" t="s">
        <v>449</v>
      </c>
    </row>
    <row r="699" spans="1:4" x14ac:dyDescent="0.25">
      <c r="A699" s="39" t="s">
        <v>1614</v>
      </c>
      <c r="B699" s="39" t="s">
        <v>1615</v>
      </c>
      <c r="C699" s="40">
        <v>4</v>
      </c>
      <c r="D699" s="41">
        <v>333000</v>
      </c>
    </row>
    <row r="700" spans="1:4" x14ac:dyDescent="0.25">
      <c r="A700" s="39" t="s">
        <v>1616</v>
      </c>
      <c r="B700" s="39" t="s">
        <v>1617</v>
      </c>
      <c r="C700" s="40">
        <v>5</v>
      </c>
      <c r="D700" s="41" t="s">
        <v>266</v>
      </c>
    </row>
    <row r="701" spans="1:4" x14ac:dyDescent="0.25">
      <c r="A701" s="39" t="s">
        <v>1618</v>
      </c>
      <c r="B701" s="39" t="s">
        <v>936</v>
      </c>
      <c r="C701" s="40">
        <v>5</v>
      </c>
      <c r="D701" s="41" t="s">
        <v>449</v>
      </c>
    </row>
    <row r="702" spans="1:4" x14ac:dyDescent="0.25">
      <c r="A702" s="39" t="s">
        <v>1619</v>
      </c>
      <c r="B702" s="39" t="s">
        <v>1620</v>
      </c>
      <c r="C702" s="40">
        <v>5</v>
      </c>
      <c r="D702" s="41" t="s">
        <v>449</v>
      </c>
    </row>
    <row r="703" spans="1:4" x14ac:dyDescent="0.25">
      <c r="A703" s="39" t="s">
        <v>1621</v>
      </c>
      <c r="B703" s="39" t="s">
        <v>1622</v>
      </c>
      <c r="C703" s="40">
        <v>5</v>
      </c>
      <c r="D703" s="41" t="s">
        <v>449</v>
      </c>
    </row>
    <row r="704" spans="1:4" x14ac:dyDescent="0.25">
      <c r="A704" s="39" t="s">
        <v>1623</v>
      </c>
      <c r="B704" s="39" t="s">
        <v>1624</v>
      </c>
      <c r="C704" s="40">
        <v>5</v>
      </c>
      <c r="D704" s="41">
        <v>334723</v>
      </c>
    </row>
    <row r="705" spans="1:4" x14ac:dyDescent="0.25">
      <c r="A705" s="39" t="s">
        <v>1625</v>
      </c>
      <c r="B705" s="39" t="s">
        <v>1626</v>
      </c>
      <c r="C705" s="40">
        <v>4</v>
      </c>
      <c r="D705" s="41">
        <v>334000</v>
      </c>
    </row>
    <row r="706" spans="1:4" x14ac:dyDescent="0.25">
      <c r="A706" s="39" t="s">
        <v>1627</v>
      </c>
      <c r="B706" s="39" t="s">
        <v>1628</v>
      </c>
      <c r="C706" s="40">
        <v>5</v>
      </c>
      <c r="D706" s="41" t="s">
        <v>266</v>
      </c>
    </row>
    <row r="707" spans="1:4" x14ac:dyDescent="0.25">
      <c r="A707" s="39" t="s">
        <v>1629</v>
      </c>
      <c r="B707" s="39" t="s">
        <v>1630</v>
      </c>
      <c r="C707" s="40">
        <v>5</v>
      </c>
      <c r="D707" s="41">
        <v>334100</v>
      </c>
    </row>
    <row r="708" spans="1:4" x14ac:dyDescent="0.25">
      <c r="A708" s="39" t="s">
        <v>1631</v>
      </c>
      <c r="B708" s="39" t="s">
        <v>1632</v>
      </c>
      <c r="C708" s="40">
        <v>5</v>
      </c>
      <c r="D708" s="41">
        <v>334200</v>
      </c>
    </row>
    <row r="709" spans="1:4" x14ac:dyDescent="0.25">
      <c r="A709" s="39" t="s">
        <v>1633</v>
      </c>
      <c r="B709" s="39" t="s">
        <v>1634</v>
      </c>
      <c r="C709" s="40">
        <v>5</v>
      </c>
      <c r="D709" s="41" t="s">
        <v>449</v>
      </c>
    </row>
    <row r="710" spans="1:4" x14ac:dyDescent="0.25">
      <c r="A710" s="39" t="s">
        <v>1635</v>
      </c>
      <c r="B710" s="39" t="s">
        <v>1636</v>
      </c>
      <c r="C710" s="40">
        <v>5</v>
      </c>
      <c r="D710" s="41">
        <v>334500</v>
      </c>
    </row>
    <row r="711" spans="1:4" x14ac:dyDescent="0.25">
      <c r="A711" s="39" t="s">
        <v>1637</v>
      </c>
      <c r="B711" s="39" t="s">
        <v>1638</v>
      </c>
      <c r="C711" s="40">
        <v>5</v>
      </c>
      <c r="D711" s="41" t="s">
        <v>449</v>
      </c>
    </row>
    <row r="712" spans="1:4" x14ac:dyDescent="0.25">
      <c r="A712" s="39" t="s">
        <v>1639</v>
      </c>
      <c r="B712" s="39" t="s">
        <v>1640</v>
      </c>
      <c r="C712" s="40">
        <v>5</v>
      </c>
      <c r="D712" s="41" t="s">
        <v>449</v>
      </c>
    </row>
    <row r="713" spans="1:4" x14ac:dyDescent="0.25">
      <c r="A713" s="39" t="s">
        <v>1641</v>
      </c>
      <c r="B713" s="39" t="s">
        <v>1642</v>
      </c>
      <c r="C713" s="40">
        <v>4</v>
      </c>
      <c r="D713" s="41" t="s">
        <v>266</v>
      </c>
    </row>
    <row r="714" spans="1:4" x14ac:dyDescent="0.25">
      <c r="A714" s="39" t="s">
        <v>1643</v>
      </c>
      <c r="B714" s="39" t="s">
        <v>1644</v>
      </c>
      <c r="C714" s="40">
        <v>5</v>
      </c>
      <c r="D714" s="41" t="s">
        <v>449</v>
      </c>
    </row>
    <row r="715" spans="1:4" x14ac:dyDescent="0.25">
      <c r="A715" s="39" t="s">
        <v>1645</v>
      </c>
      <c r="B715" s="39" t="s">
        <v>1646</v>
      </c>
      <c r="C715" s="40">
        <v>5</v>
      </c>
      <c r="D715" s="41" t="s">
        <v>449</v>
      </c>
    </row>
    <row r="716" spans="1:4" x14ac:dyDescent="0.25">
      <c r="A716" s="39" t="s">
        <v>1647</v>
      </c>
      <c r="B716" s="39" t="s">
        <v>1648</v>
      </c>
      <c r="C716" s="40">
        <v>5</v>
      </c>
      <c r="D716" s="41" t="s">
        <v>449</v>
      </c>
    </row>
    <row r="717" spans="1:4" x14ac:dyDescent="0.25">
      <c r="A717" s="39" t="s">
        <v>1649</v>
      </c>
      <c r="B717" s="39" t="s">
        <v>1650</v>
      </c>
      <c r="C717" s="40">
        <v>4</v>
      </c>
      <c r="D717" s="41" t="s">
        <v>266</v>
      </c>
    </row>
    <row r="718" spans="1:4" x14ac:dyDescent="0.25">
      <c r="A718" s="39" t="s">
        <v>1651</v>
      </c>
      <c r="B718" s="39" t="s">
        <v>1652</v>
      </c>
      <c r="C718" s="40">
        <v>5</v>
      </c>
      <c r="D718" s="41" t="s">
        <v>449</v>
      </c>
    </row>
    <row r="719" spans="1:4" x14ac:dyDescent="0.25">
      <c r="A719" s="39" t="s">
        <v>1653</v>
      </c>
      <c r="B719" s="39" t="s">
        <v>1654</v>
      </c>
      <c r="C719" s="40">
        <v>5</v>
      </c>
      <c r="D719" s="41" t="s">
        <v>449</v>
      </c>
    </row>
    <row r="720" spans="1:4" x14ac:dyDescent="0.25">
      <c r="A720" s="39" t="s">
        <v>1655</v>
      </c>
      <c r="B720" s="39" t="s">
        <v>1656</v>
      </c>
      <c r="C720" s="40">
        <v>5</v>
      </c>
      <c r="D720" s="41" t="s">
        <v>449</v>
      </c>
    </row>
    <row r="721" spans="1:4" x14ac:dyDescent="0.25">
      <c r="A721" s="39" t="s">
        <v>1657</v>
      </c>
      <c r="B721" s="39" t="s">
        <v>1658</v>
      </c>
      <c r="C721" s="40">
        <v>5</v>
      </c>
      <c r="D721" s="41" t="s">
        <v>449</v>
      </c>
    </row>
    <row r="722" spans="1:4" x14ac:dyDescent="0.25">
      <c r="A722" s="39" t="s">
        <v>1659</v>
      </c>
      <c r="B722" s="39" t="s">
        <v>1660</v>
      </c>
      <c r="C722" s="40">
        <v>5</v>
      </c>
      <c r="D722" s="41" t="s">
        <v>449</v>
      </c>
    </row>
    <row r="723" spans="1:4" x14ac:dyDescent="0.25">
      <c r="A723" s="39" t="s">
        <v>1661</v>
      </c>
      <c r="B723" s="39" t="s">
        <v>1662</v>
      </c>
      <c r="C723" s="40">
        <v>4</v>
      </c>
      <c r="D723" s="41" t="s">
        <v>266</v>
      </c>
    </row>
    <row r="724" spans="1:4" x14ac:dyDescent="0.25">
      <c r="A724" s="39" t="s">
        <v>1663</v>
      </c>
      <c r="B724" s="39" t="s">
        <v>1148</v>
      </c>
      <c r="C724" s="40">
        <v>5</v>
      </c>
      <c r="D724" s="41" t="s">
        <v>449</v>
      </c>
    </row>
    <row r="725" spans="1:4" x14ac:dyDescent="0.25">
      <c r="A725" s="39" t="s">
        <v>1664</v>
      </c>
      <c r="B725" s="39" t="s">
        <v>1665</v>
      </c>
      <c r="C725" s="40">
        <v>3</v>
      </c>
      <c r="D725" s="41" t="s">
        <v>266</v>
      </c>
    </row>
    <row r="726" spans="1:4" x14ac:dyDescent="0.25">
      <c r="A726" s="39" t="s">
        <v>1666</v>
      </c>
      <c r="B726" s="39" t="s">
        <v>1667</v>
      </c>
      <c r="C726" s="40">
        <v>4</v>
      </c>
      <c r="D726" s="41" t="s">
        <v>266</v>
      </c>
    </row>
    <row r="727" spans="1:4" x14ac:dyDescent="0.25">
      <c r="A727" s="39" t="s">
        <v>1668</v>
      </c>
      <c r="B727" s="39" t="s">
        <v>1669</v>
      </c>
      <c r="C727" s="40">
        <v>5</v>
      </c>
      <c r="D727" s="41">
        <v>337173</v>
      </c>
    </row>
    <row r="728" spans="1:4" x14ac:dyDescent="0.25">
      <c r="A728" s="39" t="s">
        <v>1670</v>
      </c>
      <c r="B728" s="39" t="s">
        <v>1671</v>
      </c>
      <c r="C728" s="40">
        <v>5</v>
      </c>
      <c r="D728" s="41" t="s">
        <v>449</v>
      </c>
    </row>
    <row r="729" spans="1:4" x14ac:dyDescent="0.25">
      <c r="A729" s="39" t="s">
        <v>1672</v>
      </c>
      <c r="B729" s="39" t="s">
        <v>1673</v>
      </c>
      <c r="C729" s="40">
        <v>5</v>
      </c>
      <c r="D729" s="41" t="s">
        <v>449</v>
      </c>
    </row>
    <row r="730" spans="1:4" x14ac:dyDescent="0.25">
      <c r="A730" s="39" t="s">
        <v>1674</v>
      </c>
      <c r="B730" s="39" t="s">
        <v>1675</v>
      </c>
      <c r="C730" s="40">
        <v>5</v>
      </c>
      <c r="D730" s="41">
        <v>337300</v>
      </c>
    </row>
    <row r="731" spans="1:4" x14ac:dyDescent="0.25">
      <c r="A731" s="39" t="s">
        <v>1676</v>
      </c>
      <c r="B731" s="39" t="s">
        <v>1677</v>
      </c>
      <c r="C731" s="40">
        <v>5</v>
      </c>
      <c r="D731" s="41" t="s">
        <v>449</v>
      </c>
    </row>
    <row r="732" spans="1:4" x14ac:dyDescent="0.25">
      <c r="A732" s="39" t="s">
        <v>1678</v>
      </c>
      <c r="B732" s="39" t="s">
        <v>1679</v>
      </c>
      <c r="C732" s="40">
        <v>5</v>
      </c>
      <c r="D732" s="41" t="s">
        <v>449</v>
      </c>
    </row>
    <row r="733" spans="1:4" x14ac:dyDescent="0.25">
      <c r="A733" s="39" t="s">
        <v>1680</v>
      </c>
      <c r="B733" s="39" t="s">
        <v>1681</v>
      </c>
      <c r="C733" s="40">
        <v>5</v>
      </c>
      <c r="D733" s="41">
        <v>330970</v>
      </c>
    </row>
    <row r="734" spans="1:4" x14ac:dyDescent="0.25">
      <c r="A734" s="39" t="s">
        <v>1682</v>
      </c>
      <c r="B734" s="39" t="s">
        <v>1683</v>
      </c>
      <c r="C734" s="40">
        <v>4</v>
      </c>
      <c r="D734" s="41">
        <v>265629</v>
      </c>
    </row>
    <row r="735" spans="1:4" x14ac:dyDescent="0.25">
      <c r="A735" s="39" t="s">
        <v>1684</v>
      </c>
      <c r="B735" s="39" t="s">
        <v>1685</v>
      </c>
      <c r="C735" s="40">
        <v>5</v>
      </c>
      <c r="D735" s="41">
        <v>265623</v>
      </c>
    </row>
    <row r="736" spans="1:4" x14ac:dyDescent="0.25">
      <c r="A736" s="39" t="s">
        <v>1686</v>
      </c>
      <c r="B736" s="39" t="s">
        <v>1687</v>
      </c>
      <c r="C736" s="40">
        <v>5</v>
      </c>
      <c r="D736" s="41">
        <v>265636</v>
      </c>
    </row>
    <row r="737" spans="1:4" x14ac:dyDescent="0.25">
      <c r="A737" s="39" t="s">
        <v>1688</v>
      </c>
      <c r="B737" s="39" t="s">
        <v>1689</v>
      </c>
      <c r="C737" s="40">
        <v>5</v>
      </c>
      <c r="D737" s="41">
        <v>265600</v>
      </c>
    </row>
    <row r="738" spans="1:4" x14ac:dyDescent="0.25">
      <c r="A738" s="39" t="s">
        <v>1690</v>
      </c>
      <c r="B738" s="39" t="s">
        <v>1691</v>
      </c>
      <c r="C738" s="40">
        <v>5</v>
      </c>
      <c r="D738" s="41" t="s">
        <v>449</v>
      </c>
    </row>
    <row r="739" spans="1:4" x14ac:dyDescent="0.25">
      <c r="A739" s="39" t="s">
        <v>1692</v>
      </c>
      <c r="B739" s="39" t="s">
        <v>1693</v>
      </c>
      <c r="C739" s="40">
        <v>3</v>
      </c>
      <c r="D739" s="41" t="s">
        <v>266</v>
      </c>
    </row>
    <row r="740" spans="1:4" x14ac:dyDescent="0.25">
      <c r="A740" s="39" t="s">
        <v>1694</v>
      </c>
      <c r="B740" s="39" t="s">
        <v>1695</v>
      </c>
      <c r="C740" s="40">
        <v>4</v>
      </c>
      <c r="D740" s="41">
        <v>338000</v>
      </c>
    </row>
    <row r="741" spans="1:4" x14ac:dyDescent="0.25">
      <c r="A741" s="39" t="s">
        <v>1696</v>
      </c>
      <c r="B741" s="39" t="s">
        <v>1697</v>
      </c>
      <c r="C741" s="40">
        <v>5</v>
      </c>
      <c r="D741" s="41" t="s">
        <v>449</v>
      </c>
    </row>
    <row r="742" spans="1:4" x14ac:dyDescent="0.25">
      <c r="A742" s="39" t="s">
        <v>1698</v>
      </c>
      <c r="B742" s="39" t="s">
        <v>1699</v>
      </c>
      <c r="C742" s="40">
        <v>5</v>
      </c>
      <c r="D742" s="41" t="s">
        <v>449</v>
      </c>
    </row>
    <row r="743" spans="1:4" x14ac:dyDescent="0.25">
      <c r="A743" s="39" t="s">
        <v>1700</v>
      </c>
      <c r="B743" s="39" t="s">
        <v>1701</v>
      </c>
      <c r="C743" s="40">
        <v>5</v>
      </c>
      <c r="D743" s="41" t="s">
        <v>449</v>
      </c>
    </row>
    <row r="744" spans="1:4" x14ac:dyDescent="0.25">
      <c r="A744" s="39" t="s">
        <v>1702</v>
      </c>
      <c r="B744" s="39" t="s">
        <v>1703</v>
      </c>
      <c r="C744" s="40">
        <v>3</v>
      </c>
      <c r="D744" s="41" t="s">
        <v>266</v>
      </c>
    </row>
    <row r="745" spans="1:4" x14ac:dyDescent="0.25">
      <c r="A745" s="39" t="s">
        <v>1704</v>
      </c>
      <c r="B745" s="39" t="s">
        <v>1705</v>
      </c>
      <c r="C745" s="40">
        <v>4</v>
      </c>
      <c r="D745" s="41">
        <v>317000</v>
      </c>
    </row>
    <row r="746" spans="1:4" x14ac:dyDescent="0.25">
      <c r="A746" s="39" t="s">
        <v>1706</v>
      </c>
      <c r="B746" s="39" t="s">
        <v>1707</v>
      </c>
      <c r="C746" s="40">
        <v>5</v>
      </c>
      <c r="D746" s="41" t="s">
        <v>449</v>
      </c>
    </row>
    <row r="747" spans="1:4" x14ac:dyDescent="0.25">
      <c r="A747" s="39" t="s">
        <v>1708</v>
      </c>
      <c r="B747" s="39" t="s">
        <v>1709</v>
      </c>
      <c r="C747" s="40">
        <v>5</v>
      </c>
      <c r="D747" s="41" t="s">
        <v>449</v>
      </c>
    </row>
    <row r="748" spans="1:4" x14ac:dyDescent="0.25">
      <c r="A748" s="39" t="s">
        <v>1710</v>
      </c>
      <c r="B748" s="39" t="s">
        <v>1711</v>
      </c>
      <c r="C748" s="40">
        <v>5</v>
      </c>
      <c r="D748" s="41" t="s">
        <v>449</v>
      </c>
    </row>
    <row r="749" spans="1:4" x14ac:dyDescent="0.25">
      <c r="A749" s="39" t="s">
        <v>1712</v>
      </c>
      <c r="B749" s="39" t="s">
        <v>1713</v>
      </c>
      <c r="C749" s="40">
        <v>5</v>
      </c>
      <c r="D749" s="41" t="s">
        <v>449</v>
      </c>
    </row>
    <row r="750" spans="1:4" x14ac:dyDescent="0.25">
      <c r="A750" s="39" t="s">
        <v>1714</v>
      </c>
      <c r="B750" s="39" t="s">
        <v>1715</v>
      </c>
      <c r="C750" s="40">
        <v>2</v>
      </c>
      <c r="D750" s="41" t="s">
        <v>266</v>
      </c>
    </row>
    <row r="751" spans="1:4" x14ac:dyDescent="0.25">
      <c r="A751" s="39" t="s">
        <v>1716</v>
      </c>
      <c r="B751" s="39" t="s">
        <v>1717</v>
      </c>
      <c r="C751" s="40">
        <v>3</v>
      </c>
      <c r="D751" s="41">
        <v>10000</v>
      </c>
    </row>
    <row r="752" spans="1:4" x14ac:dyDescent="0.25">
      <c r="A752" s="39" t="s">
        <v>1718</v>
      </c>
      <c r="B752" s="39" t="s">
        <v>1719</v>
      </c>
      <c r="C752" s="40">
        <v>4</v>
      </c>
      <c r="D752" s="41">
        <v>12000</v>
      </c>
    </row>
    <row r="753" spans="1:4" x14ac:dyDescent="0.25">
      <c r="A753" s="39" t="s">
        <v>1720</v>
      </c>
      <c r="B753" s="39" t="s">
        <v>1721</v>
      </c>
      <c r="C753" s="40">
        <v>5</v>
      </c>
      <c r="D753" s="41">
        <v>12100</v>
      </c>
    </row>
    <row r="754" spans="1:4" x14ac:dyDescent="0.25">
      <c r="A754" s="39" t="s">
        <v>1722</v>
      </c>
      <c r="B754" s="39" t="s">
        <v>1723</v>
      </c>
      <c r="C754" s="40">
        <v>5</v>
      </c>
      <c r="D754" s="41">
        <v>12200</v>
      </c>
    </row>
    <row r="755" spans="1:4" x14ac:dyDescent="0.25">
      <c r="A755" s="39" t="s">
        <v>1724</v>
      </c>
      <c r="B755" s="39" t="s">
        <v>1725</v>
      </c>
      <c r="C755" s="40">
        <v>5</v>
      </c>
      <c r="D755" s="41">
        <v>12300</v>
      </c>
    </row>
    <row r="756" spans="1:4" x14ac:dyDescent="0.25">
      <c r="A756" s="39" t="s">
        <v>1726</v>
      </c>
      <c r="B756" s="39" t="s">
        <v>1727</v>
      </c>
      <c r="C756" s="40">
        <v>5</v>
      </c>
      <c r="D756" s="41">
        <v>12400</v>
      </c>
    </row>
    <row r="757" spans="1:4" x14ac:dyDescent="0.25">
      <c r="A757" s="39" t="s">
        <v>1728</v>
      </c>
      <c r="B757" s="39" t="s">
        <v>1729</v>
      </c>
      <c r="C757" s="40">
        <v>5</v>
      </c>
      <c r="D757" s="41">
        <v>12500</v>
      </c>
    </row>
    <row r="758" spans="1:4" x14ac:dyDescent="0.25">
      <c r="A758" s="39" t="s">
        <v>1730</v>
      </c>
      <c r="B758" s="39" t="s">
        <v>1731</v>
      </c>
      <c r="C758" s="40">
        <v>5</v>
      </c>
      <c r="D758" s="41">
        <v>12600</v>
      </c>
    </row>
    <row r="759" spans="1:4" x14ac:dyDescent="0.25">
      <c r="A759" s="39" t="s">
        <v>1732</v>
      </c>
      <c r="B759" s="39" t="s">
        <v>1733</v>
      </c>
      <c r="C759" s="40">
        <v>5</v>
      </c>
      <c r="D759" s="41">
        <v>12900</v>
      </c>
    </row>
    <row r="760" spans="1:4" x14ac:dyDescent="0.25">
      <c r="A760" s="39" t="s">
        <v>1734</v>
      </c>
      <c r="B760" s="39" t="s">
        <v>1735</v>
      </c>
      <c r="C760" s="40">
        <v>4</v>
      </c>
      <c r="D760" s="41">
        <v>13000</v>
      </c>
    </row>
    <row r="761" spans="1:4" x14ac:dyDescent="0.25">
      <c r="A761" s="39" t="s">
        <v>1736</v>
      </c>
      <c r="B761" s="39" t="s">
        <v>1737</v>
      </c>
      <c r="C761" s="40">
        <v>5</v>
      </c>
      <c r="D761" s="41">
        <v>13100</v>
      </c>
    </row>
    <row r="762" spans="1:4" x14ac:dyDescent="0.25">
      <c r="A762" s="39" t="s">
        <v>1738</v>
      </c>
      <c r="B762" s="39" t="s">
        <v>1739</v>
      </c>
      <c r="C762" s="40">
        <v>5</v>
      </c>
      <c r="D762" s="41">
        <v>13200</v>
      </c>
    </row>
    <row r="763" spans="1:4" x14ac:dyDescent="0.25">
      <c r="A763" s="39" t="s">
        <v>1740</v>
      </c>
      <c r="B763" s="39" t="s">
        <v>1741</v>
      </c>
      <c r="C763" s="40">
        <v>5</v>
      </c>
      <c r="D763" s="41">
        <v>13300</v>
      </c>
    </row>
    <row r="764" spans="1:4" x14ac:dyDescent="0.25">
      <c r="A764" s="39" t="s">
        <v>1742</v>
      </c>
      <c r="B764" s="39" t="s">
        <v>1743</v>
      </c>
      <c r="C764" s="40">
        <v>5</v>
      </c>
      <c r="D764" s="41">
        <v>13500</v>
      </c>
    </row>
    <row r="765" spans="1:4" x14ac:dyDescent="0.25">
      <c r="A765" s="39" t="s">
        <v>1744</v>
      </c>
      <c r="B765" s="39" t="s">
        <v>1745</v>
      </c>
      <c r="C765" s="40">
        <v>4</v>
      </c>
      <c r="D765" s="41">
        <v>14000</v>
      </c>
    </row>
    <row r="766" spans="1:4" x14ac:dyDescent="0.25">
      <c r="A766" s="39" t="s">
        <v>1746</v>
      </c>
      <c r="B766" s="39" t="s">
        <v>1747</v>
      </c>
      <c r="C766" s="40">
        <v>5</v>
      </c>
      <c r="D766" s="41">
        <v>14100</v>
      </c>
    </row>
    <row r="767" spans="1:4" x14ac:dyDescent="0.25">
      <c r="A767" s="39" t="s">
        <v>1748</v>
      </c>
      <c r="B767" s="39" t="s">
        <v>1749</v>
      </c>
      <c r="C767" s="40">
        <v>5</v>
      </c>
      <c r="D767" s="41">
        <v>14200</v>
      </c>
    </row>
    <row r="768" spans="1:4" x14ac:dyDescent="0.25">
      <c r="A768" s="39" t="s">
        <v>1750</v>
      </c>
      <c r="B768" s="39" t="s">
        <v>1751</v>
      </c>
      <c r="C768" s="40">
        <v>5</v>
      </c>
      <c r="D768" s="41">
        <v>14300</v>
      </c>
    </row>
    <row r="769" spans="1:4" x14ac:dyDescent="0.25">
      <c r="A769" s="39" t="s">
        <v>1752</v>
      </c>
      <c r="B769" s="39" t="s">
        <v>1753</v>
      </c>
      <c r="C769" s="40">
        <v>5</v>
      </c>
      <c r="D769" s="41">
        <v>14500</v>
      </c>
    </row>
    <row r="770" spans="1:4" x14ac:dyDescent="0.25">
      <c r="A770" s="39" t="s">
        <v>1754</v>
      </c>
      <c r="B770" s="39" t="s">
        <v>1755</v>
      </c>
      <c r="C770" s="40">
        <v>4</v>
      </c>
      <c r="D770" s="41">
        <v>15000</v>
      </c>
    </row>
    <row r="771" spans="1:4" x14ac:dyDescent="0.25">
      <c r="A771" s="39" t="s">
        <v>1756</v>
      </c>
      <c r="B771" s="39" t="s">
        <v>1757</v>
      </c>
      <c r="C771" s="40">
        <v>5</v>
      </c>
      <c r="D771" s="41">
        <v>15100</v>
      </c>
    </row>
    <row r="772" spans="1:4" x14ac:dyDescent="0.25">
      <c r="A772" s="39" t="s">
        <v>1758</v>
      </c>
      <c r="B772" s="39" t="s">
        <v>1759</v>
      </c>
      <c r="C772" s="40">
        <v>5</v>
      </c>
      <c r="D772" s="41">
        <v>15200</v>
      </c>
    </row>
    <row r="773" spans="1:4" x14ac:dyDescent="0.25">
      <c r="A773" s="39" t="s">
        <v>1760</v>
      </c>
      <c r="B773" s="39" t="s">
        <v>1761</v>
      </c>
      <c r="C773" s="40">
        <v>5</v>
      </c>
      <c r="D773" s="41">
        <v>15300</v>
      </c>
    </row>
    <row r="774" spans="1:4" x14ac:dyDescent="0.25">
      <c r="A774" s="39" t="s">
        <v>1762</v>
      </c>
      <c r="B774" s="39" t="s">
        <v>1763</v>
      </c>
      <c r="C774" s="40">
        <v>5</v>
      </c>
      <c r="D774" s="41">
        <v>15400</v>
      </c>
    </row>
    <row r="775" spans="1:4" x14ac:dyDescent="0.25">
      <c r="A775" s="39" t="s">
        <v>1764</v>
      </c>
      <c r="B775" s="39" t="s">
        <v>1765</v>
      </c>
      <c r="C775" s="40">
        <v>5</v>
      </c>
      <c r="D775" s="41">
        <v>15500</v>
      </c>
    </row>
    <row r="776" spans="1:4" x14ac:dyDescent="0.25">
      <c r="A776" s="39" t="s">
        <v>1766</v>
      </c>
      <c r="B776" s="39" t="s">
        <v>1767</v>
      </c>
      <c r="C776" s="40">
        <v>5</v>
      </c>
      <c r="D776" s="41">
        <v>15600</v>
      </c>
    </row>
    <row r="777" spans="1:4" x14ac:dyDescent="0.25">
      <c r="A777" s="39" t="s">
        <v>1768</v>
      </c>
      <c r="B777" s="39" t="s">
        <v>1769</v>
      </c>
      <c r="C777" s="40">
        <v>5</v>
      </c>
      <c r="D777" s="41">
        <v>15700</v>
      </c>
    </row>
    <row r="778" spans="1:4" x14ac:dyDescent="0.25">
      <c r="A778" s="39" t="s">
        <v>1770</v>
      </c>
      <c r="B778" s="39" t="s">
        <v>1771</v>
      </c>
      <c r="C778" s="40">
        <v>5</v>
      </c>
      <c r="D778" s="41">
        <v>15800</v>
      </c>
    </row>
    <row r="779" spans="1:4" x14ac:dyDescent="0.25">
      <c r="A779" s="39" t="s">
        <v>1772</v>
      </c>
      <c r="B779" s="39" t="s">
        <v>1773</v>
      </c>
      <c r="C779" s="40">
        <v>4</v>
      </c>
      <c r="D779" s="41">
        <v>16000</v>
      </c>
    </row>
    <row r="780" spans="1:4" x14ac:dyDescent="0.25">
      <c r="A780" s="39" t="s">
        <v>1774</v>
      </c>
      <c r="B780" s="39" t="s">
        <v>1775</v>
      </c>
      <c r="C780" s="40">
        <v>5</v>
      </c>
      <c r="D780" s="41">
        <v>16100</v>
      </c>
    </row>
    <row r="781" spans="1:4" x14ac:dyDescent="0.25">
      <c r="A781" s="39" t="s">
        <v>1776</v>
      </c>
      <c r="B781" s="39" t="s">
        <v>1777</v>
      </c>
      <c r="C781" s="40">
        <v>5</v>
      </c>
      <c r="D781" s="41">
        <v>16200</v>
      </c>
    </row>
    <row r="782" spans="1:4" x14ac:dyDescent="0.25">
      <c r="A782" s="39" t="s">
        <v>1778</v>
      </c>
      <c r="B782" s="39" t="s">
        <v>1779</v>
      </c>
      <c r="C782" s="40">
        <v>5</v>
      </c>
      <c r="D782" s="41">
        <v>16400</v>
      </c>
    </row>
    <row r="783" spans="1:4" x14ac:dyDescent="0.25">
      <c r="A783" s="39" t="s">
        <v>1780</v>
      </c>
      <c r="B783" s="39" t="s">
        <v>1781</v>
      </c>
      <c r="C783" s="40">
        <v>5</v>
      </c>
      <c r="D783" s="41">
        <v>16500</v>
      </c>
    </row>
    <row r="784" spans="1:4" x14ac:dyDescent="0.25">
      <c r="A784" s="39" t="s">
        <v>1782</v>
      </c>
      <c r="B784" s="39" t="s">
        <v>1783</v>
      </c>
      <c r="C784" s="40">
        <v>5</v>
      </c>
      <c r="D784" s="41">
        <v>16600</v>
      </c>
    </row>
    <row r="785" spans="1:4" x14ac:dyDescent="0.25">
      <c r="A785" s="39" t="s">
        <v>1784</v>
      </c>
      <c r="B785" s="39" t="s">
        <v>1785</v>
      </c>
      <c r="C785" s="40">
        <v>4</v>
      </c>
      <c r="D785" s="41">
        <v>17000</v>
      </c>
    </row>
    <row r="786" spans="1:4" x14ac:dyDescent="0.25">
      <c r="A786" s="39" t="s">
        <v>1786</v>
      </c>
      <c r="B786" s="39" t="s">
        <v>1787</v>
      </c>
      <c r="C786" s="40">
        <v>5</v>
      </c>
      <c r="D786" s="41">
        <v>17100</v>
      </c>
    </row>
    <row r="787" spans="1:4" x14ac:dyDescent="0.25">
      <c r="A787" s="39" t="s">
        <v>1788</v>
      </c>
      <c r="B787" s="39" t="s">
        <v>1789</v>
      </c>
      <c r="C787" s="40">
        <v>5</v>
      </c>
      <c r="D787" s="41">
        <v>17300</v>
      </c>
    </row>
    <row r="788" spans="1:4" x14ac:dyDescent="0.25">
      <c r="A788" s="39" t="s">
        <v>1790</v>
      </c>
      <c r="B788" s="39" t="s">
        <v>1791</v>
      </c>
      <c r="C788" s="40">
        <v>5</v>
      </c>
      <c r="D788" s="41">
        <v>17400</v>
      </c>
    </row>
    <row r="789" spans="1:4" x14ac:dyDescent="0.25">
      <c r="A789" s="39" t="s">
        <v>1792</v>
      </c>
      <c r="B789" s="39" t="s">
        <v>1793</v>
      </c>
      <c r="C789" s="40">
        <v>5</v>
      </c>
      <c r="D789" s="41">
        <v>17500</v>
      </c>
    </row>
    <row r="790" spans="1:4" x14ac:dyDescent="0.25">
      <c r="A790" s="39" t="s">
        <v>1794</v>
      </c>
      <c r="B790" s="39" t="s">
        <v>1795</v>
      </c>
      <c r="C790" s="40">
        <v>5</v>
      </c>
      <c r="D790" s="41">
        <v>17600</v>
      </c>
    </row>
    <row r="791" spans="1:4" x14ac:dyDescent="0.25">
      <c r="A791" s="39" t="s">
        <v>1796</v>
      </c>
      <c r="B791" s="39" t="s">
        <v>1797</v>
      </c>
      <c r="C791" s="40">
        <v>5</v>
      </c>
      <c r="D791" s="41">
        <v>17700</v>
      </c>
    </row>
    <row r="792" spans="1:4" x14ac:dyDescent="0.25">
      <c r="A792" s="39" t="s">
        <v>1798</v>
      </c>
      <c r="B792" s="39" t="s">
        <v>1799</v>
      </c>
      <c r="C792" s="40">
        <v>5</v>
      </c>
      <c r="D792" s="41">
        <v>17800</v>
      </c>
    </row>
    <row r="793" spans="1:4" x14ac:dyDescent="0.25">
      <c r="A793" s="39" t="s">
        <v>1800</v>
      </c>
      <c r="B793" s="39" t="s">
        <v>1801</v>
      </c>
      <c r="C793" s="40">
        <v>5</v>
      </c>
      <c r="D793" s="41">
        <v>17900</v>
      </c>
    </row>
    <row r="794" spans="1:4" x14ac:dyDescent="0.25">
      <c r="A794" s="39" t="s">
        <v>1802</v>
      </c>
      <c r="B794" s="39" t="s">
        <v>1803</v>
      </c>
      <c r="C794" s="40">
        <v>4</v>
      </c>
      <c r="D794" s="41">
        <v>19000</v>
      </c>
    </row>
    <row r="795" spans="1:4" x14ac:dyDescent="0.25">
      <c r="A795" s="39" t="s">
        <v>1804</v>
      </c>
      <c r="B795" s="39" t="s">
        <v>1805</v>
      </c>
      <c r="C795" s="40">
        <v>5</v>
      </c>
      <c r="D795" s="41">
        <v>19100</v>
      </c>
    </row>
    <row r="796" spans="1:4" x14ac:dyDescent="0.25">
      <c r="A796" s="39" t="s">
        <v>1806</v>
      </c>
      <c r="B796" s="39" t="s">
        <v>1807</v>
      </c>
      <c r="C796" s="40">
        <v>5</v>
      </c>
      <c r="D796" s="41">
        <v>19200</v>
      </c>
    </row>
    <row r="797" spans="1:4" x14ac:dyDescent="0.25">
      <c r="A797" s="39" t="s">
        <v>1808</v>
      </c>
      <c r="B797" s="39" t="s">
        <v>1809</v>
      </c>
      <c r="C797" s="40">
        <v>5</v>
      </c>
      <c r="D797" s="41">
        <v>19300</v>
      </c>
    </row>
    <row r="798" spans="1:4" x14ac:dyDescent="0.25">
      <c r="A798" s="39" t="s">
        <v>1810</v>
      </c>
      <c r="B798" s="39" t="s">
        <v>1811</v>
      </c>
      <c r="C798" s="40">
        <v>5</v>
      </c>
      <c r="D798" s="41">
        <v>19400</v>
      </c>
    </row>
    <row r="799" spans="1:4" x14ac:dyDescent="0.25">
      <c r="A799" s="39" t="s">
        <v>1812</v>
      </c>
      <c r="B799" s="39" t="s">
        <v>1813</v>
      </c>
      <c r="C799" s="40">
        <v>3</v>
      </c>
      <c r="D799" s="41" t="s">
        <v>266</v>
      </c>
    </row>
    <row r="800" spans="1:4" x14ac:dyDescent="0.25">
      <c r="A800" s="39" t="s">
        <v>1814</v>
      </c>
      <c r="B800" s="39" t="s">
        <v>1815</v>
      </c>
      <c r="C800" s="40">
        <v>4</v>
      </c>
      <c r="D800" s="41" t="s">
        <v>266</v>
      </c>
    </row>
    <row r="801" spans="1:4" x14ac:dyDescent="0.25">
      <c r="A801" s="39" t="s">
        <v>1816</v>
      </c>
      <c r="B801" s="39" t="s">
        <v>1817</v>
      </c>
      <c r="C801" s="40">
        <v>4</v>
      </c>
      <c r="D801" s="41" t="s">
        <v>266</v>
      </c>
    </row>
    <row r="802" spans="1:4" x14ac:dyDescent="0.25">
      <c r="A802" s="39" t="s">
        <v>1818</v>
      </c>
      <c r="B802" s="39" t="s">
        <v>1819</v>
      </c>
      <c r="C802" s="40">
        <v>4</v>
      </c>
      <c r="D802" s="41" t="s">
        <v>266</v>
      </c>
    </row>
    <row r="803" spans="1:4" x14ac:dyDescent="0.25">
      <c r="A803" s="39" t="s">
        <v>1820</v>
      </c>
      <c r="B803" s="39" t="s">
        <v>1821</v>
      </c>
      <c r="C803" s="40">
        <v>4</v>
      </c>
      <c r="D803" s="41" t="s">
        <v>266</v>
      </c>
    </row>
    <row r="804" spans="1:4" x14ac:dyDescent="0.25">
      <c r="A804" s="39" t="s">
        <v>1822</v>
      </c>
      <c r="B804" s="39" t="s">
        <v>1823</v>
      </c>
      <c r="C804" s="40">
        <v>3</v>
      </c>
      <c r="D804" s="41" t="s">
        <v>266</v>
      </c>
    </row>
    <row r="805" spans="1:4" x14ac:dyDescent="0.25">
      <c r="A805" s="39" t="s">
        <v>1824</v>
      </c>
      <c r="B805" s="39" t="s">
        <v>1825</v>
      </c>
      <c r="C805" s="40">
        <v>4</v>
      </c>
      <c r="D805" s="41" t="s">
        <v>266</v>
      </c>
    </row>
    <row r="806" spans="1:4" x14ac:dyDescent="0.25">
      <c r="A806" s="39" t="s">
        <v>1826</v>
      </c>
      <c r="B806" s="39" t="s">
        <v>1827</v>
      </c>
      <c r="C806" s="40">
        <v>4</v>
      </c>
      <c r="D806" s="41" t="s">
        <v>266</v>
      </c>
    </row>
    <row r="807" spans="1:4" x14ac:dyDescent="0.25">
      <c r="A807" s="39" t="s">
        <v>1828</v>
      </c>
      <c r="B807" s="39" t="s">
        <v>1829</v>
      </c>
      <c r="C807" s="40">
        <v>4</v>
      </c>
      <c r="D807" s="41">
        <v>12116</v>
      </c>
    </row>
    <row r="808" spans="1:4" x14ac:dyDescent="0.25">
      <c r="A808" s="39" t="s">
        <v>1830</v>
      </c>
      <c r="B808" s="39" t="s">
        <v>1831</v>
      </c>
      <c r="C808" s="40">
        <v>5</v>
      </c>
      <c r="D808" s="41">
        <v>12116</v>
      </c>
    </row>
    <row r="809" spans="1:4" x14ac:dyDescent="0.25">
      <c r="A809" s="39" t="s">
        <v>1832</v>
      </c>
      <c r="B809" s="39" t="s">
        <v>1833</v>
      </c>
      <c r="C809" s="40">
        <v>5</v>
      </c>
      <c r="D809" s="41">
        <v>12116</v>
      </c>
    </row>
    <row r="810" spans="1:4" x14ac:dyDescent="0.25">
      <c r="A810" s="39" t="s">
        <v>1834</v>
      </c>
      <c r="B810" s="39" t="s">
        <v>1835</v>
      </c>
      <c r="C810" s="40">
        <v>5</v>
      </c>
      <c r="D810" s="41">
        <v>12116</v>
      </c>
    </row>
    <row r="811" spans="1:4" x14ac:dyDescent="0.25">
      <c r="A811" s="39" t="s">
        <v>1836</v>
      </c>
      <c r="B811" s="39" t="s">
        <v>1837</v>
      </c>
      <c r="C811" s="40">
        <v>4</v>
      </c>
      <c r="D811" s="41" t="s">
        <v>266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38469-EAB0-41F8-BC68-4DF8FCE0855B}">
  <sheetPr codeName="Sheet7"/>
  <dimension ref="A1:D6735"/>
  <sheetViews>
    <sheetView workbookViewId="0">
      <selection activeCell="V6469" sqref="V6469"/>
    </sheetView>
  </sheetViews>
  <sheetFormatPr defaultRowHeight="15" x14ac:dyDescent="0.25"/>
  <cols>
    <col min="1" max="1" width="13.7109375" bestFit="1" customWidth="1"/>
    <col min="2" max="2" width="74.42578125" customWidth="1"/>
    <col min="3" max="3" width="4.7109375" bestFit="1" customWidth="1"/>
    <col min="4" max="4" width="10.28515625" bestFit="1" customWidth="1"/>
  </cols>
  <sheetData>
    <row r="1" spans="1:4" x14ac:dyDescent="0.25">
      <c r="A1" s="35" t="s">
        <v>259</v>
      </c>
      <c r="B1" s="35" t="s">
        <v>260</v>
      </c>
      <c r="C1" s="35" t="s">
        <v>261</v>
      </c>
      <c r="D1" s="35" t="s">
        <v>1838</v>
      </c>
    </row>
    <row r="2" spans="1:4" x14ac:dyDescent="0.25">
      <c r="A2" s="36" t="s">
        <v>1839</v>
      </c>
      <c r="B2" s="36" t="s">
        <v>1840</v>
      </c>
      <c r="C2" s="37">
        <v>1</v>
      </c>
      <c r="D2" s="36"/>
    </row>
    <row r="3" spans="1:4" x14ac:dyDescent="0.25">
      <c r="A3" s="41">
        <v>10000</v>
      </c>
      <c r="B3" s="39" t="s">
        <v>1717</v>
      </c>
      <c r="C3" s="40">
        <v>2</v>
      </c>
      <c r="D3" s="38" t="s">
        <v>1716</v>
      </c>
    </row>
    <row r="4" spans="1:4" x14ac:dyDescent="0.25">
      <c r="A4" s="41">
        <v>13000</v>
      </c>
      <c r="B4" s="39" t="s">
        <v>1735</v>
      </c>
      <c r="C4" s="40">
        <v>3</v>
      </c>
      <c r="D4" s="38" t="s">
        <v>1734</v>
      </c>
    </row>
    <row r="5" spans="1:4" x14ac:dyDescent="0.25">
      <c r="A5" s="41">
        <v>13100</v>
      </c>
      <c r="B5" s="39" t="s">
        <v>1737</v>
      </c>
      <c r="C5" s="40">
        <v>3</v>
      </c>
      <c r="D5" s="38" t="s">
        <v>1736</v>
      </c>
    </row>
    <row r="6" spans="1:4" x14ac:dyDescent="0.25">
      <c r="A6" s="41">
        <v>13113</v>
      </c>
      <c r="B6" s="39" t="s">
        <v>1841</v>
      </c>
      <c r="C6" s="40">
        <v>4</v>
      </c>
      <c r="D6" s="39" t="s">
        <v>266</v>
      </c>
    </row>
    <row r="7" spans="1:4" x14ac:dyDescent="0.25">
      <c r="A7" s="41">
        <v>13114</v>
      </c>
      <c r="B7" s="39" t="s">
        <v>1842</v>
      </c>
      <c r="C7" s="40">
        <v>4</v>
      </c>
      <c r="D7" s="39" t="s">
        <v>266</v>
      </c>
    </row>
    <row r="8" spans="1:4" x14ac:dyDescent="0.25">
      <c r="A8" s="41">
        <v>13116</v>
      </c>
      <c r="B8" s="39" t="s">
        <v>1843</v>
      </c>
      <c r="C8" s="40">
        <v>4</v>
      </c>
      <c r="D8" s="39" t="s">
        <v>266</v>
      </c>
    </row>
    <row r="9" spans="1:4" x14ac:dyDescent="0.25">
      <c r="A9" s="41">
        <v>13119</v>
      </c>
      <c r="B9" s="39" t="s">
        <v>1844</v>
      </c>
      <c r="C9" s="40">
        <v>4</v>
      </c>
      <c r="D9" s="39" t="s">
        <v>266</v>
      </c>
    </row>
    <row r="10" spans="1:4" x14ac:dyDescent="0.25">
      <c r="A10" s="42">
        <v>13119.13</v>
      </c>
      <c r="B10" s="39" t="s">
        <v>1845</v>
      </c>
      <c r="C10" s="40">
        <v>5</v>
      </c>
      <c r="D10" s="39" t="s">
        <v>266</v>
      </c>
    </row>
    <row r="11" spans="1:4" x14ac:dyDescent="0.25">
      <c r="A11" s="42">
        <v>13119.16</v>
      </c>
      <c r="B11" s="39" t="s">
        <v>1846</v>
      </c>
      <c r="C11" s="40">
        <v>5</v>
      </c>
      <c r="D11" s="39" t="s">
        <v>266</v>
      </c>
    </row>
    <row r="12" spans="1:4" x14ac:dyDescent="0.25">
      <c r="A12" s="42">
        <v>13119.23</v>
      </c>
      <c r="B12" s="39" t="s">
        <v>1847</v>
      </c>
      <c r="C12" s="40">
        <v>5</v>
      </c>
      <c r="D12" s="39" t="s">
        <v>266</v>
      </c>
    </row>
    <row r="13" spans="1:4" x14ac:dyDescent="0.25">
      <c r="A13" s="42">
        <v>13119.33</v>
      </c>
      <c r="B13" s="39" t="s">
        <v>1848</v>
      </c>
      <c r="C13" s="40">
        <v>5</v>
      </c>
      <c r="D13" s="39" t="s">
        <v>266</v>
      </c>
    </row>
    <row r="14" spans="1:4" x14ac:dyDescent="0.25">
      <c r="A14" s="41">
        <v>13123</v>
      </c>
      <c r="B14" s="39" t="s">
        <v>1849</v>
      </c>
      <c r="C14" s="40">
        <v>4</v>
      </c>
      <c r="D14" s="39" t="s">
        <v>266</v>
      </c>
    </row>
    <row r="15" spans="1:4" x14ac:dyDescent="0.25">
      <c r="A15" s="41">
        <v>13126</v>
      </c>
      <c r="B15" s="39" t="s">
        <v>1850</v>
      </c>
      <c r="C15" s="40">
        <v>4</v>
      </c>
      <c r="D15" s="39" t="s">
        <v>266</v>
      </c>
    </row>
    <row r="16" spans="1:4" x14ac:dyDescent="0.25">
      <c r="A16" s="41">
        <v>13200</v>
      </c>
      <c r="B16" s="39" t="s">
        <v>1739</v>
      </c>
      <c r="C16" s="40">
        <v>3</v>
      </c>
      <c r="D16" s="38" t="s">
        <v>1738</v>
      </c>
    </row>
    <row r="17" spans="1:4" x14ac:dyDescent="0.25">
      <c r="A17" s="41">
        <v>13213</v>
      </c>
      <c r="B17" s="39" t="s">
        <v>1851</v>
      </c>
      <c r="C17" s="40">
        <v>4</v>
      </c>
      <c r="D17" s="39" t="s">
        <v>266</v>
      </c>
    </row>
    <row r="18" spans="1:4" x14ac:dyDescent="0.25">
      <c r="A18" s="41">
        <v>13216</v>
      </c>
      <c r="B18" s="39" t="s">
        <v>1852</v>
      </c>
      <c r="C18" s="40">
        <v>4</v>
      </c>
      <c r="D18" s="39" t="s">
        <v>266</v>
      </c>
    </row>
    <row r="19" spans="1:4" x14ac:dyDescent="0.25">
      <c r="A19" s="42">
        <v>13216.13</v>
      </c>
      <c r="B19" s="39" t="s">
        <v>1853</v>
      </c>
      <c r="C19" s="40">
        <v>5</v>
      </c>
      <c r="D19" s="39" t="s">
        <v>266</v>
      </c>
    </row>
    <row r="20" spans="1:4" x14ac:dyDescent="0.25">
      <c r="A20" s="41">
        <v>13219</v>
      </c>
      <c r="B20" s="39" t="s">
        <v>1854</v>
      </c>
      <c r="C20" s="40">
        <v>4</v>
      </c>
      <c r="D20" s="39" t="s">
        <v>266</v>
      </c>
    </row>
    <row r="21" spans="1:4" x14ac:dyDescent="0.25">
      <c r="A21" s="41">
        <v>13223</v>
      </c>
      <c r="B21" s="39" t="s">
        <v>1855</v>
      </c>
      <c r="C21" s="40">
        <v>4</v>
      </c>
      <c r="D21" s="39" t="s">
        <v>266</v>
      </c>
    </row>
    <row r="22" spans="1:4" x14ac:dyDescent="0.25">
      <c r="A22" s="41">
        <v>13226</v>
      </c>
      <c r="B22" s="39" t="s">
        <v>1856</v>
      </c>
      <c r="C22" s="40">
        <v>4</v>
      </c>
      <c r="D22" s="39" t="s">
        <v>266</v>
      </c>
    </row>
    <row r="23" spans="1:4" x14ac:dyDescent="0.25">
      <c r="A23" s="41">
        <v>13229</v>
      </c>
      <c r="B23" s="39" t="s">
        <v>1857</v>
      </c>
      <c r="C23" s="40">
        <v>4</v>
      </c>
      <c r="D23" s="39" t="s">
        <v>266</v>
      </c>
    </row>
    <row r="24" spans="1:4" x14ac:dyDescent="0.25">
      <c r="A24" s="41">
        <v>13233</v>
      </c>
      <c r="B24" s="39" t="s">
        <v>1858</v>
      </c>
      <c r="C24" s="40">
        <v>4</v>
      </c>
      <c r="D24" s="39" t="s">
        <v>266</v>
      </c>
    </row>
    <row r="25" spans="1:4" x14ac:dyDescent="0.25">
      <c r="A25" s="41">
        <v>13236</v>
      </c>
      <c r="B25" s="39" t="s">
        <v>1859</v>
      </c>
      <c r="C25" s="40">
        <v>4</v>
      </c>
      <c r="D25" s="39" t="s">
        <v>266</v>
      </c>
    </row>
    <row r="26" spans="1:4" x14ac:dyDescent="0.25">
      <c r="A26" s="41">
        <v>13243</v>
      </c>
      <c r="B26" s="39" t="s">
        <v>1860</v>
      </c>
      <c r="C26" s="40">
        <v>4</v>
      </c>
      <c r="D26" s="39" t="s">
        <v>266</v>
      </c>
    </row>
    <row r="27" spans="1:4" x14ac:dyDescent="0.25">
      <c r="A27" s="41">
        <v>13500</v>
      </c>
      <c r="B27" s="39" t="s">
        <v>1743</v>
      </c>
      <c r="C27" s="40">
        <v>3</v>
      </c>
      <c r="D27" s="38" t="s">
        <v>1742</v>
      </c>
    </row>
    <row r="28" spans="1:4" x14ac:dyDescent="0.25">
      <c r="A28" s="41">
        <v>13513</v>
      </c>
      <c r="B28" s="39" t="s">
        <v>1861</v>
      </c>
      <c r="C28" s="40">
        <v>4</v>
      </c>
      <c r="D28" s="39" t="s">
        <v>266</v>
      </c>
    </row>
    <row r="29" spans="1:4" x14ac:dyDescent="0.25">
      <c r="A29" s="42">
        <v>13513.13</v>
      </c>
      <c r="B29" s="39" t="s">
        <v>1862</v>
      </c>
      <c r="C29" s="40">
        <v>5</v>
      </c>
      <c r="D29" s="39" t="s">
        <v>266</v>
      </c>
    </row>
    <row r="30" spans="1:4" x14ac:dyDescent="0.25">
      <c r="A30" s="42">
        <v>13513.16</v>
      </c>
      <c r="B30" s="39" t="s">
        <v>1863</v>
      </c>
      <c r="C30" s="40">
        <v>5</v>
      </c>
      <c r="D30" s="39" t="s">
        <v>266</v>
      </c>
    </row>
    <row r="31" spans="1:4" x14ac:dyDescent="0.25">
      <c r="A31" s="42">
        <v>13513.19</v>
      </c>
      <c r="B31" s="39" t="s">
        <v>1864</v>
      </c>
      <c r="C31" s="40">
        <v>5</v>
      </c>
      <c r="D31" s="39" t="s">
        <v>266</v>
      </c>
    </row>
    <row r="32" spans="1:4" x14ac:dyDescent="0.25">
      <c r="A32" s="42">
        <v>13513.26</v>
      </c>
      <c r="B32" s="39" t="s">
        <v>1865</v>
      </c>
      <c r="C32" s="40">
        <v>5</v>
      </c>
      <c r="D32" s="39" t="s">
        <v>266</v>
      </c>
    </row>
    <row r="33" spans="1:4" x14ac:dyDescent="0.25">
      <c r="A33" s="42">
        <v>13513.43</v>
      </c>
      <c r="B33" s="39" t="s">
        <v>1866</v>
      </c>
      <c r="C33" s="40">
        <v>5</v>
      </c>
      <c r="D33" s="39" t="s">
        <v>266</v>
      </c>
    </row>
    <row r="34" spans="1:4" x14ac:dyDescent="0.25">
      <c r="A34" s="41">
        <v>13516</v>
      </c>
      <c r="B34" s="39" t="s">
        <v>1867</v>
      </c>
      <c r="C34" s="40">
        <v>4</v>
      </c>
      <c r="D34" s="39" t="s">
        <v>266</v>
      </c>
    </row>
    <row r="35" spans="1:4" x14ac:dyDescent="0.25">
      <c r="A35" s="41">
        <v>13523</v>
      </c>
      <c r="B35" s="39" t="s">
        <v>1868</v>
      </c>
      <c r="C35" s="40">
        <v>4</v>
      </c>
      <c r="D35" s="39" t="s">
        <v>266</v>
      </c>
    </row>
    <row r="36" spans="1:4" x14ac:dyDescent="0.25">
      <c r="A36" s="41">
        <v>13526</v>
      </c>
      <c r="B36" s="39" t="s">
        <v>1869</v>
      </c>
      <c r="C36" s="40">
        <v>4</v>
      </c>
      <c r="D36" s="39" t="s">
        <v>266</v>
      </c>
    </row>
    <row r="37" spans="1:4" x14ac:dyDescent="0.25">
      <c r="A37" s="41">
        <v>13529</v>
      </c>
      <c r="B37" s="39" t="s">
        <v>1870</v>
      </c>
      <c r="C37" s="40">
        <v>4</v>
      </c>
      <c r="D37" s="39" t="s">
        <v>266</v>
      </c>
    </row>
    <row r="38" spans="1:4" x14ac:dyDescent="0.25">
      <c r="A38" s="42">
        <v>13529.13</v>
      </c>
      <c r="B38" s="39" t="s">
        <v>1871</v>
      </c>
      <c r="C38" s="40">
        <v>5</v>
      </c>
      <c r="D38" s="39" t="s">
        <v>266</v>
      </c>
    </row>
    <row r="39" spans="1:4" x14ac:dyDescent="0.25">
      <c r="A39" s="41">
        <v>13533</v>
      </c>
      <c r="B39" s="39" t="s">
        <v>1872</v>
      </c>
      <c r="C39" s="40">
        <v>4</v>
      </c>
      <c r="D39" s="39" t="s">
        <v>266</v>
      </c>
    </row>
    <row r="40" spans="1:4" x14ac:dyDescent="0.25">
      <c r="A40" s="41">
        <v>13543</v>
      </c>
      <c r="B40" s="39" t="s">
        <v>1873</v>
      </c>
      <c r="C40" s="40">
        <v>4</v>
      </c>
      <c r="D40" s="39" t="s">
        <v>266</v>
      </c>
    </row>
    <row r="41" spans="1:4" x14ac:dyDescent="0.25">
      <c r="A41" s="42">
        <v>13543.13</v>
      </c>
      <c r="B41" s="39" t="s">
        <v>1874</v>
      </c>
      <c r="C41" s="40">
        <v>5</v>
      </c>
      <c r="D41" s="39" t="s">
        <v>266</v>
      </c>
    </row>
    <row r="42" spans="1:4" x14ac:dyDescent="0.25">
      <c r="A42" s="42">
        <v>13543.16</v>
      </c>
      <c r="B42" s="39" t="s">
        <v>1875</v>
      </c>
      <c r="C42" s="40">
        <v>5</v>
      </c>
      <c r="D42" s="39" t="s">
        <v>266</v>
      </c>
    </row>
    <row r="43" spans="1:4" x14ac:dyDescent="0.25">
      <c r="A43" s="41">
        <v>13546</v>
      </c>
      <c r="B43" s="39" t="s">
        <v>1876</v>
      </c>
      <c r="C43" s="40">
        <v>4</v>
      </c>
      <c r="D43" s="39" t="s">
        <v>266</v>
      </c>
    </row>
    <row r="44" spans="1:4" x14ac:dyDescent="0.25">
      <c r="A44" s="41">
        <v>13553</v>
      </c>
      <c r="B44" s="39" t="s">
        <v>1877</v>
      </c>
      <c r="C44" s="40">
        <v>4</v>
      </c>
      <c r="D44" s="39" t="s">
        <v>266</v>
      </c>
    </row>
    <row r="45" spans="1:4" x14ac:dyDescent="0.25">
      <c r="A45" s="41">
        <v>13563</v>
      </c>
      <c r="B45" s="39" t="s">
        <v>1878</v>
      </c>
      <c r="C45" s="40">
        <v>4</v>
      </c>
      <c r="D45" s="38">
        <v>2020.1</v>
      </c>
    </row>
    <row r="46" spans="1:4" x14ac:dyDescent="0.25">
      <c r="A46" s="41">
        <v>13566</v>
      </c>
      <c r="B46" s="39" t="s">
        <v>1879</v>
      </c>
      <c r="C46" s="40">
        <v>4</v>
      </c>
      <c r="D46" s="39" t="s">
        <v>266</v>
      </c>
    </row>
    <row r="47" spans="1:4" x14ac:dyDescent="0.25">
      <c r="A47" s="41">
        <v>13591</v>
      </c>
      <c r="B47" s="39" t="s">
        <v>1880</v>
      </c>
      <c r="C47" s="40">
        <v>4</v>
      </c>
      <c r="D47" s="38">
        <v>1030.7</v>
      </c>
    </row>
    <row r="48" spans="1:4" x14ac:dyDescent="0.25">
      <c r="A48" s="41">
        <v>15000</v>
      </c>
      <c r="B48" s="39" t="s">
        <v>1755</v>
      </c>
      <c r="C48" s="40">
        <v>3</v>
      </c>
      <c r="D48" s="38" t="s">
        <v>1754</v>
      </c>
    </row>
    <row r="49" spans="1:4" x14ac:dyDescent="0.25">
      <c r="A49" s="41">
        <v>15100</v>
      </c>
      <c r="B49" s="39" t="s">
        <v>1757</v>
      </c>
      <c r="C49" s="40">
        <v>3</v>
      </c>
      <c r="D49" s="38" t="s">
        <v>1756</v>
      </c>
    </row>
    <row r="50" spans="1:4" x14ac:dyDescent="0.25">
      <c r="A50" s="41">
        <v>15113</v>
      </c>
      <c r="B50" s="39" t="s">
        <v>1881</v>
      </c>
      <c r="C50" s="40">
        <v>4</v>
      </c>
      <c r="D50" s="39" t="s">
        <v>266</v>
      </c>
    </row>
    <row r="51" spans="1:4" x14ac:dyDescent="0.25">
      <c r="A51" s="41">
        <v>15116</v>
      </c>
      <c r="B51" s="39" t="s">
        <v>1882</v>
      </c>
      <c r="C51" s="40">
        <v>4</v>
      </c>
      <c r="D51" s="39" t="s">
        <v>266</v>
      </c>
    </row>
    <row r="52" spans="1:4" x14ac:dyDescent="0.25">
      <c r="A52" s="41">
        <v>15119</v>
      </c>
      <c r="B52" s="39" t="s">
        <v>1883</v>
      </c>
      <c r="C52" s="40">
        <v>4</v>
      </c>
      <c r="D52" s="39" t="s">
        <v>266</v>
      </c>
    </row>
    <row r="53" spans="1:4" x14ac:dyDescent="0.25">
      <c r="A53" s="41">
        <v>15123</v>
      </c>
      <c r="B53" s="39" t="s">
        <v>1884</v>
      </c>
      <c r="C53" s="40">
        <v>4</v>
      </c>
      <c r="D53" s="39" t="s">
        <v>266</v>
      </c>
    </row>
    <row r="54" spans="1:4" x14ac:dyDescent="0.25">
      <c r="A54" s="41">
        <v>15126</v>
      </c>
      <c r="B54" s="39" t="s">
        <v>1885</v>
      </c>
      <c r="C54" s="40">
        <v>4</v>
      </c>
      <c r="D54" s="39" t="s">
        <v>266</v>
      </c>
    </row>
    <row r="55" spans="1:4" x14ac:dyDescent="0.25">
      <c r="A55" s="41">
        <v>15129</v>
      </c>
      <c r="B55" s="39" t="s">
        <v>1886</v>
      </c>
      <c r="C55" s="40">
        <v>4</v>
      </c>
      <c r="D55" s="39" t="s">
        <v>266</v>
      </c>
    </row>
    <row r="56" spans="1:4" x14ac:dyDescent="0.25">
      <c r="A56" s="41">
        <v>15133</v>
      </c>
      <c r="B56" s="39" t="s">
        <v>1887</v>
      </c>
      <c r="C56" s="40">
        <v>4</v>
      </c>
      <c r="D56" s="39" t="s">
        <v>266</v>
      </c>
    </row>
    <row r="57" spans="1:4" x14ac:dyDescent="0.25">
      <c r="A57" s="41">
        <v>15136</v>
      </c>
      <c r="B57" s="39" t="s">
        <v>1888</v>
      </c>
      <c r="C57" s="40">
        <v>4</v>
      </c>
      <c r="D57" s="39" t="s">
        <v>266</v>
      </c>
    </row>
    <row r="58" spans="1:4" x14ac:dyDescent="0.25">
      <c r="A58" s="41">
        <v>15200</v>
      </c>
      <c r="B58" s="39" t="s">
        <v>1759</v>
      </c>
      <c r="C58" s="40">
        <v>3</v>
      </c>
      <c r="D58" s="38" t="s">
        <v>1758</v>
      </c>
    </row>
    <row r="59" spans="1:4" x14ac:dyDescent="0.25">
      <c r="A59" s="41">
        <v>15213</v>
      </c>
      <c r="B59" s="39" t="s">
        <v>1889</v>
      </c>
      <c r="C59" s="40">
        <v>4</v>
      </c>
      <c r="D59" s="39" t="s">
        <v>266</v>
      </c>
    </row>
    <row r="60" spans="1:4" x14ac:dyDescent="0.25">
      <c r="A60" s="41">
        <v>15216</v>
      </c>
      <c r="B60" s="39" t="s">
        <v>1890</v>
      </c>
      <c r="C60" s="40">
        <v>4</v>
      </c>
      <c r="D60" s="39" t="s">
        <v>266</v>
      </c>
    </row>
    <row r="61" spans="1:4" x14ac:dyDescent="0.25">
      <c r="A61" s="41">
        <v>15219</v>
      </c>
      <c r="B61" s="39" t="s">
        <v>1891</v>
      </c>
      <c r="C61" s="40">
        <v>4</v>
      </c>
      <c r="D61" s="39" t="s">
        <v>266</v>
      </c>
    </row>
    <row r="62" spans="1:4" x14ac:dyDescent="0.25">
      <c r="A62" s="41">
        <v>15300</v>
      </c>
      <c r="B62" s="39" t="s">
        <v>1761</v>
      </c>
      <c r="C62" s="40">
        <v>3</v>
      </c>
      <c r="D62" s="38" t="s">
        <v>1760</v>
      </c>
    </row>
    <row r="63" spans="1:4" x14ac:dyDescent="0.25">
      <c r="A63" s="41">
        <v>15313</v>
      </c>
      <c r="B63" s="39" t="s">
        <v>1892</v>
      </c>
      <c r="C63" s="40">
        <v>4</v>
      </c>
      <c r="D63" s="39" t="s">
        <v>266</v>
      </c>
    </row>
    <row r="64" spans="1:4" x14ac:dyDescent="0.25">
      <c r="A64" s="41">
        <v>15316</v>
      </c>
      <c r="B64" s="39" t="s">
        <v>1893</v>
      </c>
      <c r="C64" s="40">
        <v>4</v>
      </c>
      <c r="D64" s="39" t="s">
        <v>266</v>
      </c>
    </row>
    <row r="65" spans="1:4" x14ac:dyDescent="0.25">
      <c r="A65" s="41">
        <v>15319</v>
      </c>
      <c r="B65" s="39" t="s">
        <v>1894</v>
      </c>
      <c r="C65" s="40">
        <v>4</v>
      </c>
      <c r="D65" s="39" t="s">
        <v>266</v>
      </c>
    </row>
    <row r="66" spans="1:4" x14ac:dyDescent="0.25">
      <c r="A66" s="41">
        <v>15323</v>
      </c>
      <c r="B66" s="39" t="s">
        <v>1895</v>
      </c>
      <c r="C66" s="40">
        <v>4</v>
      </c>
      <c r="D66" s="39" t="s">
        <v>266</v>
      </c>
    </row>
    <row r="67" spans="1:4" x14ac:dyDescent="0.25">
      <c r="A67" s="41">
        <v>15326</v>
      </c>
      <c r="B67" s="39" t="s">
        <v>1896</v>
      </c>
      <c r="C67" s="40">
        <v>4</v>
      </c>
      <c r="D67" s="39" t="s">
        <v>266</v>
      </c>
    </row>
    <row r="68" spans="1:4" x14ac:dyDescent="0.25">
      <c r="A68" s="41">
        <v>15400</v>
      </c>
      <c r="B68" s="39" t="s">
        <v>1763</v>
      </c>
      <c r="C68" s="40">
        <v>3</v>
      </c>
      <c r="D68" s="38" t="s">
        <v>1762</v>
      </c>
    </row>
    <row r="69" spans="1:4" x14ac:dyDescent="0.25">
      <c r="A69" s="41">
        <v>15413</v>
      </c>
      <c r="B69" s="39" t="s">
        <v>1897</v>
      </c>
      <c r="C69" s="40">
        <v>4</v>
      </c>
      <c r="D69" s="39" t="s">
        <v>266</v>
      </c>
    </row>
    <row r="70" spans="1:4" x14ac:dyDescent="0.25">
      <c r="A70" s="41">
        <v>15416</v>
      </c>
      <c r="B70" s="39" t="s">
        <v>1898</v>
      </c>
      <c r="C70" s="40">
        <v>4</v>
      </c>
      <c r="D70" s="39" t="s">
        <v>266</v>
      </c>
    </row>
    <row r="71" spans="1:4" x14ac:dyDescent="0.25">
      <c r="A71" s="41">
        <v>15419</v>
      </c>
      <c r="B71" s="39" t="s">
        <v>1899</v>
      </c>
      <c r="C71" s="40">
        <v>4</v>
      </c>
      <c r="D71" s="39" t="s">
        <v>266</v>
      </c>
    </row>
    <row r="72" spans="1:4" x14ac:dyDescent="0.25">
      <c r="A72" s="41">
        <v>15423</v>
      </c>
      <c r="B72" s="39" t="s">
        <v>1900</v>
      </c>
      <c r="C72" s="40">
        <v>4</v>
      </c>
      <c r="D72" s="39" t="s">
        <v>266</v>
      </c>
    </row>
    <row r="73" spans="1:4" x14ac:dyDescent="0.25">
      <c r="A73" s="41">
        <v>15426</v>
      </c>
      <c r="B73" s="39" t="s">
        <v>1901</v>
      </c>
      <c r="C73" s="40">
        <v>4</v>
      </c>
      <c r="D73" s="39" t="s">
        <v>266</v>
      </c>
    </row>
    <row r="74" spans="1:4" x14ac:dyDescent="0.25">
      <c r="A74" s="41">
        <v>15500</v>
      </c>
      <c r="B74" s="39" t="s">
        <v>1902</v>
      </c>
      <c r="C74" s="40">
        <v>3</v>
      </c>
      <c r="D74" s="38" t="s">
        <v>1764</v>
      </c>
    </row>
    <row r="75" spans="1:4" x14ac:dyDescent="0.25">
      <c r="A75" s="41">
        <v>15513</v>
      </c>
      <c r="B75" s="39" t="s">
        <v>1903</v>
      </c>
      <c r="C75" s="40">
        <v>4</v>
      </c>
      <c r="D75" s="39" t="s">
        <v>266</v>
      </c>
    </row>
    <row r="76" spans="1:4" x14ac:dyDescent="0.25">
      <c r="A76" s="41">
        <v>15516</v>
      </c>
      <c r="B76" s="39" t="s">
        <v>1904</v>
      </c>
      <c r="C76" s="40">
        <v>4</v>
      </c>
      <c r="D76" s="39" t="s">
        <v>266</v>
      </c>
    </row>
    <row r="77" spans="1:4" x14ac:dyDescent="0.25">
      <c r="A77" s="41">
        <v>15519</v>
      </c>
      <c r="B77" s="39" t="s">
        <v>1905</v>
      </c>
      <c r="C77" s="40">
        <v>4</v>
      </c>
      <c r="D77" s="39" t="s">
        <v>266</v>
      </c>
    </row>
    <row r="78" spans="1:4" x14ac:dyDescent="0.25">
      <c r="A78" s="41">
        <v>15523</v>
      </c>
      <c r="B78" s="39" t="s">
        <v>1906</v>
      </c>
      <c r="C78" s="40">
        <v>4</v>
      </c>
      <c r="D78" s="39" t="s">
        <v>266</v>
      </c>
    </row>
    <row r="79" spans="1:4" x14ac:dyDescent="0.25">
      <c r="A79" s="41">
        <v>15526</v>
      </c>
      <c r="B79" s="39" t="s">
        <v>1907</v>
      </c>
      <c r="C79" s="40">
        <v>4</v>
      </c>
      <c r="D79" s="39" t="s">
        <v>266</v>
      </c>
    </row>
    <row r="80" spans="1:4" x14ac:dyDescent="0.25">
      <c r="A80" s="41">
        <v>15529</v>
      </c>
      <c r="B80" s="39" t="s">
        <v>1908</v>
      </c>
      <c r="C80" s="40">
        <v>4</v>
      </c>
      <c r="D80" s="39" t="s">
        <v>266</v>
      </c>
    </row>
    <row r="81" spans="1:4" x14ac:dyDescent="0.25">
      <c r="A81" s="41">
        <v>15600</v>
      </c>
      <c r="B81" s="39" t="s">
        <v>1767</v>
      </c>
      <c r="C81" s="40">
        <v>3</v>
      </c>
      <c r="D81" s="38" t="s">
        <v>1766</v>
      </c>
    </row>
    <row r="82" spans="1:4" x14ac:dyDescent="0.25">
      <c r="A82" s="41">
        <v>15613</v>
      </c>
      <c r="B82" s="39" t="s">
        <v>1909</v>
      </c>
      <c r="C82" s="40">
        <v>4</v>
      </c>
      <c r="D82" s="39" t="s">
        <v>266</v>
      </c>
    </row>
    <row r="83" spans="1:4" x14ac:dyDescent="0.25">
      <c r="A83" s="41">
        <v>15616</v>
      </c>
      <c r="B83" s="39" t="s">
        <v>1910</v>
      </c>
      <c r="C83" s="40">
        <v>4</v>
      </c>
      <c r="D83" s="39" t="s">
        <v>266</v>
      </c>
    </row>
    <row r="84" spans="1:4" x14ac:dyDescent="0.25">
      <c r="A84" s="41">
        <v>15619</v>
      </c>
      <c r="B84" s="39" t="s">
        <v>1911</v>
      </c>
      <c r="C84" s="40">
        <v>4</v>
      </c>
      <c r="D84" s="39" t="s">
        <v>266</v>
      </c>
    </row>
    <row r="85" spans="1:4" x14ac:dyDescent="0.25">
      <c r="A85" s="41">
        <v>15623</v>
      </c>
      <c r="B85" s="39" t="s">
        <v>1912</v>
      </c>
      <c r="C85" s="40">
        <v>4</v>
      </c>
      <c r="D85" s="39" t="s">
        <v>266</v>
      </c>
    </row>
    <row r="86" spans="1:4" x14ac:dyDescent="0.25">
      <c r="A86" s="41">
        <v>15626</v>
      </c>
      <c r="B86" s="39" t="s">
        <v>1913</v>
      </c>
      <c r="C86" s="40">
        <v>4</v>
      </c>
      <c r="D86" s="39" t="s">
        <v>266</v>
      </c>
    </row>
    <row r="87" spans="1:4" x14ac:dyDescent="0.25">
      <c r="A87" s="41">
        <v>15629</v>
      </c>
      <c r="B87" s="39" t="s">
        <v>1914</v>
      </c>
      <c r="C87" s="40">
        <v>4</v>
      </c>
      <c r="D87" s="39" t="s">
        <v>266</v>
      </c>
    </row>
    <row r="88" spans="1:4" x14ac:dyDescent="0.25">
      <c r="A88" s="41">
        <v>15633</v>
      </c>
      <c r="B88" s="39" t="s">
        <v>1915</v>
      </c>
      <c r="C88" s="40">
        <v>4</v>
      </c>
      <c r="D88" s="39" t="s">
        <v>266</v>
      </c>
    </row>
    <row r="89" spans="1:4" x14ac:dyDescent="0.25">
      <c r="A89" s="41">
        <v>15636</v>
      </c>
      <c r="B89" s="39" t="s">
        <v>1916</v>
      </c>
      <c r="C89" s="40">
        <v>4</v>
      </c>
      <c r="D89" s="39" t="s">
        <v>266</v>
      </c>
    </row>
    <row r="90" spans="1:4" x14ac:dyDescent="0.25">
      <c r="A90" s="41">
        <v>15639</v>
      </c>
      <c r="B90" s="39" t="s">
        <v>1917</v>
      </c>
      <c r="C90" s="40">
        <v>4</v>
      </c>
      <c r="D90" s="39" t="s">
        <v>266</v>
      </c>
    </row>
    <row r="91" spans="1:4" x14ac:dyDescent="0.25">
      <c r="A91" s="41">
        <v>15700</v>
      </c>
      <c r="B91" s="39" t="s">
        <v>1769</v>
      </c>
      <c r="C91" s="40">
        <v>3</v>
      </c>
      <c r="D91" s="38" t="s">
        <v>1768</v>
      </c>
    </row>
    <row r="92" spans="1:4" x14ac:dyDescent="0.25">
      <c r="A92" s="41">
        <v>15713</v>
      </c>
      <c r="B92" s="39" t="s">
        <v>1918</v>
      </c>
      <c r="C92" s="40">
        <v>4</v>
      </c>
      <c r="D92" s="39" t="s">
        <v>266</v>
      </c>
    </row>
    <row r="93" spans="1:4" x14ac:dyDescent="0.25">
      <c r="A93" s="41">
        <v>15716</v>
      </c>
      <c r="B93" s="39" t="s">
        <v>1919</v>
      </c>
      <c r="C93" s="40">
        <v>4</v>
      </c>
      <c r="D93" s="39" t="s">
        <v>266</v>
      </c>
    </row>
    <row r="94" spans="1:4" x14ac:dyDescent="0.25">
      <c r="A94" s="41">
        <v>15719</v>
      </c>
      <c r="B94" s="39" t="s">
        <v>1920</v>
      </c>
      <c r="C94" s="40">
        <v>4</v>
      </c>
      <c r="D94" s="39" t="s">
        <v>266</v>
      </c>
    </row>
    <row r="95" spans="1:4" x14ac:dyDescent="0.25">
      <c r="A95" s="41">
        <v>15723</v>
      </c>
      <c r="B95" s="39" t="s">
        <v>1921</v>
      </c>
      <c r="C95" s="40">
        <v>4</v>
      </c>
      <c r="D95" s="39" t="s">
        <v>266</v>
      </c>
    </row>
    <row r="96" spans="1:4" x14ac:dyDescent="0.25">
      <c r="A96" s="41">
        <v>15800</v>
      </c>
      <c r="B96" s="39" t="s">
        <v>1771</v>
      </c>
      <c r="C96" s="40">
        <v>3</v>
      </c>
      <c r="D96" s="38" t="s">
        <v>1770</v>
      </c>
    </row>
    <row r="97" spans="1:4" x14ac:dyDescent="0.25">
      <c r="A97" s="41">
        <v>15813</v>
      </c>
      <c r="B97" s="39" t="s">
        <v>1922</v>
      </c>
      <c r="C97" s="40">
        <v>4</v>
      </c>
      <c r="D97" s="39" t="s">
        <v>266</v>
      </c>
    </row>
    <row r="98" spans="1:4" x14ac:dyDescent="0.25">
      <c r="A98" s="41">
        <v>15816</v>
      </c>
      <c r="B98" s="39" t="s">
        <v>1923</v>
      </c>
      <c r="C98" s="40">
        <v>4</v>
      </c>
      <c r="D98" s="39" t="s">
        <v>266</v>
      </c>
    </row>
    <row r="99" spans="1:4" x14ac:dyDescent="0.25">
      <c r="A99" s="41">
        <v>17000</v>
      </c>
      <c r="B99" s="39" t="s">
        <v>1785</v>
      </c>
      <c r="C99" s="40">
        <v>3</v>
      </c>
      <c r="D99" s="38" t="s">
        <v>1784</v>
      </c>
    </row>
    <row r="100" spans="1:4" x14ac:dyDescent="0.25">
      <c r="A100" s="41">
        <v>17100</v>
      </c>
      <c r="B100" s="39" t="s">
        <v>1787</v>
      </c>
      <c r="C100" s="40">
        <v>3</v>
      </c>
      <c r="D100" s="38" t="s">
        <v>1786</v>
      </c>
    </row>
    <row r="101" spans="1:4" x14ac:dyDescent="0.25">
      <c r="A101" s="41">
        <v>17113</v>
      </c>
      <c r="B101" s="39" t="s">
        <v>1924</v>
      </c>
      <c r="C101" s="40">
        <v>4</v>
      </c>
      <c r="D101" s="39" t="s">
        <v>266</v>
      </c>
    </row>
    <row r="102" spans="1:4" x14ac:dyDescent="0.25">
      <c r="A102" s="41">
        <v>17116</v>
      </c>
      <c r="B102" s="39" t="s">
        <v>1925</v>
      </c>
      <c r="C102" s="40">
        <v>4</v>
      </c>
      <c r="D102" s="39" t="s">
        <v>266</v>
      </c>
    </row>
    <row r="103" spans="1:4" x14ac:dyDescent="0.25">
      <c r="A103" s="41">
        <v>17123</v>
      </c>
      <c r="B103" s="39" t="s">
        <v>1926</v>
      </c>
      <c r="C103" s="40">
        <v>4</v>
      </c>
      <c r="D103" s="39" t="s">
        <v>266</v>
      </c>
    </row>
    <row r="104" spans="1:4" x14ac:dyDescent="0.25">
      <c r="A104" s="42">
        <v>17123.13</v>
      </c>
      <c r="B104" s="39" t="s">
        <v>1927</v>
      </c>
      <c r="C104" s="40">
        <v>5</v>
      </c>
      <c r="D104" s="39" t="s">
        <v>266</v>
      </c>
    </row>
    <row r="105" spans="1:4" x14ac:dyDescent="0.25">
      <c r="A105" s="42">
        <v>17123.16</v>
      </c>
      <c r="B105" s="39" t="s">
        <v>1928</v>
      </c>
      <c r="C105" s="40">
        <v>5</v>
      </c>
      <c r="D105" s="39" t="s">
        <v>266</v>
      </c>
    </row>
    <row r="106" spans="1:4" x14ac:dyDescent="0.25">
      <c r="A106" s="41">
        <v>17133</v>
      </c>
      <c r="B106" s="39" t="s">
        <v>1929</v>
      </c>
      <c r="C106" s="40">
        <v>4</v>
      </c>
      <c r="D106" s="39" t="s">
        <v>266</v>
      </c>
    </row>
    <row r="107" spans="1:4" x14ac:dyDescent="0.25">
      <c r="A107" s="41">
        <v>17300</v>
      </c>
      <c r="B107" s="39" t="s">
        <v>1789</v>
      </c>
      <c r="C107" s="40">
        <v>3</v>
      </c>
      <c r="D107" s="38" t="s">
        <v>1788</v>
      </c>
    </row>
    <row r="108" spans="1:4" x14ac:dyDescent="0.25">
      <c r="A108" s="41">
        <v>17313</v>
      </c>
      <c r="B108" s="39" t="s">
        <v>1930</v>
      </c>
      <c r="C108" s="40">
        <v>4</v>
      </c>
      <c r="D108" s="39" t="s">
        <v>266</v>
      </c>
    </row>
    <row r="109" spans="1:4" x14ac:dyDescent="0.25">
      <c r="A109" s="41">
        <v>17316</v>
      </c>
      <c r="B109" s="39" t="s">
        <v>1931</v>
      </c>
      <c r="C109" s="40">
        <v>4</v>
      </c>
      <c r="D109" s="39" t="s">
        <v>266</v>
      </c>
    </row>
    <row r="110" spans="1:4" x14ac:dyDescent="0.25">
      <c r="A110" s="41">
        <v>17319</v>
      </c>
      <c r="B110" s="39" t="s">
        <v>1932</v>
      </c>
      <c r="C110" s="40">
        <v>4</v>
      </c>
      <c r="D110" s="39" t="s">
        <v>266</v>
      </c>
    </row>
    <row r="111" spans="1:4" x14ac:dyDescent="0.25">
      <c r="A111" s="41">
        <v>17323</v>
      </c>
      <c r="B111" s="39" t="s">
        <v>1933</v>
      </c>
      <c r="C111" s="40">
        <v>4</v>
      </c>
      <c r="D111" s="39" t="s">
        <v>266</v>
      </c>
    </row>
    <row r="112" spans="1:4" x14ac:dyDescent="0.25">
      <c r="A112" s="41">
        <v>17326</v>
      </c>
      <c r="B112" s="39" t="s">
        <v>1934</v>
      </c>
      <c r="C112" s="40">
        <v>4</v>
      </c>
      <c r="D112" s="39" t="s">
        <v>266</v>
      </c>
    </row>
    <row r="113" spans="1:4" x14ac:dyDescent="0.25">
      <c r="A113" s="41">
        <v>17329</v>
      </c>
      <c r="B113" s="39" t="s">
        <v>1935</v>
      </c>
      <c r="C113" s="40">
        <v>4</v>
      </c>
      <c r="D113" s="39" t="s">
        <v>266</v>
      </c>
    </row>
    <row r="114" spans="1:4" x14ac:dyDescent="0.25">
      <c r="A114" s="41">
        <v>17400</v>
      </c>
      <c r="B114" s="39" t="s">
        <v>1791</v>
      </c>
      <c r="C114" s="40">
        <v>3</v>
      </c>
      <c r="D114" s="38" t="s">
        <v>1790</v>
      </c>
    </row>
    <row r="115" spans="1:4" x14ac:dyDescent="0.25">
      <c r="A115" s="41">
        <v>17413</v>
      </c>
      <c r="B115" s="39" t="s">
        <v>1936</v>
      </c>
      <c r="C115" s="40">
        <v>4</v>
      </c>
      <c r="D115" s="39" t="s">
        <v>266</v>
      </c>
    </row>
    <row r="116" spans="1:4" x14ac:dyDescent="0.25">
      <c r="A116" s="41">
        <v>17416</v>
      </c>
      <c r="B116" s="39" t="s">
        <v>1937</v>
      </c>
      <c r="C116" s="40">
        <v>4</v>
      </c>
      <c r="D116" s="39" t="s">
        <v>266</v>
      </c>
    </row>
    <row r="117" spans="1:4" x14ac:dyDescent="0.25">
      <c r="A117" s="41">
        <v>17419</v>
      </c>
      <c r="B117" s="39" t="s">
        <v>1938</v>
      </c>
      <c r="C117" s="40">
        <v>4</v>
      </c>
      <c r="D117" s="39" t="s">
        <v>266</v>
      </c>
    </row>
    <row r="118" spans="1:4" x14ac:dyDescent="0.25">
      <c r="A118" s="41">
        <v>17423</v>
      </c>
      <c r="B118" s="39" t="s">
        <v>1939</v>
      </c>
      <c r="C118" s="40">
        <v>4</v>
      </c>
      <c r="D118" s="39" t="s">
        <v>266</v>
      </c>
    </row>
    <row r="119" spans="1:4" x14ac:dyDescent="0.25">
      <c r="A119" s="41">
        <v>17500</v>
      </c>
      <c r="B119" s="39" t="s">
        <v>1793</v>
      </c>
      <c r="C119" s="40">
        <v>3</v>
      </c>
      <c r="D119" s="38" t="s">
        <v>1792</v>
      </c>
    </row>
    <row r="120" spans="1:4" x14ac:dyDescent="0.25">
      <c r="A120" s="41">
        <v>17513</v>
      </c>
      <c r="B120" s="39" t="s">
        <v>1940</v>
      </c>
      <c r="C120" s="40">
        <v>4</v>
      </c>
      <c r="D120" s="39" t="s">
        <v>266</v>
      </c>
    </row>
    <row r="121" spans="1:4" x14ac:dyDescent="0.25">
      <c r="A121" s="41">
        <v>17516</v>
      </c>
      <c r="B121" s="39" t="s">
        <v>1941</v>
      </c>
      <c r="C121" s="40">
        <v>4</v>
      </c>
      <c r="D121" s="39" t="s">
        <v>266</v>
      </c>
    </row>
    <row r="122" spans="1:4" x14ac:dyDescent="0.25">
      <c r="A122" s="41">
        <v>17600</v>
      </c>
      <c r="B122" s="39" t="s">
        <v>1795</v>
      </c>
      <c r="C122" s="40">
        <v>3</v>
      </c>
      <c r="D122" s="38" t="s">
        <v>1794</v>
      </c>
    </row>
    <row r="123" spans="1:4" x14ac:dyDescent="0.25">
      <c r="A123" s="41">
        <v>17700</v>
      </c>
      <c r="B123" s="39" t="s">
        <v>1797</v>
      </c>
      <c r="C123" s="40">
        <v>3</v>
      </c>
      <c r="D123" s="38" t="s">
        <v>1796</v>
      </c>
    </row>
    <row r="124" spans="1:4" x14ac:dyDescent="0.25">
      <c r="A124" s="41">
        <v>17713</v>
      </c>
      <c r="B124" s="39" t="s">
        <v>1942</v>
      </c>
      <c r="C124" s="40">
        <v>4</v>
      </c>
      <c r="D124" s="39" t="s">
        <v>266</v>
      </c>
    </row>
    <row r="125" spans="1:4" x14ac:dyDescent="0.25">
      <c r="A125" s="41">
        <v>17716</v>
      </c>
      <c r="B125" s="39" t="s">
        <v>1943</v>
      </c>
      <c r="C125" s="40">
        <v>4</v>
      </c>
      <c r="D125" s="39" t="s">
        <v>266</v>
      </c>
    </row>
    <row r="126" spans="1:4" x14ac:dyDescent="0.25">
      <c r="A126" s="41">
        <v>17719</v>
      </c>
      <c r="B126" s="39" t="s">
        <v>1944</v>
      </c>
      <c r="C126" s="40">
        <v>4</v>
      </c>
      <c r="D126" s="39" t="s">
        <v>266</v>
      </c>
    </row>
    <row r="127" spans="1:4" x14ac:dyDescent="0.25">
      <c r="A127" s="41">
        <v>17800</v>
      </c>
      <c r="B127" s="39" t="s">
        <v>1799</v>
      </c>
      <c r="C127" s="40">
        <v>3</v>
      </c>
      <c r="D127" s="38" t="s">
        <v>1798</v>
      </c>
    </row>
    <row r="128" spans="1:4" x14ac:dyDescent="0.25">
      <c r="A128" s="41">
        <v>17813</v>
      </c>
      <c r="B128" s="39" t="s">
        <v>1945</v>
      </c>
      <c r="C128" s="40">
        <v>4</v>
      </c>
      <c r="D128" s="39" t="s">
        <v>266</v>
      </c>
    </row>
    <row r="129" spans="1:4" x14ac:dyDescent="0.25">
      <c r="A129" s="41">
        <v>17819</v>
      </c>
      <c r="B129" s="39" t="s">
        <v>1946</v>
      </c>
      <c r="C129" s="40">
        <v>4</v>
      </c>
      <c r="D129" s="39" t="s">
        <v>266</v>
      </c>
    </row>
    <row r="130" spans="1:4" x14ac:dyDescent="0.25">
      <c r="A130" s="41">
        <v>17823</v>
      </c>
      <c r="B130" s="39" t="s">
        <v>1947</v>
      </c>
      <c r="C130" s="40">
        <v>4</v>
      </c>
      <c r="D130" s="39" t="s">
        <v>266</v>
      </c>
    </row>
    <row r="131" spans="1:4" x14ac:dyDescent="0.25">
      <c r="A131" s="42">
        <v>17823.13</v>
      </c>
      <c r="B131" s="39" t="s">
        <v>1948</v>
      </c>
      <c r="C131" s="40">
        <v>5</v>
      </c>
      <c r="D131" s="39" t="s">
        <v>266</v>
      </c>
    </row>
    <row r="132" spans="1:4" x14ac:dyDescent="0.25">
      <c r="A132" s="42">
        <v>17823.16</v>
      </c>
      <c r="B132" s="39" t="s">
        <v>1949</v>
      </c>
      <c r="C132" s="40">
        <v>5</v>
      </c>
      <c r="D132" s="39" t="s">
        <v>266</v>
      </c>
    </row>
    <row r="133" spans="1:4" x14ac:dyDescent="0.25">
      <c r="A133" s="42">
        <v>17823.189999999999</v>
      </c>
      <c r="B133" s="39" t="s">
        <v>1950</v>
      </c>
      <c r="C133" s="40">
        <v>5</v>
      </c>
      <c r="D133" s="39" t="s">
        <v>266</v>
      </c>
    </row>
    <row r="134" spans="1:4" x14ac:dyDescent="0.25">
      <c r="A134" s="41">
        <v>17829</v>
      </c>
      <c r="B134" s="39" t="s">
        <v>1951</v>
      </c>
      <c r="C134" s="40">
        <v>4</v>
      </c>
      <c r="D134" s="39" t="s">
        <v>266</v>
      </c>
    </row>
    <row r="135" spans="1:4" x14ac:dyDescent="0.25">
      <c r="A135" s="41">
        <v>17833</v>
      </c>
      <c r="B135" s="39" t="s">
        <v>1952</v>
      </c>
      <c r="C135" s="40">
        <v>4</v>
      </c>
      <c r="D135" s="39" t="s">
        <v>266</v>
      </c>
    </row>
    <row r="136" spans="1:4" x14ac:dyDescent="0.25">
      <c r="A136" s="41">
        <v>17836</v>
      </c>
      <c r="B136" s="39" t="s">
        <v>1953</v>
      </c>
      <c r="C136" s="40">
        <v>4</v>
      </c>
      <c r="D136" s="39" t="s">
        <v>266</v>
      </c>
    </row>
    <row r="137" spans="1:4" x14ac:dyDescent="0.25">
      <c r="A137" s="41">
        <v>17839</v>
      </c>
      <c r="B137" s="39" t="s">
        <v>1954</v>
      </c>
      <c r="C137" s="40">
        <v>4</v>
      </c>
      <c r="D137" s="39" t="s">
        <v>266</v>
      </c>
    </row>
    <row r="138" spans="1:4" x14ac:dyDescent="0.25">
      <c r="A138" s="41">
        <v>17843</v>
      </c>
      <c r="B138" s="39" t="s">
        <v>1955</v>
      </c>
      <c r="C138" s="40">
        <v>4</v>
      </c>
      <c r="D138" s="39" t="s">
        <v>266</v>
      </c>
    </row>
    <row r="139" spans="1:4" x14ac:dyDescent="0.25">
      <c r="A139" s="41">
        <v>17846</v>
      </c>
      <c r="B139" s="39" t="s">
        <v>1956</v>
      </c>
      <c r="C139" s="40">
        <v>4</v>
      </c>
      <c r="D139" s="39" t="s">
        <v>266</v>
      </c>
    </row>
    <row r="140" spans="1:4" x14ac:dyDescent="0.25">
      <c r="A140" s="41">
        <v>17853</v>
      </c>
      <c r="B140" s="39" t="s">
        <v>1957</v>
      </c>
      <c r="C140" s="40">
        <v>4</v>
      </c>
      <c r="D140" s="39" t="s">
        <v>266</v>
      </c>
    </row>
    <row r="141" spans="1:4" x14ac:dyDescent="0.25">
      <c r="A141" s="41">
        <v>17900</v>
      </c>
      <c r="B141" s="39" t="s">
        <v>1801</v>
      </c>
      <c r="C141" s="40">
        <v>3</v>
      </c>
      <c r="D141" s="38" t="s">
        <v>1800</v>
      </c>
    </row>
    <row r="142" spans="1:4" x14ac:dyDescent="0.25">
      <c r="A142" s="41">
        <v>19000</v>
      </c>
      <c r="B142" s="39" t="s">
        <v>1803</v>
      </c>
      <c r="C142" s="40">
        <v>3</v>
      </c>
      <c r="D142" s="38" t="s">
        <v>1802</v>
      </c>
    </row>
    <row r="143" spans="1:4" x14ac:dyDescent="0.25">
      <c r="A143" s="41">
        <v>19100</v>
      </c>
      <c r="B143" s="39" t="s">
        <v>1805</v>
      </c>
      <c r="C143" s="40">
        <v>3</v>
      </c>
      <c r="D143" s="38" t="s">
        <v>1804</v>
      </c>
    </row>
    <row r="144" spans="1:4" x14ac:dyDescent="0.25">
      <c r="A144" s="41">
        <v>19113</v>
      </c>
      <c r="B144" s="39" t="s">
        <v>1958</v>
      </c>
      <c r="C144" s="40">
        <v>4</v>
      </c>
      <c r="D144" s="39" t="s">
        <v>266</v>
      </c>
    </row>
    <row r="145" spans="1:4" x14ac:dyDescent="0.25">
      <c r="A145" s="41">
        <v>19116</v>
      </c>
      <c r="B145" s="39" t="s">
        <v>1959</v>
      </c>
      <c r="C145" s="40">
        <v>4</v>
      </c>
      <c r="D145" s="39" t="s">
        <v>266</v>
      </c>
    </row>
    <row r="146" spans="1:4" x14ac:dyDescent="0.25">
      <c r="A146" s="42">
        <v>19116.13</v>
      </c>
      <c r="B146" s="39" t="s">
        <v>1960</v>
      </c>
      <c r="C146" s="40">
        <v>5</v>
      </c>
      <c r="D146" s="39" t="s">
        <v>266</v>
      </c>
    </row>
    <row r="147" spans="1:4" x14ac:dyDescent="0.25">
      <c r="A147" s="42">
        <v>19116.53</v>
      </c>
      <c r="B147" s="39" t="s">
        <v>1961</v>
      </c>
      <c r="C147" s="40">
        <v>5</v>
      </c>
      <c r="D147" s="39" t="s">
        <v>266</v>
      </c>
    </row>
    <row r="148" spans="1:4" x14ac:dyDescent="0.25">
      <c r="A148" s="41">
        <v>19119</v>
      </c>
      <c r="B148" s="39" t="s">
        <v>1962</v>
      </c>
      <c r="C148" s="40">
        <v>4</v>
      </c>
      <c r="D148" s="39" t="s">
        <v>266</v>
      </c>
    </row>
    <row r="149" spans="1:4" x14ac:dyDescent="0.25">
      <c r="A149" s="42">
        <v>19119.13</v>
      </c>
      <c r="B149" s="39" t="s">
        <v>1963</v>
      </c>
      <c r="C149" s="40">
        <v>5</v>
      </c>
      <c r="D149" s="39" t="s">
        <v>266</v>
      </c>
    </row>
    <row r="150" spans="1:4" x14ac:dyDescent="0.25">
      <c r="A150" s="42">
        <v>19119.43</v>
      </c>
      <c r="B150" s="39" t="s">
        <v>1964</v>
      </c>
      <c r="C150" s="40">
        <v>5</v>
      </c>
      <c r="D150" s="39" t="s">
        <v>266</v>
      </c>
    </row>
    <row r="151" spans="1:4" x14ac:dyDescent="0.25">
      <c r="A151" s="42">
        <v>19119.73</v>
      </c>
      <c r="B151" s="39" t="s">
        <v>1965</v>
      </c>
      <c r="C151" s="40">
        <v>5</v>
      </c>
      <c r="D151" s="39" t="s">
        <v>266</v>
      </c>
    </row>
    <row r="152" spans="1:4" x14ac:dyDescent="0.25">
      <c r="A152" s="41">
        <v>19123</v>
      </c>
      <c r="B152" s="39" t="s">
        <v>1966</v>
      </c>
      <c r="C152" s="40">
        <v>4</v>
      </c>
      <c r="D152" s="39" t="s">
        <v>266</v>
      </c>
    </row>
    <row r="153" spans="1:4" x14ac:dyDescent="0.25">
      <c r="A153" s="42">
        <v>19123.13</v>
      </c>
      <c r="B153" s="39" t="s">
        <v>1967</v>
      </c>
      <c r="C153" s="40">
        <v>5</v>
      </c>
      <c r="D153" s="39" t="s">
        <v>266</v>
      </c>
    </row>
    <row r="154" spans="1:4" x14ac:dyDescent="0.25">
      <c r="A154" s="42">
        <v>19123.43</v>
      </c>
      <c r="B154" s="39" t="s">
        <v>1968</v>
      </c>
      <c r="C154" s="40">
        <v>5</v>
      </c>
      <c r="D154" s="39" t="s">
        <v>266</v>
      </c>
    </row>
    <row r="155" spans="1:4" x14ac:dyDescent="0.25">
      <c r="A155" s="42">
        <v>19123.73</v>
      </c>
      <c r="B155" s="39" t="s">
        <v>1969</v>
      </c>
      <c r="C155" s="40">
        <v>5</v>
      </c>
      <c r="D155" s="39" t="s">
        <v>266</v>
      </c>
    </row>
    <row r="156" spans="1:4" x14ac:dyDescent="0.25">
      <c r="A156" s="41">
        <v>19200</v>
      </c>
      <c r="B156" s="39" t="s">
        <v>1807</v>
      </c>
      <c r="C156" s="40">
        <v>3</v>
      </c>
      <c r="D156" s="38" t="s">
        <v>1806</v>
      </c>
    </row>
    <row r="157" spans="1:4" x14ac:dyDescent="0.25">
      <c r="A157" s="41">
        <v>19213</v>
      </c>
      <c r="B157" s="39" t="s">
        <v>1970</v>
      </c>
      <c r="C157" s="40">
        <v>4</v>
      </c>
      <c r="D157" s="39" t="s">
        <v>266</v>
      </c>
    </row>
    <row r="158" spans="1:4" x14ac:dyDescent="0.25">
      <c r="A158" s="41">
        <v>19300</v>
      </c>
      <c r="B158" s="39" t="s">
        <v>1809</v>
      </c>
      <c r="C158" s="40">
        <v>3</v>
      </c>
      <c r="D158" s="38" t="s">
        <v>1808</v>
      </c>
    </row>
    <row r="159" spans="1:4" x14ac:dyDescent="0.25">
      <c r="A159" s="41">
        <v>19313</v>
      </c>
      <c r="B159" s="39" t="s">
        <v>1971</v>
      </c>
      <c r="C159" s="40">
        <v>4</v>
      </c>
      <c r="D159" s="39" t="s">
        <v>266</v>
      </c>
    </row>
    <row r="160" spans="1:4" x14ac:dyDescent="0.25">
      <c r="A160" s="41">
        <v>19316</v>
      </c>
      <c r="B160" s="39" t="s">
        <v>1972</v>
      </c>
      <c r="C160" s="40">
        <v>4</v>
      </c>
      <c r="D160" s="39" t="s">
        <v>266</v>
      </c>
    </row>
    <row r="161" spans="1:4" x14ac:dyDescent="0.25">
      <c r="A161" s="41">
        <v>19400</v>
      </c>
      <c r="B161" s="39" t="s">
        <v>1811</v>
      </c>
      <c r="C161" s="40">
        <v>3</v>
      </c>
      <c r="D161" s="38" t="s">
        <v>1810</v>
      </c>
    </row>
    <row r="162" spans="1:4" x14ac:dyDescent="0.25">
      <c r="A162" s="41">
        <v>19413</v>
      </c>
      <c r="B162" s="39" t="s">
        <v>1973</v>
      </c>
      <c r="C162" s="40">
        <v>4</v>
      </c>
      <c r="D162" s="39" t="s">
        <v>266</v>
      </c>
    </row>
    <row r="163" spans="1:4" x14ac:dyDescent="0.25">
      <c r="A163" s="41">
        <v>20000</v>
      </c>
      <c r="B163" s="39" t="s">
        <v>294</v>
      </c>
      <c r="C163" s="40">
        <v>2</v>
      </c>
      <c r="D163" s="38">
        <v>1040</v>
      </c>
    </row>
    <row r="164" spans="1:4" x14ac:dyDescent="0.25">
      <c r="A164" s="42">
        <v>24119.19</v>
      </c>
      <c r="B164" s="39" t="s">
        <v>1974</v>
      </c>
      <c r="C164" s="40">
        <v>5</v>
      </c>
      <c r="D164" s="39" t="s">
        <v>266</v>
      </c>
    </row>
    <row r="165" spans="1:4" x14ac:dyDescent="0.25">
      <c r="A165" s="41">
        <v>20100</v>
      </c>
      <c r="B165" s="39" t="s">
        <v>1975</v>
      </c>
      <c r="C165" s="40">
        <v>3</v>
      </c>
      <c r="D165" s="39" t="s">
        <v>266</v>
      </c>
    </row>
    <row r="166" spans="1:4" x14ac:dyDescent="0.25">
      <c r="A166" s="41">
        <v>20150</v>
      </c>
      <c r="B166" s="39" t="s">
        <v>1976</v>
      </c>
      <c r="C166" s="40">
        <v>4</v>
      </c>
      <c r="D166" s="39" t="s">
        <v>266</v>
      </c>
    </row>
    <row r="167" spans="1:4" x14ac:dyDescent="0.25">
      <c r="A167" s="41">
        <v>20165</v>
      </c>
      <c r="B167" s="39" t="s">
        <v>1977</v>
      </c>
      <c r="C167" s="40">
        <v>4</v>
      </c>
      <c r="D167" s="39" t="s">
        <v>266</v>
      </c>
    </row>
    <row r="168" spans="1:4" x14ac:dyDescent="0.25">
      <c r="A168" s="41">
        <v>20180</v>
      </c>
      <c r="B168" s="39" t="s">
        <v>1978</v>
      </c>
      <c r="C168" s="40">
        <v>4</v>
      </c>
      <c r="D168" s="39" t="s">
        <v>266</v>
      </c>
    </row>
    <row r="169" spans="1:4" x14ac:dyDescent="0.25">
      <c r="A169" s="41">
        <v>20186</v>
      </c>
      <c r="B169" s="39" t="s">
        <v>1979</v>
      </c>
      <c r="C169" s="40">
        <v>4</v>
      </c>
      <c r="D169" s="39" t="s">
        <v>266</v>
      </c>
    </row>
    <row r="170" spans="1:4" x14ac:dyDescent="0.25">
      <c r="A170" s="41">
        <v>20500</v>
      </c>
      <c r="B170" s="39" t="s">
        <v>1980</v>
      </c>
      <c r="C170" s="40">
        <v>3</v>
      </c>
      <c r="D170" s="39" t="s">
        <v>266</v>
      </c>
    </row>
    <row r="171" spans="1:4" x14ac:dyDescent="0.25">
      <c r="A171" s="41">
        <v>20519</v>
      </c>
      <c r="B171" s="39" t="s">
        <v>1981</v>
      </c>
      <c r="C171" s="40">
        <v>4</v>
      </c>
      <c r="D171" s="39" t="s">
        <v>266</v>
      </c>
    </row>
    <row r="172" spans="1:4" x14ac:dyDescent="0.25">
      <c r="A172" s="42">
        <v>20519.13</v>
      </c>
      <c r="B172" s="39" t="s">
        <v>1982</v>
      </c>
      <c r="C172" s="40">
        <v>5</v>
      </c>
      <c r="D172" s="39" t="s">
        <v>266</v>
      </c>
    </row>
    <row r="173" spans="1:4" x14ac:dyDescent="0.25">
      <c r="A173" s="42">
        <v>20519.16</v>
      </c>
      <c r="B173" s="39" t="s">
        <v>1983</v>
      </c>
      <c r="C173" s="40">
        <v>5</v>
      </c>
      <c r="D173" s="39" t="s">
        <v>266</v>
      </c>
    </row>
    <row r="174" spans="1:4" x14ac:dyDescent="0.25">
      <c r="A174" s="42">
        <v>20519.189999999999</v>
      </c>
      <c r="B174" s="39" t="s">
        <v>1984</v>
      </c>
      <c r="C174" s="40">
        <v>5</v>
      </c>
      <c r="D174" s="39" t="s">
        <v>266</v>
      </c>
    </row>
    <row r="175" spans="1:4" x14ac:dyDescent="0.25">
      <c r="A175" s="41">
        <v>20800</v>
      </c>
      <c r="B175" s="39" t="s">
        <v>1985</v>
      </c>
      <c r="C175" s="40">
        <v>3</v>
      </c>
      <c r="D175" s="39" t="s">
        <v>266</v>
      </c>
    </row>
    <row r="176" spans="1:4" x14ac:dyDescent="0.25">
      <c r="A176" s="41">
        <v>22000</v>
      </c>
      <c r="B176" s="39" t="s">
        <v>296</v>
      </c>
      <c r="C176" s="40">
        <v>3</v>
      </c>
      <c r="D176" s="38" t="s">
        <v>295</v>
      </c>
    </row>
    <row r="177" spans="1:4" x14ac:dyDescent="0.25">
      <c r="A177" s="41">
        <v>22100</v>
      </c>
      <c r="B177" s="39" t="s">
        <v>1986</v>
      </c>
      <c r="C177" s="40">
        <v>3</v>
      </c>
      <c r="D177" s="38">
        <v>3040.35</v>
      </c>
    </row>
    <row r="178" spans="1:4" x14ac:dyDescent="0.25">
      <c r="A178" s="41">
        <v>22113</v>
      </c>
      <c r="B178" s="39" t="s">
        <v>1987</v>
      </c>
      <c r="C178" s="40">
        <v>4</v>
      </c>
      <c r="D178" s="39" t="s">
        <v>266</v>
      </c>
    </row>
    <row r="179" spans="1:4" x14ac:dyDescent="0.25">
      <c r="A179" s="42">
        <v>22113.13</v>
      </c>
      <c r="B179" s="39" t="s">
        <v>1988</v>
      </c>
      <c r="C179" s="40">
        <v>5</v>
      </c>
      <c r="D179" s="39" t="s">
        <v>266</v>
      </c>
    </row>
    <row r="180" spans="1:4" x14ac:dyDescent="0.25">
      <c r="A180" s="42">
        <v>22113.23</v>
      </c>
      <c r="B180" s="39" t="s">
        <v>1989</v>
      </c>
      <c r="C180" s="40">
        <v>5</v>
      </c>
      <c r="D180" s="39" t="s">
        <v>266</v>
      </c>
    </row>
    <row r="181" spans="1:4" x14ac:dyDescent="0.25">
      <c r="A181" s="41">
        <v>22116</v>
      </c>
      <c r="B181" s="39" t="s">
        <v>1990</v>
      </c>
      <c r="C181" s="40">
        <v>4</v>
      </c>
      <c r="D181" s="39" t="s">
        <v>266</v>
      </c>
    </row>
    <row r="182" spans="1:4" x14ac:dyDescent="0.25">
      <c r="A182" s="41">
        <v>22200</v>
      </c>
      <c r="B182" s="39" t="s">
        <v>1991</v>
      </c>
      <c r="C182" s="40">
        <v>3</v>
      </c>
      <c r="D182" s="39" t="s">
        <v>266</v>
      </c>
    </row>
    <row r="183" spans="1:4" x14ac:dyDescent="0.25">
      <c r="A183" s="41">
        <v>22213</v>
      </c>
      <c r="B183" s="39" t="s">
        <v>1992</v>
      </c>
      <c r="C183" s="40">
        <v>4</v>
      </c>
      <c r="D183" s="39" t="s">
        <v>266</v>
      </c>
    </row>
    <row r="184" spans="1:4" x14ac:dyDescent="0.25">
      <c r="A184" s="42">
        <v>22216.6</v>
      </c>
      <c r="B184" s="39" t="s">
        <v>1993</v>
      </c>
      <c r="C184" s="40">
        <v>5</v>
      </c>
      <c r="D184" s="39" t="s">
        <v>266</v>
      </c>
    </row>
    <row r="185" spans="1:4" x14ac:dyDescent="0.25">
      <c r="A185" s="41">
        <v>22219</v>
      </c>
      <c r="B185" s="39" t="s">
        <v>1994</v>
      </c>
      <c r="C185" s="40">
        <v>4</v>
      </c>
      <c r="D185" s="39" t="s">
        <v>266</v>
      </c>
    </row>
    <row r="186" spans="1:4" x14ac:dyDescent="0.25">
      <c r="A186" s="41">
        <v>22223</v>
      </c>
      <c r="B186" s="39" t="s">
        <v>1995</v>
      </c>
      <c r="C186" s="40">
        <v>4</v>
      </c>
      <c r="D186" s="39" t="s">
        <v>266</v>
      </c>
    </row>
    <row r="187" spans="1:4" x14ac:dyDescent="0.25">
      <c r="A187" s="41">
        <v>22400</v>
      </c>
      <c r="B187" s="39" t="s">
        <v>1996</v>
      </c>
      <c r="C187" s="40">
        <v>3</v>
      </c>
      <c r="D187" s="38" t="s">
        <v>391</v>
      </c>
    </row>
    <row r="188" spans="1:4" x14ac:dyDescent="0.25">
      <c r="A188" s="41">
        <v>22413</v>
      </c>
      <c r="B188" s="39" t="s">
        <v>1997</v>
      </c>
      <c r="C188" s="40">
        <v>4</v>
      </c>
      <c r="D188" s="39" t="s">
        <v>266</v>
      </c>
    </row>
    <row r="189" spans="1:4" x14ac:dyDescent="0.25">
      <c r="A189" s="42">
        <v>22413.13</v>
      </c>
      <c r="B189" s="39" t="s">
        <v>1998</v>
      </c>
      <c r="C189" s="40">
        <v>5</v>
      </c>
      <c r="D189" s="39" t="s">
        <v>266</v>
      </c>
    </row>
    <row r="190" spans="1:4" x14ac:dyDescent="0.25">
      <c r="A190" s="42">
        <v>22413.43</v>
      </c>
      <c r="B190" s="39" t="s">
        <v>1999</v>
      </c>
      <c r="C190" s="40">
        <v>5</v>
      </c>
      <c r="D190" s="39" t="s">
        <v>266</v>
      </c>
    </row>
    <row r="191" spans="1:4" x14ac:dyDescent="0.25">
      <c r="A191" s="42">
        <v>22413.73</v>
      </c>
      <c r="B191" s="39" t="s">
        <v>2000</v>
      </c>
      <c r="C191" s="40">
        <v>5</v>
      </c>
      <c r="D191" s="39" t="s">
        <v>266</v>
      </c>
    </row>
    <row r="192" spans="1:4" x14ac:dyDescent="0.25">
      <c r="A192" s="41">
        <v>22423</v>
      </c>
      <c r="B192" s="39" t="s">
        <v>2001</v>
      </c>
      <c r="C192" s="40">
        <v>4</v>
      </c>
      <c r="D192" s="39" t="s">
        <v>266</v>
      </c>
    </row>
    <row r="193" spans="1:4" x14ac:dyDescent="0.25">
      <c r="A193" s="41">
        <v>22443</v>
      </c>
      <c r="B193" s="39" t="s">
        <v>2002</v>
      </c>
      <c r="C193" s="40">
        <v>4</v>
      </c>
      <c r="D193" s="39" t="s">
        <v>266</v>
      </c>
    </row>
    <row r="194" spans="1:4" x14ac:dyDescent="0.25">
      <c r="A194" s="41">
        <v>22500</v>
      </c>
      <c r="B194" s="39" t="s">
        <v>2003</v>
      </c>
      <c r="C194" s="40">
        <v>3</v>
      </c>
      <c r="D194" s="38">
        <v>3040.45</v>
      </c>
    </row>
    <row r="195" spans="1:4" x14ac:dyDescent="0.25">
      <c r="A195" s="41">
        <v>22516</v>
      </c>
      <c r="B195" s="39" t="s">
        <v>2004</v>
      </c>
      <c r="C195" s="40">
        <v>4</v>
      </c>
      <c r="D195" s="39" t="s">
        <v>266</v>
      </c>
    </row>
    <row r="196" spans="1:4" x14ac:dyDescent="0.25">
      <c r="A196" s="42">
        <v>22516.13</v>
      </c>
      <c r="B196" s="39" t="s">
        <v>2005</v>
      </c>
      <c r="C196" s="40">
        <v>5</v>
      </c>
      <c r="D196" s="39" t="s">
        <v>266</v>
      </c>
    </row>
    <row r="197" spans="1:4" x14ac:dyDescent="0.25">
      <c r="A197" s="41">
        <v>22519</v>
      </c>
      <c r="B197" s="39" t="s">
        <v>2006</v>
      </c>
      <c r="C197" s="40">
        <v>4</v>
      </c>
      <c r="D197" s="39" t="s">
        <v>266</v>
      </c>
    </row>
    <row r="198" spans="1:4" x14ac:dyDescent="0.25">
      <c r="A198" s="42">
        <v>22519.13</v>
      </c>
      <c r="B198" s="39" t="s">
        <v>2007</v>
      </c>
      <c r="C198" s="40">
        <v>5</v>
      </c>
      <c r="D198" s="39" t="s">
        <v>266</v>
      </c>
    </row>
    <row r="199" spans="1:4" x14ac:dyDescent="0.25">
      <c r="A199" s="41">
        <v>22523</v>
      </c>
      <c r="B199" s="39" t="s">
        <v>2008</v>
      </c>
      <c r="C199" s="40">
        <v>4</v>
      </c>
      <c r="D199" s="39" t="s">
        <v>266</v>
      </c>
    </row>
    <row r="200" spans="1:4" x14ac:dyDescent="0.25">
      <c r="A200" s="42">
        <v>22523.13</v>
      </c>
      <c r="B200" s="39" t="s">
        <v>2009</v>
      </c>
      <c r="C200" s="40">
        <v>5</v>
      </c>
      <c r="D200" s="39" t="s">
        <v>266</v>
      </c>
    </row>
    <row r="201" spans="1:4" x14ac:dyDescent="0.25">
      <c r="A201" s="41">
        <v>22526</v>
      </c>
      <c r="B201" s="39" t="s">
        <v>2010</v>
      </c>
      <c r="C201" s="40">
        <v>4</v>
      </c>
      <c r="D201" s="39" t="s">
        <v>266</v>
      </c>
    </row>
    <row r="202" spans="1:4" x14ac:dyDescent="0.25">
      <c r="A202" s="41">
        <v>22529</v>
      </c>
      <c r="B202" s="39" t="s">
        <v>2011</v>
      </c>
      <c r="C202" s="40">
        <v>4</v>
      </c>
      <c r="D202" s="39" t="s">
        <v>266</v>
      </c>
    </row>
    <row r="203" spans="1:4" x14ac:dyDescent="0.25">
      <c r="A203" s="42">
        <v>22529.13</v>
      </c>
      <c r="B203" s="39" t="s">
        <v>2012</v>
      </c>
      <c r="C203" s="40">
        <v>5</v>
      </c>
      <c r="D203" s="39" t="s">
        <v>266</v>
      </c>
    </row>
    <row r="204" spans="1:4" x14ac:dyDescent="0.25">
      <c r="A204" s="42">
        <v>22529.23</v>
      </c>
      <c r="B204" s="39" t="s">
        <v>2013</v>
      </c>
      <c r="C204" s="40">
        <v>5</v>
      </c>
      <c r="D204" s="39" t="s">
        <v>266</v>
      </c>
    </row>
    <row r="205" spans="1:4" x14ac:dyDescent="0.25">
      <c r="A205" s="41">
        <v>22600</v>
      </c>
      <c r="B205" s="39" t="s">
        <v>2014</v>
      </c>
      <c r="C205" s="40">
        <v>3</v>
      </c>
      <c r="D205" s="38" t="s">
        <v>394</v>
      </c>
    </row>
    <row r="206" spans="1:4" x14ac:dyDescent="0.25">
      <c r="A206" s="41">
        <v>22623</v>
      </c>
      <c r="B206" s="39" t="s">
        <v>2015</v>
      </c>
      <c r="C206" s="40">
        <v>4</v>
      </c>
      <c r="D206" s="38" t="s">
        <v>266</v>
      </c>
    </row>
    <row r="207" spans="1:4" x14ac:dyDescent="0.25">
      <c r="A207" s="41">
        <v>22626</v>
      </c>
      <c r="B207" s="39" t="s">
        <v>2016</v>
      </c>
      <c r="C207" s="40">
        <v>4</v>
      </c>
      <c r="D207" s="38" t="s">
        <v>266</v>
      </c>
    </row>
    <row r="208" spans="1:4" x14ac:dyDescent="0.25">
      <c r="A208" s="41">
        <v>22629</v>
      </c>
      <c r="B208" s="39" t="s">
        <v>2017</v>
      </c>
      <c r="C208" s="40">
        <v>4</v>
      </c>
      <c r="D208" s="38" t="s">
        <v>266</v>
      </c>
    </row>
    <row r="209" spans="1:4" x14ac:dyDescent="0.25">
      <c r="A209" s="41">
        <v>22633</v>
      </c>
      <c r="B209" s="39" t="s">
        <v>2018</v>
      </c>
      <c r="C209" s="40">
        <v>4</v>
      </c>
      <c r="D209" s="38" t="s">
        <v>266</v>
      </c>
    </row>
    <row r="210" spans="1:4" x14ac:dyDescent="0.25">
      <c r="A210" s="42">
        <v>22633.13</v>
      </c>
      <c r="B210" s="39" t="s">
        <v>2019</v>
      </c>
      <c r="C210" s="40">
        <v>5</v>
      </c>
      <c r="D210" s="38" t="s">
        <v>266</v>
      </c>
    </row>
    <row r="211" spans="1:4" x14ac:dyDescent="0.25">
      <c r="A211" s="41">
        <v>22636</v>
      </c>
      <c r="B211" s="39" t="s">
        <v>2020</v>
      </c>
      <c r="C211" s="40">
        <v>4</v>
      </c>
      <c r="D211" s="38" t="s">
        <v>266</v>
      </c>
    </row>
    <row r="212" spans="1:4" x14ac:dyDescent="0.25">
      <c r="A212" s="41">
        <v>23000</v>
      </c>
      <c r="B212" s="39" t="s">
        <v>298</v>
      </c>
      <c r="C212" s="40">
        <v>3</v>
      </c>
      <c r="D212" s="38" t="s">
        <v>297</v>
      </c>
    </row>
    <row r="213" spans="1:4" x14ac:dyDescent="0.25">
      <c r="A213" s="41">
        <v>23100</v>
      </c>
      <c r="B213" s="39" t="s">
        <v>2021</v>
      </c>
      <c r="C213" s="40">
        <v>3</v>
      </c>
      <c r="D213" s="38" t="s">
        <v>266</v>
      </c>
    </row>
    <row r="214" spans="1:4" x14ac:dyDescent="0.25">
      <c r="A214" s="41">
        <v>23113</v>
      </c>
      <c r="B214" s="39" t="s">
        <v>2022</v>
      </c>
      <c r="C214" s="40">
        <v>4</v>
      </c>
      <c r="D214" s="38" t="s">
        <v>266</v>
      </c>
    </row>
    <row r="215" spans="1:4" x14ac:dyDescent="0.25">
      <c r="A215" s="41">
        <v>23116</v>
      </c>
      <c r="B215" s="39" t="s">
        <v>2023</v>
      </c>
      <c r="C215" s="40">
        <v>4</v>
      </c>
      <c r="D215" s="38" t="s">
        <v>266</v>
      </c>
    </row>
    <row r="216" spans="1:4" x14ac:dyDescent="0.25">
      <c r="A216" s="41">
        <v>23119</v>
      </c>
      <c r="B216" s="39" t="s">
        <v>2024</v>
      </c>
      <c r="C216" s="40">
        <v>4</v>
      </c>
      <c r="D216" s="38" t="s">
        <v>266</v>
      </c>
    </row>
    <row r="217" spans="1:4" x14ac:dyDescent="0.25">
      <c r="A217" s="41">
        <v>23123</v>
      </c>
      <c r="B217" s="39" t="s">
        <v>2025</v>
      </c>
      <c r="C217" s="40">
        <v>4</v>
      </c>
      <c r="D217" s="38" t="s">
        <v>266</v>
      </c>
    </row>
    <row r="218" spans="1:4" x14ac:dyDescent="0.25">
      <c r="A218" s="41">
        <v>23126</v>
      </c>
      <c r="B218" s="39" t="s">
        <v>2026</v>
      </c>
      <c r="C218" s="40">
        <v>4</v>
      </c>
      <c r="D218" s="38" t="s">
        <v>266</v>
      </c>
    </row>
    <row r="219" spans="1:4" x14ac:dyDescent="0.25">
      <c r="A219" s="41">
        <v>23129</v>
      </c>
      <c r="B219" s="39" t="s">
        <v>2027</v>
      </c>
      <c r="C219" s="40">
        <v>4</v>
      </c>
      <c r="D219" s="38" t="s">
        <v>266</v>
      </c>
    </row>
    <row r="220" spans="1:4" x14ac:dyDescent="0.25">
      <c r="A220" s="41">
        <v>23200</v>
      </c>
      <c r="B220" s="39" t="s">
        <v>2028</v>
      </c>
      <c r="C220" s="40">
        <v>3</v>
      </c>
      <c r="D220" s="38" t="s">
        <v>266</v>
      </c>
    </row>
    <row r="221" spans="1:4" x14ac:dyDescent="0.25">
      <c r="A221" s="41">
        <v>23213</v>
      </c>
      <c r="B221" s="39" t="s">
        <v>2029</v>
      </c>
      <c r="C221" s="40">
        <v>4</v>
      </c>
      <c r="D221" s="38" t="s">
        <v>266</v>
      </c>
    </row>
    <row r="222" spans="1:4" x14ac:dyDescent="0.25">
      <c r="A222" s="41">
        <v>23216</v>
      </c>
      <c r="B222" s="39" t="s">
        <v>2030</v>
      </c>
      <c r="C222" s="40">
        <v>4</v>
      </c>
      <c r="D222" s="38" t="s">
        <v>266</v>
      </c>
    </row>
    <row r="223" spans="1:4" x14ac:dyDescent="0.25">
      <c r="A223" s="41">
        <v>23219</v>
      </c>
      <c r="B223" s="39" t="s">
        <v>2031</v>
      </c>
      <c r="C223" s="40">
        <v>4</v>
      </c>
      <c r="D223" s="38" t="s">
        <v>266</v>
      </c>
    </row>
    <row r="224" spans="1:4" x14ac:dyDescent="0.25">
      <c r="A224" s="41">
        <v>23223</v>
      </c>
      <c r="B224" s="39" t="s">
        <v>2032</v>
      </c>
      <c r="C224" s="40">
        <v>4</v>
      </c>
      <c r="D224" s="38" t="s">
        <v>266</v>
      </c>
    </row>
    <row r="225" spans="1:4" x14ac:dyDescent="0.25">
      <c r="A225" s="42">
        <v>23223.13</v>
      </c>
      <c r="B225" s="39" t="s">
        <v>2033</v>
      </c>
      <c r="C225" s="40">
        <v>5</v>
      </c>
      <c r="D225" s="38" t="s">
        <v>266</v>
      </c>
    </row>
    <row r="226" spans="1:4" x14ac:dyDescent="0.25">
      <c r="A226" s="41">
        <v>24000</v>
      </c>
      <c r="B226" s="39" t="s">
        <v>2034</v>
      </c>
      <c r="C226" s="40">
        <v>3</v>
      </c>
      <c r="D226" s="38" t="s">
        <v>266</v>
      </c>
    </row>
    <row r="227" spans="1:4" x14ac:dyDescent="0.25">
      <c r="A227" s="41">
        <v>24100</v>
      </c>
      <c r="B227" s="39" t="s">
        <v>1403</v>
      </c>
      <c r="C227" s="40">
        <v>3</v>
      </c>
      <c r="D227" s="39" t="s">
        <v>1402</v>
      </c>
    </row>
    <row r="228" spans="1:4" x14ac:dyDescent="0.25">
      <c r="A228" s="41">
        <v>24113</v>
      </c>
      <c r="B228" s="39" t="s">
        <v>1449</v>
      </c>
      <c r="C228" s="40">
        <v>4</v>
      </c>
      <c r="D228" s="38" t="s">
        <v>1448</v>
      </c>
    </row>
    <row r="229" spans="1:4" x14ac:dyDescent="0.25">
      <c r="A229" s="42">
        <v>24113.13</v>
      </c>
      <c r="B229" s="39" t="s">
        <v>2035</v>
      </c>
      <c r="C229" s="40">
        <v>5</v>
      </c>
      <c r="D229" s="38" t="s">
        <v>266</v>
      </c>
    </row>
    <row r="230" spans="1:4" x14ac:dyDescent="0.25">
      <c r="A230" s="42">
        <v>24113.23</v>
      </c>
      <c r="B230" s="39" t="s">
        <v>2036</v>
      </c>
      <c r="C230" s="40">
        <v>5</v>
      </c>
      <c r="D230" s="38" t="s">
        <v>266</v>
      </c>
    </row>
    <row r="231" spans="1:4" x14ac:dyDescent="0.25">
      <c r="A231" s="42">
        <v>24113.33</v>
      </c>
      <c r="B231" s="39" t="s">
        <v>2037</v>
      </c>
      <c r="C231" s="40">
        <v>5</v>
      </c>
      <c r="D231" s="38" t="s">
        <v>266</v>
      </c>
    </row>
    <row r="232" spans="1:4" x14ac:dyDescent="0.25">
      <c r="A232" s="41">
        <v>24116</v>
      </c>
      <c r="B232" s="39" t="s">
        <v>1405</v>
      </c>
      <c r="C232" s="40">
        <v>4</v>
      </c>
      <c r="D232" s="38" t="s">
        <v>1404</v>
      </c>
    </row>
    <row r="233" spans="1:4" x14ac:dyDescent="0.25">
      <c r="A233" s="42">
        <v>24116.13</v>
      </c>
      <c r="B233" s="39" t="s">
        <v>1407</v>
      </c>
      <c r="C233" s="40">
        <v>5</v>
      </c>
      <c r="D233" s="38" t="s">
        <v>1406</v>
      </c>
    </row>
    <row r="234" spans="1:4" x14ac:dyDescent="0.25">
      <c r="A234" s="42">
        <v>24116.23</v>
      </c>
      <c r="B234" s="39" t="s">
        <v>1409</v>
      </c>
      <c r="C234" s="40">
        <v>5</v>
      </c>
      <c r="D234" s="38" t="s">
        <v>1408</v>
      </c>
    </row>
    <row r="235" spans="1:4" x14ac:dyDescent="0.25">
      <c r="A235" s="42">
        <v>24116.33</v>
      </c>
      <c r="B235" s="39" t="s">
        <v>1411</v>
      </c>
      <c r="C235" s="40">
        <v>5</v>
      </c>
      <c r="D235" s="38" t="s">
        <v>1410</v>
      </c>
    </row>
    <row r="236" spans="1:4" x14ac:dyDescent="0.25">
      <c r="A236" s="42">
        <v>24116.43</v>
      </c>
      <c r="B236" s="39" t="s">
        <v>1413</v>
      </c>
      <c r="C236" s="40">
        <v>5</v>
      </c>
      <c r="D236" s="38" t="s">
        <v>1412</v>
      </c>
    </row>
    <row r="237" spans="1:4" x14ac:dyDescent="0.25">
      <c r="A237" s="41">
        <v>24119</v>
      </c>
      <c r="B237" s="39" t="s">
        <v>1415</v>
      </c>
      <c r="C237" s="40">
        <v>4</v>
      </c>
      <c r="D237" s="38" t="s">
        <v>1414</v>
      </c>
    </row>
    <row r="238" spans="1:4" x14ac:dyDescent="0.25">
      <c r="A238" s="42">
        <v>24119.13</v>
      </c>
      <c r="B238" s="39" t="s">
        <v>1417</v>
      </c>
      <c r="C238" s="40">
        <v>5</v>
      </c>
      <c r="D238" s="38" t="s">
        <v>1416</v>
      </c>
    </row>
    <row r="239" spans="1:4" x14ac:dyDescent="0.25">
      <c r="A239" s="42">
        <v>24119.16</v>
      </c>
      <c r="B239" s="39" t="s">
        <v>1419</v>
      </c>
      <c r="C239" s="40">
        <v>5</v>
      </c>
      <c r="D239" s="38" t="s">
        <v>1418</v>
      </c>
    </row>
    <row r="240" spans="1:4" x14ac:dyDescent="0.25">
      <c r="A240" s="42">
        <v>24119.33</v>
      </c>
      <c r="B240" s="39" t="s">
        <v>1421</v>
      </c>
      <c r="C240" s="40">
        <v>5</v>
      </c>
      <c r="D240" s="38" t="s">
        <v>1420</v>
      </c>
    </row>
    <row r="241" spans="1:4" x14ac:dyDescent="0.25">
      <c r="A241" s="41">
        <v>24191</v>
      </c>
      <c r="B241" s="39" t="s">
        <v>1423</v>
      </c>
      <c r="C241" s="40">
        <v>4</v>
      </c>
      <c r="D241" s="38" t="s">
        <v>1422</v>
      </c>
    </row>
    <row r="242" spans="1:4" x14ac:dyDescent="0.25">
      <c r="A242" s="41">
        <v>24200</v>
      </c>
      <c r="B242" s="39" t="s">
        <v>2038</v>
      </c>
      <c r="C242" s="40">
        <v>3</v>
      </c>
      <c r="D242" s="38" t="s">
        <v>266</v>
      </c>
    </row>
    <row r="243" spans="1:4" x14ac:dyDescent="0.25">
      <c r="A243" s="41">
        <v>24213</v>
      </c>
      <c r="B243" s="39" t="s">
        <v>2039</v>
      </c>
      <c r="C243" s="40">
        <v>4</v>
      </c>
      <c r="D243" s="38" t="s">
        <v>266</v>
      </c>
    </row>
    <row r="244" spans="1:4" x14ac:dyDescent="0.25">
      <c r="A244" s="42">
        <v>24213.13</v>
      </c>
      <c r="B244" s="39" t="s">
        <v>2040</v>
      </c>
      <c r="C244" s="40">
        <v>5</v>
      </c>
      <c r="D244" s="38" t="s">
        <v>266</v>
      </c>
    </row>
    <row r="245" spans="1:4" x14ac:dyDescent="0.25">
      <c r="A245" s="41">
        <v>24291</v>
      </c>
      <c r="B245" s="39" t="s">
        <v>2041</v>
      </c>
      <c r="C245" s="40">
        <v>4</v>
      </c>
      <c r="D245" s="38" t="s">
        <v>266</v>
      </c>
    </row>
    <row r="246" spans="1:4" x14ac:dyDescent="0.25">
      <c r="A246" s="41">
        <v>24300</v>
      </c>
      <c r="B246" s="39" t="s">
        <v>1425</v>
      </c>
      <c r="C246" s="40">
        <v>3</v>
      </c>
      <c r="D246" s="38" t="s">
        <v>1424</v>
      </c>
    </row>
    <row r="247" spans="1:4" x14ac:dyDescent="0.25">
      <c r="A247" s="41">
        <v>24313</v>
      </c>
      <c r="B247" s="39" t="s">
        <v>1427</v>
      </c>
      <c r="C247" s="40">
        <v>4</v>
      </c>
      <c r="D247" s="38" t="s">
        <v>1426</v>
      </c>
    </row>
    <row r="248" spans="1:4" x14ac:dyDescent="0.25">
      <c r="A248" s="42">
        <v>24313.13</v>
      </c>
      <c r="B248" s="39" t="s">
        <v>2042</v>
      </c>
      <c r="C248" s="40">
        <v>5</v>
      </c>
      <c r="D248" s="38" t="s">
        <v>266</v>
      </c>
    </row>
    <row r="249" spans="1:4" x14ac:dyDescent="0.25">
      <c r="A249" s="41">
        <v>24316</v>
      </c>
      <c r="B249" s="39" t="s">
        <v>1429</v>
      </c>
      <c r="C249" s="40">
        <v>4</v>
      </c>
      <c r="D249" s="38" t="s">
        <v>1428</v>
      </c>
    </row>
    <row r="250" spans="1:4" x14ac:dyDescent="0.25">
      <c r="A250" s="42">
        <v>24316.13</v>
      </c>
      <c r="B250" s="39" t="s">
        <v>2043</v>
      </c>
      <c r="C250" s="40">
        <v>5</v>
      </c>
      <c r="D250" s="38" t="s">
        <v>266</v>
      </c>
    </row>
    <row r="251" spans="1:4" x14ac:dyDescent="0.25">
      <c r="A251" s="41">
        <v>25000</v>
      </c>
      <c r="B251" s="39" t="s">
        <v>1455</v>
      </c>
      <c r="C251" s="40">
        <v>3</v>
      </c>
      <c r="D251" s="38" t="s">
        <v>1454</v>
      </c>
    </row>
    <row r="252" spans="1:4" x14ac:dyDescent="0.25">
      <c r="A252" s="41">
        <v>25100</v>
      </c>
      <c r="B252" s="39" t="s">
        <v>1457</v>
      </c>
      <c r="C252" s="40">
        <v>3</v>
      </c>
      <c r="D252" s="38" t="s">
        <v>1456</v>
      </c>
    </row>
    <row r="253" spans="1:4" x14ac:dyDescent="0.25">
      <c r="A253" s="41">
        <v>25113</v>
      </c>
      <c r="B253" s="39" t="s">
        <v>2044</v>
      </c>
      <c r="C253" s="40">
        <v>4</v>
      </c>
      <c r="D253" s="38" t="s">
        <v>266</v>
      </c>
    </row>
    <row r="254" spans="1:4" x14ac:dyDescent="0.25">
      <c r="A254" s="41">
        <v>25116</v>
      </c>
      <c r="B254" s="39" t="s">
        <v>2045</v>
      </c>
      <c r="C254" s="40">
        <v>4</v>
      </c>
      <c r="D254" s="38" t="s">
        <v>266</v>
      </c>
    </row>
    <row r="255" spans="1:4" x14ac:dyDescent="0.25">
      <c r="A255" s="41">
        <v>25119</v>
      </c>
      <c r="B255" s="39" t="s">
        <v>2046</v>
      </c>
      <c r="C255" s="40">
        <v>4</v>
      </c>
      <c r="D255" s="38" t="s">
        <v>266</v>
      </c>
    </row>
    <row r="256" spans="1:4" x14ac:dyDescent="0.25">
      <c r="A256" s="41">
        <v>25123</v>
      </c>
      <c r="B256" s="39" t="s">
        <v>2047</v>
      </c>
      <c r="C256" s="40">
        <v>4</v>
      </c>
      <c r="D256" s="38" t="s">
        <v>266</v>
      </c>
    </row>
    <row r="257" spans="1:4" x14ac:dyDescent="0.25">
      <c r="A257" s="41">
        <v>25126</v>
      </c>
      <c r="B257" s="39" t="s">
        <v>2048</v>
      </c>
      <c r="C257" s="40">
        <v>4</v>
      </c>
      <c r="D257" s="38" t="s">
        <v>266</v>
      </c>
    </row>
    <row r="258" spans="1:4" x14ac:dyDescent="0.25">
      <c r="A258" s="41">
        <v>25129</v>
      </c>
      <c r="B258" s="39" t="s">
        <v>2049</v>
      </c>
      <c r="C258" s="40">
        <v>4</v>
      </c>
      <c r="D258" s="38" t="s">
        <v>266</v>
      </c>
    </row>
    <row r="259" spans="1:4" x14ac:dyDescent="0.25">
      <c r="A259" s="42">
        <v>25129.13</v>
      </c>
      <c r="B259" s="39" t="s">
        <v>2050</v>
      </c>
      <c r="C259" s="40">
        <v>5</v>
      </c>
      <c r="D259" s="38" t="s">
        <v>266</v>
      </c>
    </row>
    <row r="260" spans="1:4" x14ac:dyDescent="0.25">
      <c r="A260" s="42">
        <v>25129.16</v>
      </c>
      <c r="B260" s="39" t="s">
        <v>2051</v>
      </c>
      <c r="C260" s="40">
        <v>5</v>
      </c>
      <c r="D260" s="38" t="s">
        <v>266</v>
      </c>
    </row>
    <row r="261" spans="1:4" x14ac:dyDescent="0.25">
      <c r="A261" s="41">
        <v>25133</v>
      </c>
      <c r="B261" s="39" t="s">
        <v>2052</v>
      </c>
      <c r="C261" s="40">
        <v>4</v>
      </c>
      <c r="D261" s="38" t="s">
        <v>266</v>
      </c>
    </row>
    <row r="262" spans="1:4" x14ac:dyDescent="0.25">
      <c r="A262" s="42">
        <v>25133.13</v>
      </c>
      <c r="B262" s="39" t="s">
        <v>2053</v>
      </c>
      <c r="C262" s="40">
        <v>5</v>
      </c>
      <c r="D262" s="38" t="s">
        <v>266</v>
      </c>
    </row>
    <row r="263" spans="1:4" x14ac:dyDescent="0.25">
      <c r="A263" s="42">
        <v>25133.16</v>
      </c>
      <c r="B263" s="39" t="s">
        <v>2054</v>
      </c>
      <c r="C263" s="40">
        <v>5</v>
      </c>
      <c r="D263" s="38" t="s">
        <v>266</v>
      </c>
    </row>
    <row r="264" spans="1:4" x14ac:dyDescent="0.25">
      <c r="A264" s="42">
        <v>25133.19</v>
      </c>
      <c r="B264" s="39" t="s">
        <v>2055</v>
      </c>
      <c r="C264" s="40">
        <v>5</v>
      </c>
      <c r="D264" s="38" t="s">
        <v>266</v>
      </c>
    </row>
    <row r="265" spans="1:4" x14ac:dyDescent="0.25">
      <c r="A265" s="41">
        <v>25200</v>
      </c>
      <c r="B265" s="39" t="s">
        <v>1459</v>
      </c>
      <c r="C265" s="40">
        <v>3</v>
      </c>
      <c r="D265" s="38" t="s">
        <v>1458</v>
      </c>
    </row>
    <row r="266" spans="1:4" x14ac:dyDescent="0.25">
      <c r="A266" s="41">
        <v>25213</v>
      </c>
      <c r="B266" s="39" t="s">
        <v>2056</v>
      </c>
      <c r="C266" s="40">
        <v>4</v>
      </c>
      <c r="D266" s="38" t="s">
        <v>266</v>
      </c>
    </row>
    <row r="267" spans="1:4" x14ac:dyDescent="0.25">
      <c r="A267" s="41">
        <v>25216</v>
      </c>
      <c r="B267" s="39" t="s">
        <v>2057</v>
      </c>
      <c r="C267" s="40">
        <v>4</v>
      </c>
      <c r="D267" s="38" t="s">
        <v>266</v>
      </c>
    </row>
    <row r="268" spans="1:4" x14ac:dyDescent="0.25">
      <c r="A268" s="41">
        <v>25219</v>
      </c>
      <c r="B268" s="39" t="s">
        <v>2058</v>
      </c>
      <c r="C268" s="40">
        <v>4</v>
      </c>
      <c r="D268" s="38" t="s">
        <v>266</v>
      </c>
    </row>
    <row r="269" spans="1:4" x14ac:dyDescent="0.25">
      <c r="A269" s="41">
        <v>25300</v>
      </c>
      <c r="B269" s="39" t="s">
        <v>1461</v>
      </c>
      <c r="C269" s="40">
        <v>3</v>
      </c>
      <c r="D269" s="38" t="s">
        <v>1460</v>
      </c>
    </row>
    <row r="270" spans="1:4" x14ac:dyDescent="0.25">
      <c r="A270" s="41">
        <v>25313</v>
      </c>
      <c r="B270" s="39" t="s">
        <v>2059</v>
      </c>
      <c r="C270" s="40">
        <v>4</v>
      </c>
      <c r="D270" s="38" t="s">
        <v>266</v>
      </c>
    </row>
    <row r="271" spans="1:4" x14ac:dyDescent="0.25">
      <c r="A271" s="42">
        <v>25313.13</v>
      </c>
      <c r="B271" s="39" t="s">
        <v>2060</v>
      </c>
      <c r="C271" s="40">
        <v>5</v>
      </c>
      <c r="D271" s="38" t="s">
        <v>266</v>
      </c>
    </row>
    <row r="272" spans="1:4" x14ac:dyDescent="0.25">
      <c r="A272" s="41">
        <v>25316</v>
      </c>
      <c r="B272" s="39" t="s">
        <v>2061</v>
      </c>
      <c r="C272" s="40">
        <v>4</v>
      </c>
      <c r="D272" s="38" t="s">
        <v>266</v>
      </c>
    </row>
    <row r="273" spans="1:4" x14ac:dyDescent="0.25">
      <c r="A273" s="42">
        <v>25316.13</v>
      </c>
      <c r="B273" s="39" t="s">
        <v>2062</v>
      </c>
      <c r="C273" s="40">
        <v>5</v>
      </c>
      <c r="D273" s="38" t="s">
        <v>266</v>
      </c>
    </row>
    <row r="274" spans="1:4" x14ac:dyDescent="0.25">
      <c r="A274" s="41">
        <v>25319</v>
      </c>
      <c r="B274" s="39" t="s">
        <v>2063</v>
      </c>
      <c r="C274" s="40">
        <v>4</v>
      </c>
      <c r="D274" s="38" t="s">
        <v>266</v>
      </c>
    </row>
    <row r="275" spans="1:4" x14ac:dyDescent="0.25">
      <c r="A275" s="41">
        <v>25400</v>
      </c>
      <c r="B275" s="39" t="s">
        <v>1463</v>
      </c>
      <c r="C275" s="40">
        <v>3</v>
      </c>
      <c r="D275" s="38" t="s">
        <v>1462</v>
      </c>
    </row>
    <row r="276" spans="1:4" x14ac:dyDescent="0.25">
      <c r="A276" s="41">
        <v>25413</v>
      </c>
      <c r="B276" s="39" t="s">
        <v>2064</v>
      </c>
      <c r="C276" s="40">
        <v>4</v>
      </c>
      <c r="D276" s="38" t="s">
        <v>266</v>
      </c>
    </row>
    <row r="277" spans="1:4" x14ac:dyDescent="0.25">
      <c r="A277" s="41">
        <v>25416</v>
      </c>
      <c r="B277" s="39" t="s">
        <v>2065</v>
      </c>
      <c r="C277" s="40">
        <v>4</v>
      </c>
      <c r="D277" s="38" t="s">
        <v>266</v>
      </c>
    </row>
    <row r="278" spans="1:4" x14ac:dyDescent="0.25">
      <c r="A278" s="41">
        <v>25419</v>
      </c>
      <c r="B278" s="39" t="s">
        <v>2066</v>
      </c>
      <c r="C278" s="40">
        <v>4</v>
      </c>
      <c r="D278" s="38" t="s">
        <v>266</v>
      </c>
    </row>
    <row r="279" spans="1:4" x14ac:dyDescent="0.25">
      <c r="A279" s="42">
        <v>25419.13</v>
      </c>
      <c r="B279" s="39" t="s">
        <v>2067</v>
      </c>
      <c r="C279" s="40">
        <v>5</v>
      </c>
      <c r="D279" s="38" t="s">
        <v>266</v>
      </c>
    </row>
    <row r="280" spans="1:4" x14ac:dyDescent="0.25">
      <c r="A280" s="42">
        <v>25419.16</v>
      </c>
      <c r="B280" s="39" t="s">
        <v>2068</v>
      </c>
      <c r="C280" s="40">
        <v>5</v>
      </c>
      <c r="D280" s="38" t="s">
        <v>266</v>
      </c>
    </row>
    <row r="281" spans="1:4" x14ac:dyDescent="0.25">
      <c r="A281" s="42">
        <v>25419.19</v>
      </c>
      <c r="B281" s="39" t="s">
        <v>2069</v>
      </c>
      <c r="C281" s="40">
        <v>5</v>
      </c>
      <c r="D281" s="38" t="s">
        <v>266</v>
      </c>
    </row>
    <row r="282" spans="1:4" x14ac:dyDescent="0.25">
      <c r="A282" s="41">
        <v>25423</v>
      </c>
      <c r="B282" s="39" t="s">
        <v>2070</v>
      </c>
      <c r="C282" s="40">
        <v>4</v>
      </c>
      <c r="D282" s="38" t="s">
        <v>266</v>
      </c>
    </row>
    <row r="283" spans="1:4" x14ac:dyDescent="0.25">
      <c r="A283" s="41">
        <v>25426</v>
      </c>
      <c r="B283" s="39" t="s">
        <v>2071</v>
      </c>
      <c r="C283" s="40">
        <v>4</v>
      </c>
      <c r="D283" s="38" t="s">
        <v>266</v>
      </c>
    </row>
    <row r="284" spans="1:4" x14ac:dyDescent="0.25">
      <c r="A284" s="41">
        <v>25500</v>
      </c>
      <c r="B284" s="39" t="s">
        <v>1465</v>
      </c>
      <c r="C284" s="40">
        <v>3</v>
      </c>
      <c r="D284" s="38" t="s">
        <v>1464</v>
      </c>
    </row>
    <row r="285" spans="1:4" x14ac:dyDescent="0.25">
      <c r="A285" s="41">
        <v>25600</v>
      </c>
      <c r="B285" s="39" t="s">
        <v>1467</v>
      </c>
      <c r="C285" s="40">
        <v>3</v>
      </c>
      <c r="D285" s="38" t="s">
        <v>1466</v>
      </c>
    </row>
    <row r="286" spans="1:4" x14ac:dyDescent="0.25">
      <c r="A286" s="41">
        <v>25613</v>
      </c>
      <c r="B286" s="39" t="s">
        <v>2072</v>
      </c>
      <c r="C286" s="40">
        <v>4</v>
      </c>
      <c r="D286" s="38" t="s">
        <v>266</v>
      </c>
    </row>
    <row r="287" spans="1:4" x14ac:dyDescent="0.25">
      <c r="A287" s="42">
        <v>25613.13</v>
      </c>
      <c r="B287" s="39" t="s">
        <v>2073</v>
      </c>
      <c r="C287" s="40">
        <v>5</v>
      </c>
      <c r="D287" s="38" t="s">
        <v>266</v>
      </c>
    </row>
    <row r="288" spans="1:4" x14ac:dyDescent="0.25">
      <c r="A288" s="41">
        <v>25619</v>
      </c>
      <c r="B288" s="39" t="s">
        <v>2074</v>
      </c>
      <c r="C288" s="40">
        <v>4</v>
      </c>
      <c r="D288" s="38" t="s">
        <v>266</v>
      </c>
    </row>
    <row r="289" spans="1:4" x14ac:dyDescent="0.25">
      <c r="A289" s="42">
        <v>25619.13</v>
      </c>
      <c r="B289" s="39" t="s">
        <v>2075</v>
      </c>
      <c r="C289" s="40">
        <v>5</v>
      </c>
      <c r="D289" s="38" t="s">
        <v>266</v>
      </c>
    </row>
    <row r="290" spans="1:4" x14ac:dyDescent="0.25">
      <c r="A290" s="41">
        <v>25700</v>
      </c>
      <c r="B290" s="39" t="s">
        <v>1469</v>
      </c>
      <c r="C290" s="40">
        <v>3</v>
      </c>
      <c r="D290" s="38" t="s">
        <v>1468</v>
      </c>
    </row>
    <row r="291" spans="1:4" x14ac:dyDescent="0.25">
      <c r="A291" s="41">
        <v>25713</v>
      </c>
      <c r="B291" s="39" t="s">
        <v>2076</v>
      </c>
      <c r="C291" s="40">
        <v>4</v>
      </c>
      <c r="D291" s="38" t="s">
        <v>266</v>
      </c>
    </row>
    <row r="292" spans="1:4" x14ac:dyDescent="0.25">
      <c r="A292" s="42">
        <v>25713.13</v>
      </c>
      <c r="B292" s="39" t="s">
        <v>2077</v>
      </c>
      <c r="C292" s="40">
        <v>5</v>
      </c>
      <c r="D292" s="38" t="s">
        <v>266</v>
      </c>
    </row>
    <row r="293" spans="1:4" x14ac:dyDescent="0.25">
      <c r="A293" s="42">
        <v>25713.16</v>
      </c>
      <c r="B293" s="39" t="s">
        <v>2078</v>
      </c>
      <c r="C293" s="40">
        <v>5</v>
      </c>
      <c r="D293" s="38" t="s">
        <v>266</v>
      </c>
    </row>
    <row r="294" spans="1:4" x14ac:dyDescent="0.25">
      <c r="A294" s="41">
        <v>25716</v>
      </c>
      <c r="B294" s="39" t="s">
        <v>2079</v>
      </c>
      <c r="C294" s="40">
        <v>4</v>
      </c>
      <c r="D294" s="38" t="s">
        <v>266</v>
      </c>
    </row>
    <row r="295" spans="1:4" x14ac:dyDescent="0.25">
      <c r="A295" s="41">
        <v>25800</v>
      </c>
      <c r="B295" s="39" t="s">
        <v>2080</v>
      </c>
      <c r="C295" s="40">
        <v>3</v>
      </c>
      <c r="D295" s="38" t="s">
        <v>266</v>
      </c>
    </row>
    <row r="296" spans="1:4" x14ac:dyDescent="0.25">
      <c r="A296" s="41">
        <v>25813</v>
      </c>
      <c r="B296" s="39" t="s">
        <v>2081</v>
      </c>
      <c r="C296" s="40">
        <v>4</v>
      </c>
      <c r="D296" s="38" t="s">
        <v>266</v>
      </c>
    </row>
    <row r="297" spans="1:4" x14ac:dyDescent="0.25">
      <c r="A297" s="41">
        <v>25816</v>
      </c>
      <c r="B297" s="39" t="s">
        <v>2082</v>
      </c>
      <c r="C297" s="40">
        <v>4</v>
      </c>
      <c r="D297" s="38" t="s">
        <v>266</v>
      </c>
    </row>
    <row r="298" spans="1:4" x14ac:dyDescent="0.25">
      <c r="A298" s="41">
        <v>26000</v>
      </c>
      <c r="B298" s="39" t="s">
        <v>1473</v>
      </c>
      <c r="C298" s="40">
        <v>3</v>
      </c>
      <c r="D298" s="38" t="s">
        <v>1472</v>
      </c>
    </row>
    <row r="299" spans="1:4" x14ac:dyDescent="0.25">
      <c r="A299" s="41">
        <v>26100</v>
      </c>
      <c r="B299" s="39" t="s">
        <v>2083</v>
      </c>
      <c r="C299" s="40">
        <v>3</v>
      </c>
      <c r="D299" s="38" t="s">
        <v>266</v>
      </c>
    </row>
    <row r="300" spans="1:4" x14ac:dyDescent="0.25">
      <c r="A300" s="41">
        <v>26113</v>
      </c>
      <c r="B300" s="39" t="s">
        <v>2084</v>
      </c>
      <c r="C300" s="40">
        <v>4</v>
      </c>
      <c r="D300" s="38" t="s">
        <v>266</v>
      </c>
    </row>
    <row r="301" spans="1:4" x14ac:dyDescent="0.25">
      <c r="A301" s="41">
        <v>26123</v>
      </c>
      <c r="B301" s="39" t="s">
        <v>2085</v>
      </c>
      <c r="C301" s="40">
        <v>4</v>
      </c>
      <c r="D301" s="38" t="s">
        <v>266</v>
      </c>
    </row>
    <row r="302" spans="1:4" x14ac:dyDescent="0.25">
      <c r="A302" s="41">
        <v>26126</v>
      </c>
      <c r="B302" s="39" t="s">
        <v>2086</v>
      </c>
      <c r="C302" s="40">
        <v>4</v>
      </c>
      <c r="D302" s="38" t="s">
        <v>266</v>
      </c>
    </row>
    <row r="303" spans="1:4" x14ac:dyDescent="0.25">
      <c r="A303" s="41">
        <v>26129</v>
      </c>
      <c r="B303" s="39" t="s">
        <v>2087</v>
      </c>
      <c r="C303" s="40">
        <v>4</v>
      </c>
      <c r="D303" s="38" t="s">
        <v>266</v>
      </c>
    </row>
    <row r="304" spans="1:4" x14ac:dyDescent="0.25">
      <c r="A304" s="41">
        <v>26200</v>
      </c>
      <c r="B304" s="39" t="s">
        <v>2088</v>
      </c>
      <c r="C304" s="40">
        <v>3</v>
      </c>
      <c r="D304" s="38" t="s">
        <v>266</v>
      </c>
    </row>
    <row r="305" spans="1:4" x14ac:dyDescent="0.25">
      <c r="A305" s="41">
        <v>26213</v>
      </c>
      <c r="B305" s="39" t="s">
        <v>2089</v>
      </c>
      <c r="C305" s="40">
        <v>4</v>
      </c>
      <c r="D305" s="38" t="s">
        <v>266</v>
      </c>
    </row>
    <row r="306" spans="1:4" x14ac:dyDescent="0.25">
      <c r="A306" s="41">
        <v>26216</v>
      </c>
      <c r="B306" s="39" t="s">
        <v>2090</v>
      </c>
      <c r="C306" s="40">
        <v>4</v>
      </c>
      <c r="D306" s="38" t="s">
        <v>266</v>
      </c>
    </row>
    <row r="307" spans="1:4" x14ac:dyDescent="0.25">
      <c r="A307" s="41">
        <v>26219</v>
      </c>
      <c r="B307" s="39" t="s">
        <v>2091</v>
      </c>
      <c r="C307" s="40">
        <v>4</v>
      </c>
      <c r="D307" s="38" t="s">
        <v>266</v>
      </c>
    </row>
    <row r="308" spans="1:4" x14ac:dyDescent="0.25">
      <c r="A308" s="41">
        <v>26500</v>
      </c>
      <c r="B308" s="39" t="s">
        <v>2092</v>
      </c>
      <c r="C308" s="40">
        <v>3</v>
      </c>
      <c r="D308" s="38" t="s">
        <v>266</v>
      </c>
    </row>
    <row r="309" spans="1:4" x14ac:dyDescent="0.25">
      <c r="A309" s="41">
        <v>26600</v>
      </c>
      <c r="B309" s="39" t="s">
        <v>2093</v>
      </c>
      <c r="C309" s="40">
        <v>3</v>
      </c>
      <c r="D309" s="38" t="s">
        <v>266</v>
      </c>
    </row>
    <row r="310" spans="1:4" x14ac:dyDescent="0.25">
      <c r="A310" s="41">
        <v>27000</v>
      </c>
      <c r="B310" s="39" t="s">
        <v>1475</v>
      </c>
      <c r="C310" s="40">
        <v>3</v>
      </c>
      <c r="D310" s="38" t="s">
        <v>1474</v>
      </c>
    </row>
    <row r="311" spans="1:4" x14ac:dyDescent="0.25">
      <c r="A311" s="41">
        <v>27100</v>
      </c>
      <c r="B311" s="39" t="s">
        <v>2094</v>
      </c>
      <c r="C311" s="40">
        <v>3</v>
      </c>
      <c r="D311" s="38" t="s">
        <v>266</v>
      </c>
    </row>
    <row r="312" spans="1:4" x14ac:dyDescent="0.25">
      <c r="A312" s="41">
        <v>27200</v>
      </c>
      <c r="B312" s="39" t="s">
        <v>2095</v>
      </c>
      <c r="C312" s="40">
        <v>3</v>
      </c>
      <c r="D312" s="38" t="s">
        <v>266</v>
      </c>
    </row>
    <row r="313" spans="1:4" x14ac:dyDescent="0.25">
      <c r="A313" s="41">
        <v>27213</v>
      </c>
      <c r="B313" s="39" t="s">
        <v>2096</v>
      </c>
      <c r="C313" s="40">
        <v>4</v>
      </c>
      <c r="D313" s="38" t="s">
        <v>266</v>
      </c>
    </row>
    <row r="314" spans="1:4" x14ac:dyDescent="0.25">
      <c r="A314" s="41">
        <v>27216</v>
      </c>
      <c r="B314" s="39" t="s">
        <v>2097</v>
      </c>
      <c r="C314" s="40">
        <v>4</v>
      </c>
      <c r="D314" s="38" t="s">
        <v>266</v>
      </c>
    </row>
    <row r="315" spans="1:4" x14ac:dyDescent="0.25">
      <c r="A315" s="41">
        <v>27219</v>
      </c>
      <c r="B315" s="39" t="s">
        <v>2098</v>
      </c>
      <c r="C315" s="40">
        <v>4</v>
      </c>
      <c r="D315" s="38" t="s">
        <v>266</v>
      </c>
    </row>
    <row r="316" spans="1:4" x14ac:dyDescent="0.25">
      <c r="A316" s="41">
        <v>28000</v>
      </c>
      <c r="B316" s="39" t="s">
        <v>1389</v>
      </c>
      <c r="C316" s="40">
        <v>3</v>
      </c>
      <c r="D316" s="38" t="s">
        <v>1390</v>
      </c>
    </row>
    <row r="317" spans="1:4" x14ac:dyDescent="0.25">
      <c r="A317" s="41">
        <v>28100</v>
      </c>
      <c r="B317" s="39" t="s">
        <v>1393</v>
      </c>
      <c r="C317" s="40">
        <v>3</v>
      </c>
      <c r="D317" s="38" t="s">
        <v>1392</v>
      </c>
    </row>
    <row r="318" spans="1:4" x14ac:dyDescent="0.25">
      <c r="A318" s="41">
        <v>28200</v>
      </c>
      <c r="B318" s="39" t="s">
        <v>1395</v>
      </c>
      <c r="C318" s="40">
        <v>3</v>
      </c>
      <c r="D318" s="38" t="s">
        <v>1394</v>
      </c>
    </row>
    <row r="319" spans="1:4" x14ac:dyDescent="0.25">
      <c r="A319" s="41">
        <v>28213</v>
      </c>
      <c r="B319" s="39" t="s">
        <v>2099</v>
      </c>
      <c r="C319" s="40">
        <v>4</v>
      </c>
      <c r="D319" s="38" t="s">
        <v>266</v>
      </c>
    </row>
    <row r="320" spans="1:4" x14ac:dyDescent="0.25">
      <c r="A320" s="42">
        <v>28213.13</v>
      </c>
      <c r="B320" s="39" t="s">
        <v>2100</v>
      </c>
      <c r="C320" s="40">
        <v>5</v>
      </c>
      <c r="D320" s="38" t="s">
        <v>266</v>
      </c>
    </row>
    <row r="321" spans="1:4" x14ac:dyDescent="0.25">
      <c r="A321" s="42">
        <v>28213.16</v>
      </c>
      <c r="B321" s="39" t="s">
        <v>2101</v>
      </c>
      <c r="C321" s="40">
        <v>5</v>
      </c>
      <c r="D321" s="38" t="s">
        <v>266</v>
      </c>
    </row>
    <row r="322" spans="1:4" x14ac:dyDescent="0.25">
      <c r="A322" s="42">
        <v>28213.19</v>
      </c>
      <c r="B322" s="39" t="s">
        <v>2102</v>
      </c>
      <c r="C322" s="40">
        <v>5</v>
      </c>
      <c r="D322" s="38" t="s">
        <v>266</v>
      </c>
    </row>
    <row r="323" spans="1:4" x14ac:dyDescent="0.25">
      <c r="A323" s="41">
        <v>28216</v>
      </c>
      <c r="B323" s="39" t="s">
        <v>2103</v>
      </c>
      <c r="C323" s="40">
        <v>4</v>
      </c>
      <c r="D323" s="38" t="s">
        <v>266</v>
      </c>
    </row>
    <row r="324" spans="1:4" x14ac:dyDescent="0.25">
      <c r="A324" s="41">
        <v>28233</v>
      </c>
      <c r="B324" s="39" t="s">
        <v>2104</v>
      </c>
      <c r="C324" s="40">
        <v>4</v>
      </c>
      <c r="D324" s="38" t="s">
        <v>266</v>
      </c>
    </row>
    <row r="325" spans="1:4" x14ac:dyDescent="0.25">
      <c r="A325" s="41">
        <v>28300</v>
      </c>
      <c r="B325" s="39" t="s">
        <v>1397</v>
      </c>
      <c r="C325" s="40">
        <v>3</v>
      </c>
      <c r="D325" s="38" t="s">
        <v>1396</v>
      </c>
    </row>
    <row r="326" spans="1:4" x14ac:dyDescent="0.25">
      <c r="A326" s="41">
        <v>28313</v>
      </c>
      <c r="B326" s="39" t="s">
        <v>2105</v>
      </c>
      <c r="C326" s="40">
        <v>4</v>
      </c>
      <c r="D326" s="38" t="s">
        <v>266</v>
      </c>
    </row>
    <row r="327" spans="1:4" x14ac:dyDescent="0.25">
      <c r="A327" s="41">
        <v>28319</v>
      </c>
      <c r="B327" s="39" t="s">
        <v>2106</v>
      </c>
      <c r="C327" s="40">
        <v>4</v>
      </c>
      <c r="D327" s="38" t="s">
        <v>266</v>
      </c>
    </row>
    <row r="328" spans="1:4" x14ac:dyDescent="0.25">
      <c r="A328" s="42">
        <v>28319.13</v>
      </c>
      <c r="B328" s="39" t="s">
        <v>2107</v>
      </c>
      <c r="C328" s="40">
        <v>5</v>
      </c>
      <c r="D328" s="38" t="s">
        <v>266</v>
      </c>
    </row>
    <row r="329" spans="1:4" x14ac:dyDescent="0.25">
      <c r="A329" s="41">
        <v>28333</v>
      </c>
      <c r="B329" s="39" t="s">
        <v>2108</v>
      </c>
      <c r="C329" s="40">
        <v>4</v>
      </c>
      <c r="D329" s="38" t="s">
        <v>266</v>
      </c>
    </row>
    <row r="330" spans="1:4" x14ac:dyDescent="0.25">
      <c r="A330" s="42">
        <v>28333.13</v>
      </c>
      <c r="B330" s="39" t="s">
        <v>2109</v>
      </c>
      <c r="C330" s="40">
        <v>5</v>
      </c>
      <c r="D330" s="38" t="s">
        <v>266</v>
      </c>
    </row>
    <row r="331" spans="1:4" x14ac:dyDescent="0.25">
      <c r="A331" s="41">
        <v>28400</v>
      </c>
      <c r="B331" s="39" t="s">
        <v>1399</v>
      </c>
      <c r="C331" s="40">
        <v>3</v>
      </c>
      <c r="D331" s="38" t="s">
        <v>1398</v>
      </c>
    </row>
    <row r="332" spans="1:4" x14ac:dyDescent="0.25">
      <c r="A332" s="41">
        <v>28416</v>
      </c>
      <c r="B332" s="39" t="s">
        <v>2110</v>
      </c>
      <c r="C332" s="40">
        <v>4</v>
      </c>
      <c r="D332" s="38" t="s">
        <v>266</v>
      </c>
    </row>
    <row r="333" spans="1:4" x14ac:dyDescent="0.25">
      <c r="A333" s="41">
        <v>28433</v>
      </c>
      <c r="B333" s="39" t="s">
        <v>2111</v>
      </c>
      <c r="C333" s="40">
        <v>4</v>
      </c>
      <c r="D333" s="38" t="s">
        <v>266</v>
      </c>
    </row>
    <row r="334" spans="1:4" x14ac:dyDescent="0.25">
      <c r="A334" s="41">
        <v>28500</v>
      </c>
      <c r="B334" s="39" t="s">
        <v>1401</v>
      </c>
      <c r="C334" s="40">
        <v>3</v>
      </c>
      <c r="D334" s="38" t="s">
        <v>1400</v>
      </c>
    </row>
    <row r="335" spans="1:4" x14ac:dyDescent="0.25">
      <c r="A335" s="41">
        <v>28513</v>
      </c>
      <c r="B335" s="39" t="s">
        <v>2112</v>
      </c>
      <c r="C335" s="40">
        <v>4</v>
      </c>
      <c r="D335" s="38" t="s">
        <v>266</v>
      </c>
    </row>
    <row r="336" spans="1:4" x14ac:dyDescent="0.25">
      <c r="A336" s="41">
        <v>28516</v>
      </c>
      <c r="B336" s="39" t="s">
        <v>2113</v>
      </c>
      <c r="C336" s="40">
        <v>4</v>
      </c>
      <c r="D336" s="38" t="s">
        <v>266</v>
      </c>
    </row>
    <row r="337" spans="1:4" x14ac:dyDescent="0.25">
      <c r="A337" s="41">
        <v>28519</v>
      </c>
      <c r="B337" s="39" t="s">
        <v>2114</v>
      </c>
      <c r="C337" s="40">
        <v>4</v>
      </c>
      <c r="D337" s="38" t="s">
        <v>266</v>
      </c>
    </row>
    <row r="338" spans="1:4" x14ac:dyDescent="0.25">
      <c r="A338" s="41">
        <v>28533</v>
      </c>
      <c r="B338" s="39" t="s">
        <v>2115</v>
      </c>
      <c r="C338" s="40">
        <v>4</v>
      </c>
      <c r="D338" s="38" t="s">
        <v>266</v>
      </c>
    </row>
    <row r="339" spans="1:4" x14ac:dyDescent="0.25">
      <c r="A339" s="41">
        <v>28600</v>
      </c>
      <c r="B339" s="39" t="s">
        <v>1471</v>
      </c>
      <c r="C339" s="40">
        <v>3</v>
      </c>
      <c r="D339" s="38" t="s">
        <v>1470</v>
      </c>
    </row>
    <row r="340" spans="1:4" x14ac:dyDescent="0.25">
      <c r="A340" s="41">
        <v>30000</v>
      </c>
      <c r="B340" s="39" t="s">
        <v>2116</v>
      </c>
      <c r="C340" s="40">
        <v>2</v>
      </c>
      <c r="D340" s="38" t="s">
        <v>266</v>
      </c>
    </row>
    <row r="341" spans="1:4" x14ac:dyDescent="0.25">
      <c r="A341" s="42">
        <v>31513.13</v>
      </c>
      <c r="B341" s="39" t="s">
        <v>2117</v>
      </c>
      <c r="C341" s="40">
        <v>5</v>
      </c>
      <c r="D341" s="38" t="s">
        <v>266</v>
      </c>
    </row>
    <row r="342" spans="1:4" x14ac:dyDescent="0.25">
      <c r="A342" s="42">
        <v>31513.16</v>
      </c>
      <c r="B342" s="39" t="s">
        <v>2118</v>
      </c>
      <c r="C342" s="40">
        <v>5</v>
      </c>
      <c r="D342" s="38" t="s">
        <v>266</v>
      </c>
    </row>
    <row r="343" spans="1:4" x14ac:dyDescent="0.25">
      <c r="A343" s="42">
        <v>31513.19</v>
      </c>
      <c r="B343" s="39" t="s">
        <v>2119</v>
      </c>
      <c r="C343" s="40">
        <v>5</v>
      </c>
      <c r="D343" s="38" t="s">
        <v>266</v>
      </c>
    </row>
    <row r="344" spans="1:4" x14ac:dyDescent="0.25">
      <c r="A344" s="42">
        <v>31513.21</v>
      </c>
      <c r="B344" s="39" t="s">
        <v>2120</v>
      </c>
      <c r="C344" s="40">
        <v>5</v>
      </c>
      <c r="D344" s="38" t="s">
        <v>266</v>
      </c>
    </row>
    <row r="345" spans="1:4" x14ac:dyDescent="0.25">
      <c r="A345" s="41">
        <v>31516</v>
      </c>
      <c r="B345" s="39" t="s">
        <v>2121</v>
      </c>
      <c r="C345" s="40">
        <v>4</v>
      </c>
      <c r="D345" s="38" t="s">
        <v>266</v>
      </c>
    </row>
    <row r="346" spans="1:4" x14ac:dyDescent="0.25">
      <c r="A346" s="42">
        <v>32121.11</v>
      </c>
      <c r="B346" s="39" t="s">
        <v>2122</v>
      </c>
      <c r="C346" s="40">
        <v>5</v>
      </c>
      <c r="D346" s="38" t="s">
        <v>266</v>
      </c>
    </row>
    <row r="347" spans="1:4" x14ac:dyDescent="0.25">
      <c r="A347" s="42">
        <v>32121.13</v>
      </c>
      <c r="B347" s="39" t="s">
        <v>2123</v>
      </c>
      <c r="C347" s="40">
        <v>5</v>
      </c>
      <c r="D347" s="38" t="s">
        <v>266</v>
      </c>
    </row>
    <row r="348" spans="1:4" x14ac:dyDescent="0.25">
      <c r="A348" s="42">
        <v>32121.16</v>
      </c>
      <c r="B348" s="39" t="s">
        <v>2124</v>
      </c>
      <c r="C348" s="40">
        <v>5</v>
      </c>
      <c r="D348" s="38" t="s">
        <v>266</v>
      </c>
    </row>
    <row r="349" spans="1:4" x14ac:dyDescent="0.25">
      <c r="A349" s="41">
        <v>30100</v>
      </c>
      <c r="B349" s="39" t="s">
        <v>2125</v>
      </c>
      <c r="C349" s="40">
        <v>3</v>
      </c>
      <c r="D349" s="38" t="s">
        <v>266</v>
      </c>
    </row>
    <row r="350" spans="1:4" x14ac:dyDescent="0.25">
      <c r="A350" s="41">
        <v>30110</v>
      </c>
      <c r="B350" s="39" t="s">
        <v>2126</v>
      </c>
      <c r="C350" s="40">
        <v>4</v>
      </c>
      <c r="D350" s="38" t="s">
        <v>266</v>
      </c>
    </row>
    <row r="351" spans="1:4" x14ac:dyDescent="0.25">
      <c r="A351" s="41">
        <v>30120</v>
      </c>
      <c r="B351" s="39" t="s">
        <v>2127</v>
      </c>
      <c r="C351" s="40">
        <v>4</v>
      </c>
      <c r="D351" s="38" t="s">
        <v>266</v>
      </c>
    </row>
    <row r="352" spans="1:4" x14ac:dyDescent="0.25">
      <c r="A352" s="41">
        <v>30123</v>
      </c>
      <c r="B352" s="39" t="s">
        <v>2128</v>
      </c>
      <c r="C352" s="40">
        <v>4</v>
      </c>
      <c r="D352" s="38" t="s">
        <v>266</v>
      </c>
    </row>
    <row r="353" spans="1:4" x14ac:dyDescent="0.25">
      <c r="A353" s="41">
        <v>30130</v>
      </c>
      <c r="B353" s="39" t="s">
        <v>2129</v>
      </c>
      <c r="C353" s="40">
        <v>4</v>
      </c>
      <c r="D353" s="38" t="s">
        <v>266</v>
      </c>
    </row>
    <row r="354" spans="1:4" x14ac:dyDescent="0.25">
      <c r="A354" s="42">
        <v>30130.51</v>
      </c>
      <c r="B354" s="39" t="s">
        <v>2130</v>
      </c>
      <c r="C354" s="40">
        <v>5</v>
      </c>
      <c r="D354" s="38" t="s">
        <v>266</v>
      </c>
    </row>
    <row r="355" spans="1:4" x14ac:dyDescent="0.25">
      <c r="A355" s="42">
        <v>30130.61</v>
      </c>
      <c r="B355" s="39" t="s">
        <v>2131</v>
      </c>
      <c r="C355" s="40">
        <v>5</v>
      </c>
      <c r="D355" s="38" t="s">
        <v>266</v>
      </c>
    </row>
    <row r="356" spans="1:4" x14ac:dyDescent="0.25">
      <c r="A356" s="42">
        <v>30130.71</v>
      </c>
      <c r="B356" s="39" t="s">
        <v>2132</v>
      </c>
      <c r="C356" s="40">
        <v>5</v>
      </c>
      <c r="D356" s="38" t="s">
        <v>266</v>
      </c>
    </row>
    <row r="357" spans="1:4" x14ac:dyDescent="0.25">
      <c r="A357" s="42">
        <v>30130.720000000001</v>
      </c>
      <c r="B357" s="39" t="s">
        <v>2133</v>
      </c>
      <c r="C357" s="40">
        <v>5</v>
      </c>
      <c r="D357" s="38" t="s">
        <v>266</v>
      </c>
    </row>
    <row r="358" spans="1:4" x14ac:dyDescent="0.25">
      <c r="A358" s="41">
        <v>30140</v>
      </c>
      <c r="B358" s="39" t="s">
        <v>2134</v>
      </c>
      <c r="C358" s="40">
        <v>4</v>
      </c>
      <c r="D358" s="38" t="s">
        <v>266</v>
      </c>
    </row>
    <row r="359" spans="1:4" x14ac:dyDescent="0.25">
      <c r="A359" s="42">
        <v>30140.51</v>
      </c>
      <c r="B359" s="39" t="s">
        <v>2135</v>
      </c>
      <c r="C359" s="40">
        <v>5</v>
      </c>
      <c r="D359" s="38" t="s">
        <v>266</v>
      </c>
    </row>
    <row r="360" spans="1:4" x14ac:dyDescent="0.25">
      <c r="A360" s="42">
        <v>30140.61</v>
      </c>
      <c r="B360" s="39" t="s">
        <v>2136</v>
      </c>
      <c r="C360" s="40">
        <v>5</v>
      </c>
      <c r="D360" s="38" t="s">
        <v>266</v>
      </c>
    </row>
    <row r="361" spans="1:4" x14ac:dyDescent="0.25">
      <c r="A361" s="42">
        <v>30140.71</v>
      </c>
      <c r="B361" s="39" t="s">
        <v>2137</v>
      </c>
      <c r="C361" s="40">
        <v>5</v>
      </c>
      <c r="D361" s="38" t="s">
        <v>266</v>
      </c>
    </row>
    <row r="362" spans="1:4" x14ac:dyDescent="0.25">
      <c r="A362" s="42">
        <v>30140.720000000001</v>
      </c>
      <c r="B362" s="39" t="s">
        <v>2138</v>
      </c>
      <c r="C362" s="40">
        <v>5</v>
      </c>
      <c r="D362" s="38" t="s">
        <v>266</v>
      </c>
    </row>
    <row r="363" spans="1:4" x14ac:dyDescent="0.25">
      <c r="A363" s="41">
        <v>30150</v>
      </c>
      <c r="B363" s="39" t="s">
        <v>2139</v>
      </c>
      <c r="C363" s="40">
        <v>4</v>
      </c>
      <c r="D363" s="38" t="s">
        <v>266</v>
      </c>
    </row>
    <row r="364" spans="1:4" x14ac:dyDescent="0.25">
      <c r="A364" s="42">
        <v>30150.51</v>
      </c>
      <c r="B364" s="39" t="s">
        <v>2140</v>
      </c>
      <c r="C364" s="40">
        <v>5</v>
      </c>
      <c r="D364" s="38" t="s">
        <v>266</v>
      </c>
    </row>
    <row r="365" spans="1:4" x14ac:dyDescent="0.25">
      <c r="A365" s="42">
        <v>30150.61</v>
      </c>
      <c r="B365" s="39" t="s">
        <v>2141</v>
      </c>
      <c r="C365" s="40">
        <v>5</v>
      </c>
      <c r="D365" s="38" t="s">
        <v>266</v>
      </c>
    </row>
    <row r="366" spans="1:4" x14ac:dyDescent="0.25">
      <c r="A366" s="42">
        <v>30150.71</v>
      </c>
      <c r="B366" s="39" t="s">
        <v>2142</v>
      </c>
      <c r="C366" s="40">
        <v>5</v>
      </c>
      <c r="D366" s="38" t="s">
        <v>266</v>
      </c>
    </row>
    <row r="367" spans="1:4" x14ac:dyDescent="0.25">
      <c r="A367" s="42">
        <v>30150.720000000001</v>
      </c>
      <c r="B367" s="39" t="s">
        <v>2143</v>
      </c>
      <c r="C367" s="40">
        <v>5</v>
      </c>
      <c r="D367" s="38" t="s">
        <v>266</v>
      </c>
    </row>
    <row r="368" spans="1:4" x14ac:dyDescent="0.25">
      <c r="A368" s="41">
        <v>30160</v>
      </c>
      <c r="B368" s="39" t="s">
        <v>2144</v>
      </c>
      <c r="C368" s="40">
        <v>4</v>
      </c>
      <c r="D368" s="38" t="s">
        <v>266</v>
      </c>
    </row>
    <row r="369" spans="1:4" x14ac:dyDescent="0.25">
      <c r="A369" s="41">
        <v>30170</v>
      </c>
      <c r="B369" s="39" t="s">
        <v>2145</v>
      </c>
      <c r="C369" s="40">
        <v>4</v>
      </c>
      <c r="D369" s="38" t="s">
        <v>266</v>
      </c>
    </row>
    <row r="370" spans="1:4" x14ac:dyDescent="0.25">
      <c r="A370" s="41">
        <v>30180</v>
      </c>
      <c r="B370" s="39" t="s">
        <v>2146</v>
      </c>
      <c r="C370" s="40">
        <v>4</v>
      </c>
      <c r="D370" s="38" t="s">
        <v>266</v>
      </c>
    </row>
    <row r="371" spans="1:4" x14ac:dyDescent="0.25">
      <c r="A371" s="41">
        <v>30500</v>
      </c>
      <c r="B371" s="39" t="s">
        <v>2147</v>
      </c>
      <c r="C371" s="40">
        <v>3</v>
      </c>
      <c r="D371" s="38" t="s">
        <v>266</v>
      </c>
    </row>
    <row r="372" spans="1:4" x14ac:dyDescent="0.25">
      <c r="A372" s="41">
        <v>30800</v>
      </c>
      <c r="B372" s="39" t="s">
        <v>2148</v>
      </c>
      <c r="C372" s="40">
        <v>3</v>
      </c>
      <c r="D372" s="38" t="s">
        <v>266</v>
      </c>
    </row>
    <row r="373" spans="1:4" x14ac:dyDescent="0.25">
      <c r="A373" s="41">
        <v>31000</v>
      </c>
      <c r="B373" s="39" t="s">
        <v>2149</v>
      </c>
      <c r="C373" s="40">
        <v>3</v>
      </c>
      <c r="D373" s="38" t="s">
        <v>266</v>
      </c>
    </row>
    <row r="374" spans="1:4" x14ac:dyDescent="0.25">
      <c r="A374" s="41">
        <v>31100</v>
      </c>
      <c r="B374" s="39" t="s">
        <v>2150</v>
      </c>
      <c r="C374" s="40">
        <v>3</v>
      </c>
      <c r="D374" s="38" t="s">
        <v>266</v>
      </c>
    </row>
    <row r="375" spans="1:4" x14ac:dyDescent="0.25">
      <c r="A375" s="41">
        <v>31113</v>
      </c>
      <c r="B375" s="39" t="s">
        <v>2151</v>
      </c>
      <c r="C375" s="40">
        <v>4</v>
      </c>
      <c r="D375" s="38" t="s">
        <v>266</v>
      </c>
    </row>
    <row r="376" spans="1:4" x14ac:dyDescent="0.25">
      <c r="A376" s="42">
        <v>31113.13</v>
      </c>
      <c r="B376" s="39" t="s">
        <v>2152</v>
      </c>
      <c r="C376" s="40">
        <v>5</v>
      </c>
      <c r="D376" s="38" t="s">
        <v>266</v>
      </c>
    </row>
    <row r="377" spans="1:4" x14ac:dyDescent="0.25">
      <c r="A377" s="42">
        <v>31113.16</v>
      </c>
      <c r="B377" s="39" t="s">
        <v>2153</v>
      </c>
      <c r="C377" s="40">
        <v>5</v>
      </c>
      <c r="D377" s="38" t="s">
        <v>266</v>
      </c>
    </row>
    <row r="378" spans="1:4" x14ac:dyDescent="0.25">
      <c r="A378" s="42">
        <v>31113.19</v>
      </c>
      <c r="B378" s="39" t="s">
        <v>2154</v>
      </c>
      <c r="C378" s="40">
        <v>5</v>
      </c>
      <c r="D378" s="38" t="s">
        <v>266</v>
      </c>
    </row>
    <row r="379" spans="1:4" x14ac:dyDescent="0.25">
      <c r="A379" s="41">
        <v>31116</v>
      </c>
      <c r="B379" s="39" t="s">
        <v>2155</v>
      </c>
      <c r="C379" s="40">
        <v>4</v>
      </c>
      <c r="D379" s="38" t="s">
        <v>266</v>
      </c>
    </row>
    <row r="380" spans="1:4" x14ac:dyDescent="0.25">
      <c r="A380" s="42">
        <v>31116.13</v>
      </c>
      <c r="B380" s="39" t="s">
        <v>2156</v>
      </c>
      <c r="C380" s="40">
        <v>5</v>
      </c>
      <c r="D380" s="38" t="s">
        <v>266</v>
      </c>
    </row>
    <row r="381" spans="1:4" x14ac:dyDescent="0.25">
      <c r="A381" s="41">
        <v>31119</v>
      </c>
      <c r="B381" s="39" t="s">
        <v>2157</v>
      </c>
      <c r="C381" s="40">
        <v>4</v>
      </c>
      <c r="D381" s="38" t="s">
        <v>266</v>
      </c>
    </row>
    <row r="382" spans="1:4" x14ac:dyDescent="0.25">
      <c r="A382" s="41">
        <v>31123</v>
      </c>
      <c r="B382" s="39" t="s">
        <v>2158</v>
      </c>
      <c r="C382" s="40">
        <v>4</v>
      </c>
      <c r="D382" s="38" t="s">
        <v>266</v>
      </c>
    </row>
    <row r="383" spans="1:4" x14ac:dyDescent="0.25">
      <c r="A383" s="41">
        <v>31500</v>
      </c>
      <c r="B383" s="39" t="s">
        <v>2159</v>
      </c>
      <c r="C383" s="40">
        <v>3</v>
      </c>
      <c r="D383" s="38" t="s">
        <v>266</v>
      </c>
    </row>
    <row r="384" spans="1:4" x14ac:dyDescent="0.25">
      <c r="A384" s="41">
        <v>31513</v>
      </c>
      <c r="B384" s="39" t="s">
        <v>2160</v>
      </c>
      <c r="C384" s="40">
        <v>4</v>
      </c>
      <c r="D384" s="38" t="s">
        <v>266</v>
      </c>
    </row>
    <row r="385" spans="1:4" x14ac:dyDescent="0.25">
      <c r="A385" s="41">
        <v>32000</v>
      </c>
      <c r="B385" s="39" t="s">
        <v>2161</v>
      </c>
      <c r="C385" s="40">
        <v>3</v>
      </c>
      <c r="D385" s="38" t="s">
        <v>266</v>
      </c>
    </row>
    <row r="386" spans="1:4" x14ac:dyDescent="0.25">
      <c r="A386" s="41">
        <v>32100</v>
      </c>
      <c r="B386" s="39" t="s">
        <v>2162</v>
      </c>
      <c r="C386" s="40">
        <v>3</v>
      </c>
      <c r="D386" s="38" t="s">
        <v>266</v>
      </c>
    </row>
    <row r="387" spans="1:4" x14ac:dyDescent="0.25">
      <c r="A387" s="41">
        <v>32111</v>
      </c>
      <c r="B387" s="39" t="s">
        <v>2163</v>
      </c>
      <c r="C387" s="40">
        <v>4</v>
      </c>
      <c r="D387" s="38" t="s">
        <v>266</v>
      </c>
    </row>
    <row r="388" spans="1:4" x14ac:dyDescent="0.25">
      <c r="A388" s="41">
        <v>32113</v>
      </c>
      <c r="B388" s="39" t="s">
        <v>2164</v>
      </c>
      <c r="C388" s="40">
        <v>4</v>
      </c>
      <c r="D388" s="38" t="s">
        <v>266</v>
      </c>
    </row>
    <row r="389" spans="1:4" x14ac:dyDescent="0.25">
      <c r="A389" s="41">
        <v>32116</v>
      </c>
      <c r="B389" s="39" t="s">
        <v>2165</v>
      </c>
      <c r="C389" s="40">
        <v>4</v>
      </c>
      <c r="D389" s="38" t="s">
        <v>266</v>
      </c>
    </row>
    <row r="390" spans="1:4" x14ac:dyDescent="0.25">
      <c r="A390" s="41">
        <v>32119</v>
      </c>
      <c r="B390" s="39" t="s">
        <v>2166</v>
      </c>
      <c r="C390" s="40">
        <v>4</v>
      </c>
      <c r="D390" s="38" t="s">
        <v>266</v>
      </c>
    </row>
    <row r="391" spans="1:4" x14ac:dyDescent="0.25">
      <c r="A391" s="41">
        <v>32121</v>
      </c>
      <c r="B391" s="39" t="s">
        <v>2167</v>
      </c>
      <c r="C391" s="40">
        <v>4</v>
      </c>
      <c r="D391" s="38" t="s">
        <v>266</v>
      </c>
    </row>
    <row r="392" spans="1:4" x14ac:dyDescent="0.25">
      <c r="A392" s="41">
        <v>32200</v>
      </c>
      <c r="B392" s="39" t="s">
        <v>2168</v>
      </c>
      <c r="C392" s="40">
        <v>3</v>
      </c>
      <c r="D392" s="38" t="s">
        <v>266</v>
      </c>
    </row>
    <row r="393" spans="1:4" x14ac:dyDescent="0.25">
      <c r="A393" s="41">
        <v>32213</v>
      </c>
      <c r="B393" s="39" t="s">
        <v>2169</v>
      </c>
      <c r="C393" s="40">
        <v>4</v>
      </c>
      <c r="D393" s="38" t="s">
        <v>266</v>
      </c>
    </row>
    <row r="394" spans="1:4" x14ac:dyDescent="0.25">
      <c r="A394" s="41">
        <v>32216</v>
      </c>
      <c r="B394" s="39" t="s">
        <v>2170</v>
      </c>
      <c r="C394" s="40">
        <v>4</v>
      </c>
      <c r="D394" s="38" t="s">
        <v>266</v>
      </c>
    </row>
    <row r="395" spans="1:4" x14ac:dyDescent="0.25">
      <c r="A395" s="41">
        <v>32219</v>
      </c>
      <c r="B395" s="39" t="s">
        <v>2171</v>
      </c>
      <c r="C395" s="40">
        <v>4</v>
      </c>
      <c r="D395" s="38" t="s">
        <v>266</v>
      </c>
    </row>
    <row r="396" spans="1:4" x14ac:dyDescent="0.25">
      <c r="A396" s="41">
        <v>32300</v>
      </c>
      <c r="B396" s="39" t="s">
        <v>2172</v>
      </c>
      <c r="C396" s="40">
        <v>3</v>
      </c>
      <c r="D396" s="38" t="s">
        <v>266</v>
      </c>
    </row>
    <row r="397" spans="1:4" x14ac:dyDescent="0.25">
      <c r="A397" s="41">
        <v>32400</v>
      </c>
      <c r="B397" s="39" t="s">
        <v>2173</v>
      </c>
      <c r="C397" s="40">
        <v>3</v>
      </c>
      <c r="D397" s="38" t="s">
        <v>266</v>
      </c>
    </row>
    <row r="398" spans="1:4" x14ac:dyDescent="0.25">
      <c r="A398" s="41">
        <v>32500</v>
      </c>
      <c r="B398" s="39" t="s">
        <v>2174</v>
      </c>
      <c r="C398" s="40">
        <v>3</v>
      </c>
      <c r="D398" s="38" t="s">
        <v>266</v>
      </c>
    </row>
    <row r="399" spans="1:4" x14ac:dyDescent="0.25">
      <c r="A399" s="41">
        <v>32513</v>
      </c>
      <c r="B399" s="39" t="s">
        <v>2175</v>
      </c>
      <c r="C399" s="40">
        <v>4</v>
      </c>
      <c r="D399" s="38" t="s">
        <v>266</v>
      </c>
    </row>
    <row r="400" spans="1:4" x14ac:dyDescent="0.25">
      <c r="A400" s="41">
        <v>32516</v>
      </c>
      <c r="B400" s="39" t="s">
        <v>2176</v>
      </c>
      <c r="C400" s="40">
        <v>4</v>
      </c>
      <c r="D400" s="38" t="s">
        <v>266</v>
      </c>
    </row>
    <row r="401" spans="1:4" x14ac:dyDescent="0.25">
      <c r="A401" s="41">
        <v>32519</v>
      </c>
      <c r="B401" s="39" t="s">
        <v>2177</v>
      </c>
      <c r="C401" s="40">
        <v>4</v>
      </c>
      <c r="D401" s="38" t="s">
        <v>266</v>
      </c>
    </row>
    <row r="402" spans="1:4" x14ac:dyDescent="0.25">
      <c r="A402" s="41">
        <v>33000</v>
      </c>
      <c r="B402" s="39" t="s">
        <v>2178</v>
      </c>
      <c r="C402" s="40">
        <v>3</v>
      </c>
      <c r="D402" s="38" t="s">
        <v>266</v>
      </c>
    </row>
    <row r="403" spans="1:4" x14ac:dyDescent="0.25">
      <c r="A403" s="41">
        <v>33053</v>
      </c>
      <c r="B403" s="39" t="s">
        <v>2179</v>
      </c>
      <c r="C403" s="40">
        <v>4</v>
      </c>
      <c r="D403" s="38" t="s">
        <v>266</v>
      </c>
    </row>
    <row r="404" spans="1:4" x14ac:dyDescent="0.25">
      <c r="A404" s="41">
        <v>33100</v>
      </c>
      <c r="B404" s="39" t="s">
        <v>2180</v>
      </c>
      <c r="C404" s="40">
        <v>3</v>
      </c>
      <c r="D404" s="38" t="s">
        <v>266</v>
      </c>
    </row>
    <row r="405" spans="1:4" x14ac:dyDescent="0.25">
      <c r="A405" s="41">
        <v>33113</v>
      </c>
      <c r="B405" s="39" t="s">
        <v>2181</v>
      </c>
      <c r="C405" s="40">
        <v>4</v>
      </c>
      <c r="D405" s="38" t="s">
        <v>266</v>
      </c>
    </row>
    <row r="406" spans="1:4" x14ac:dyDescent="0.25">
      <c r="A406" s="41">
        <v>33116</v>
      </c>
      <c r="B406" s="39" t="s">
        <v>2182</v>
      </c>
      <c r="C406" s="40">
        <v>4</v>
      </c>
      <c r="D406" s="38" t="s">
        <v>266</v>
      </c>
    </row>
    <row r="407" spans="1:4" x14ac:dyDescent="0.25">
      <c r="A407" s="41">
        <v>33119</v>
      </c>
      <c r="B407" s="39" t="s">
        <v>2183</v>
      </c>
      <c r="C407" s="40">
        <v>4</v>
      </c>
      <c r="D407" s="38" t="s">
        <v>266</v>
      </c>
    </row>
    <row r="408" spans="1:4" x14ac:dyDescent="0.25">
      <c r="A408" s="41">
        <v>33123</v>
      </c>
      <c r="B408" s="39" t="s">
        <v>2184</v>
      </c>
      <c r="C408" s="40">
        <v>4</v>
      </c>
      <c r="D408" s="38" t="s">
        <v>266</v>
      </c>
    </row>
    <row r="409" spans="1:4" x14ac:dyDescent="0.25">
      <c r="A409" s="41">
        <v>33124</v>
      </c>
      <c r="B409" s="39" t="s">
        <v>2185</v>
      </c>
      <c r="C409" s="40">
        <v>4</v>
      </c>
      <c r="D409" s="38" t="s">
        <v>266</v>
      </c>
    </row>
    <row r="410" spans="1:4" x14ac:dyDescent="0.25">
      <c r="A410" s="41">
        <v>33126</v>
      </c>
      <c r="B410" s="39" t="s">
        <v>2186</v>
      </c>
      <c r="C410" s="40">
        <v>4</v>
      </c>
      <c r="D410" s="38" t="s">
        <v>266</v>
      </c>
    </row>
    <row r="411" spans="1:4" x14ac:dyDescent="0.25">
      <c r="A411" s="41">
        <v>33300</v>
      </c>
      <c r="B411" s="39" t="s">
        <v>2187</v>
      </c>
      <c r="C411" s="40">
        <v>3</v>
      </c>
      <c r="D411" s="38" t="s">
        <v>266</v>
      </c>
    </row>
    <row r="412" spans="1:4" x14ac:dyDescent="0.25">
      <c r="A412" s="41">
        <v>33313</v>
      </c>
      <c r="B412" s="39" t="s">
        <v>2188</v>
      </c>
      <c r="C412" s="40">
        <v>4</v>
      </c>
      <c r="D412" s="38" t="s">
        <v>266</v>
      </c>
    </row>
    <row r="413" spans="1:4" x14ac:dyDescent="0.25">
      <c r="A413" s="41">
        <v>33316</v>
      </c>
      <c r="B413" s="39" t="s">
        <v>2189</v>
      </c>
      <c r="C413" s="40">
        <v>4</v>
      </c>
      <c r="D413" s="38" t="s">
        <v>266</v>
      </c>
    </row>
    <row r="414" spans="1:4" x14ac:dyDescent="0.25">
      <c r="A414" s="41">
        <v>33400</v>
      </c>
      <c r="B414" s="39" t="s">
        <v>2190</v>
      </c>
      <c r="C414" s="40">
        <v>3</v>
      </c>
      <c r="D414" s="38" t="s">
        <v>266</v>
      </c>
    </row>
    <row r="415" spans="1:4" x14ac:dyDescent="0.25">
      <c r="A415" s="41">
        <v>33500</v>
      </c>
      <c r="B415" s="39" t="s">
        <v>2191</v>
      </c>
      <c r="C415" s="40">
        <v>3</v>
      </c>
      <c r="D415" s="38" t="s">
        <v>266</v>
      </c>
    </row>
    <row r="416" spans="1:4" x14ac:dyDescent="0.25">
      <c r="A416" s="41">
        <v>33513</v>
      </c>
      <c r="B416" s="39" t="s">
        <v>2192</v>
      </c>
      <c r="C416" s="40">
        <v>4</v>
      </c>
      <c r="D416" s="38" t="s">
        <v>266</v>
      </c>
    </row>
    <row r="417" spans="1:4" x14ac:dyDescent="0.25">
      <c r="A417" s="41">
        <v>33516</v>
      </c>
      <c r="B417" s="39" t="s">
        <v>2193</v>
      </c>
      <c r="C417" s="40">
        <v>4</v>
      </c>
      <c r="D417" s="38" t="s">
        <v>266</v>
      </c>
    </row>
    <row r="418" spans="1:4" x14ac:dyDescent="0.25">
      <c r="A418" s="41">
        <v>33519</v>
      </c>
      <c r="B418" s="39" t="s">
        <v>2194</v>
      </c>
      <c r="C418" s="40">
        <v>4</v>
      </c>
      <c r="D418" s="38" t="s">
        <v>266</v>
      </c>
    </row>
    <row r="419" spans="1:4" x14ac:dyDescent="0.25">
      <c r="A419" s="41">
        <v>33523</v>
      </c>
      <c r="B419" s="39" t="s">
        <v>2195</v>
      </c>
      <c r="C419" s="40">
        <v>4</v>
      </c>
      <c r="D419" s="38" t="s">
        <v>266</v>
      </c>
    </row>
    <row r="420" spans="1:4" x14ac:dyDescent="0.25">
      <c r="A420" s="41">
        <v>33526</v>
      </c>
      <c r="B420" s="39" t="s">
        <v>2196</v>
      </c>
      <c r="C420" s="40">
        <v>4</v>
      </c>
      <c r="D420" s="38" t="s">
        <v>266</v>
      </c>
    </row>
    <row r="421" spans="1:4" x14ac:dyDescent="0.25">
      <c r="A421" s="41">
        <v>33529</v>
      </c>
      <c r="B421" s="39" t="s">
        <v>2197</v>
      </c>
      <c r="C421" s="40">
        <v>4</v>
      </c>
      <c r="D421" s="38" t="s">
        <v>266</v>
      </c>
    </row>
    <row r="422" spans="1:4" x14ac:dyDescent="0.25">
      <c r="A422" s="41">
        <v>33533</v>
      </c>
      <c r="B422" s="39" t="s">
        <v>2198</v>
      </c>
      <c r="C422" s="40">
        <v>4</v>
      </c>
      <c r="D422" s="38" t="s">
        <v>266</v>
      </c>
    </row>
    <row r="423" spans="1:4" x14ac:dyDescent="0.25">
      <c r="A423" s="41">
        <v>33543</v>
      </c>
      <c r="B423" s="39" t="s">
        <v>2199</v>
      </c>
      <c r="C423" s="40">
        <v>4</v>
      </c>
      <c r="D423" s="38" t="s">
        <v>266</v>
      </c>
    </row>
    <row r="424" spans="1:4" x14ac:dyDescent="0.25">
      <c r="A424" s="41">
        <v>33700</v>
      </c>
      <c r="B424" s="39" t="s">
        <v>2200</v>
      </c>
      <c r="C424" s="40">
        <v>3</v>
      </c>
      <c r="D424" s="38" t="s">
        <v>266</v>
      </c>
    </row>
    <row r="425" spans="1:4" x14ac:dyDescent="0.25">
      <c r="A425" s="41">
        <v>33713</v>
      </c>
      <c r="B425" s="39" t="s">
        <v>2201</v>
      </c>
      <c r="C425" s="40">
        <v>4</v>
      </c>
      <c r="D425" s="38" t="s">
        <v>266</v>
      </c>
    </row>
    <row r="426" spans="1:4" x14ac:dyDescent="0.25">
      <c r="A426" s="41">
        <v>33716</v>
      </c>
      <c r="B426" s="39" t="s">
        <v>2202</v>
      </c>
      <c r="C426" s="40">
        <v>4</v>
      </c>
      <c r="D426" s="38" t="s">
        <v>266</v>
      </c>
    </row>
    <row r="427" spans="1:4" x14ac:dyDescent="0.25">
      <c r="A427" s="41">
        <v>33719</v>
      </c>
      <c r="B427" s="39" t="s">
        <v>2203</v>
      </c>
      <c r="C427" s="40">
        <v>4</v>
      </c>
      <c r="D427" s="38" t="s">
        <v>266</v>
      </c>
    </row>
    <row r="428" spans="1:4" x14ac:dyDescent="0.25">
      <c r="A428" s="41">
        <v>33723</v>
      </c>
      <c r="B428" s="39" t="s">
        <v>2204</v>
      </c>
      <c r="C428" s="40">
        <v>4</v>
      </c>
      <c r="D428" s="38" t="s">
        <v>266</v>
      </c>
    </row>
    <row r="429" spans="1:4" x14ac:dyDescent="0.25">
      <c r="A429" s="41">
        <v>33726</v>
      </c>
      <c r="B429" s="39" t="s">
        <v>2205</v>
      </c>
      <c r="C429" s="40">
        <v>4</v>
      </c>
      <c r="D429" s="38" t="s">
        <v>266</v>
      </c>
    </row>
    <row r="430" spans="1:4" x14ac:dyDescent="0.25">
      <c r="A430" s="41">
        <v>33800</v>
      </c>
      <c r="B430" s="39" t="s">
        <v>2206</v>
      </c>
      <c r="C430" s="40">
        <v>3</v>
      </c>
      <c r="D430" s="38" t="s">
        <v>266</v>
      </c>
    </row>
    <row r="431" spans="1:4" x14ac:dyDescent="0.25">
      <c r="A431" s="41">
        <v>33813</v>
      </c>
      <c r="B431" s="39" t="s">
        <v>2207</v>
      </c>
      <c r="C431" s="40">
        <v>4</v>
      </c>
      <c r="D431" s="38" t="s">
        <v>266</v>
      </c>
    </row>
    <row r="432" spans="1:4" x14ac:dyDescent="0.25">
      <c r="A432" s="41">
        <v>33816</v>
      </c>
      <c r="B432" s="39" t="s">
        <v>2208</v>
      </c>
      <c r="C432" s="40">
        <v>4</v>
      </c>
      <c r="D432" s="38" t="s">
        <v>266</v>
      </c>
    </row>
    <row r="433" spans="1:4" x14ac:dyDescent="0.25">
      <c r="A433" s="41">
        <v>33819</v>
      </c>
      <c r="B433" s="39" t="s">
        <v>2209</v>
      </c>
      <c r="C433" s="40">
        <v>4</v>
      </c>
      <c r="D433" s="38" t="s">
        <v>266</v>
      </c>
    </row>
    <row r="434" spans="1:4" x14ac:dyDescent="0.25">
      <c r="A434" s="41">
        <v>33900</v>
      </c>
      <c r="B434" s="39" t="s">
        <v>2210</v>
      </c>
      <c r="C434" s="40">
        <v>3</v>
      </c>
      <c r="D434" s="38" t="s">
        <v>266</v>
      </c>
    </row>
    <row r="435" spans="1:4" x14ac:dyDescent="0.25">
      <c r="A435" s="41">
        <v>33913</v>
      </c>
      <c r="B435" s="39" t="s">
        <v>2211</v>
      </c>
      <c r="C435" s="40">
        <v>4</v>
      </c>
      <c r="D435" s="38" t="s">
        <v>266</v>
      </c>
    </row>
    <row r="436" spans="1:4" x14ac:dyDescent="0.25">
      <c r="A436" s="41">
        <v>33916</v>
      </c>
      <c r="B436" s="39" t="s">
        <v>2212</v>
      </c>
      <c r="C436" s="40">
        <v>4</v>
      </c>
      <c r="D436" s="38" t="s">
        <v>266</v>
      </c>
    </row>
    <row r="437" spans="1:4" x14ac:dyDescent="0.25">
      <c r="A437" s="41">
        <v>33923</v>
      </c>
      <c r="B437" s="39" t="s">
        <v>2213</v>
      </c>
      <c r="C437" s="40">
        <v>4</v>
      </c>
      <c r="D437" s="38" t="s">
        <v>266</v>
      </c>
    </row>
    <row r="438" spans="1:4" x14ac:dyDescent="0.25">
      <c r="A438" s="42">
        <v>33923.129999999997</v>
      </c>
      <c r="B438" s="39" t="s">
        <v>2214</v>
      </c>
      <c r="C438" s="40">
        <v>5</v>
      </c>
      <c r="D438" s="38" t="s">
        <v>266</v>
      </c>
    </row>
    <row r="439" spans="1:4" x14ac:dyDescent="0.25">
      <c r="A439" s="42">
        <v>33923.230000000003</v>
      </c>
      <c r="B439" s="39" t="s">
        <v>2215</v>
      </c>
      <c r="C439" s="40">
        <v>5</v>
      </c>
      <c r="D439" s="38" t="s">
        <v>266</v>
      </c>
    </row>
    <row r="440" spans="1:4" x14ac:dyDescent="0.25">
      <c r="A440" s="41">
        <v>34000</v>
      </c>
      <c r="B440" s="39" t="s">
        <v>2216</v>
      </c>
      <c r="C440" s="40">
        <v>3</v>
      </c>
      <c r="D440" s="38" t="s">
        <v>266</v>
      </c>
    </row>
    <row r="441" spans="1:4" x14ac:dyDescent="0.25">
      <c r="A441" s="41">
        <v>34100</v>
      </c>
      <c r="B441" s="39" t="s">
        <v>2217</v>
      </c>
      <c r="C441" s="40">
        <v>3</v>
      </c>
      <c r="D441" s="38" t="s">
        <v>266</v>
      </c>
    </row>
    <row r="442" spans="1:4" x14ac:dyDescent="0.25">
      <c r="A442" s="41">
        <v>34113</v>
      </c>
      <c r="B442" s="39" t="s">
        <v>2218</v>
      </c>
      <c r="C442" s="40">
        <v>4</v>
      </c>
      <c r="D442" s="38" t="s">
        <v>266</v>
      </c>
    </row>
    <row r="443" spans="1:4" x14ac:dyDescent="0.25">
      <c r="A443" s="41">
        <v>34116</v>
      </c>
      <c r="B443" s="39" t="s">
        <v>2219</v>
      </c>
      <c r="C443" s="40">
        <v>4</v>
      </c>
      <c r="D443" s="38" t="s">
        <v>266</v>
      </c>
    </row>
    <row r="444" spans="1:4" x14ac:dyDescent="0.25">
      <c r="A444" s="41">
        <v>34123</v>
      </c>
      <c r="B444" s="39" t="s">
        <v>2220</v>
      </c>
      <c r="C444" s="40">
        <v>4</v>
      </c>
      <c r="D444" s="38" t="s">
        <v>266</v>
      </c>
    </row>
    <row r="445" spans="1:4" x14ac:dyDescent="0.25">
      <c r="A445" s="41">
        <v>34133</v>
      </c>
      <c r="B445" s="39" t="s">
        <v>2221</v>
      </c>
      <c r="C445" s="40">
        <v>4</v>
      </c>
      <c r="D445" s="38" t="s">
        <v>266</v>
      </c>
    </row>
    <row r="446" spans="1:4" x14ac:dyDescent="0.25">
      <c r="A446" s="41">
        <v>34136</v>
      </c>
      <c r="B446" s="39" t="s">
        <v>2222</v>
      </c>
      <c r="C446" s="40">
        <v>4</v>
      </c>
      <c r="D446" s="38" t="s">
        <v>266</v>
      </c>
    </row>
    <row r="447" spans="1:4" x14ac:dyDescent="0.25">
      <c r="A447" s="41">
        <v>34500</v>
      </c>
      <c r="B447" s="39" t="s">
        <v>2223</v>
      </c>
      <c r="C447" s="40">
        <v>3</v>
      </c>
      <c r="D447" s="38" t="s">
        <v>266</v>
      </c>
    </row>
    <row r="448" spans="1:4" x14ac:dyDescent="0.25">
      <c r="A448" s="41">
        <v>34513</v>
      </c>
      <c r="B448" s="39" t="s">
        <v>2224</v>
      </c>
      <c r="C448" s="40">
        <v>4</v>
      </c>
      <c r="D448" s="38" t="s">
        <v>266</v>
      </c>
    </row>
    <row r="449" spans="1:4" x14ac:dyDescent="0.25">
      <c r="A449" s="41">
        <v>34533</v>
      </c>
      <c r="B449" s="39" t="s">
        <v>2225</v>
      </c>
      <c r="C449" s="40">
        <v>4</v>
      </c>
      <c r="D449" s="38" t="s">
        <v>266</v>
      </c>
    </row>
    <row r="450" spans="1:4" x14ac:dyDescent="0.25">
      <c r="A450" s="41">
        <v>34536</v>
      </c>
      <c r="B450" s="39" t="s">
        <v>2226</v>
      </c>
      <c r="C450" s="40">
        <v>4</v>
      </c>
      <c r="D450" s="38" t="s">
        <v>266</v>
      </c>
    </row>
    <row r="451" spans="1:4" x14ac:dyDescent="0.25">
      <c r="A451" s="41">
        <v>34700</v>
      </c>
      <c r="B451" s="39" t="s">
        <v>2227</v>
      </c>
      <c r="C451" s="40">
        <v>3</v>
      </c>
      <c r="D451" s="38" t="s">
        <v>266</v>
      </c>
    </row>
    <row r="452" spans="1:4" x14ac:dyDescent="0.25">
      <c r="A452" s="41">
        <v>34713</v>
      </c>
      <c r="B452" s="39" t="s">
        <v>2228</v>
      </c>
      <c r="C452" s="40">
        <v>4</v>
      </c>
      <c r="D452" s="38" t="s">
        <v>266</v>
      </c>
    </row>
    <row r="453" spans="1:4" x14ac:dyDescent="0.25">
      <c r="A453" s="41">
        <v>34716</v>
      </c>
      <c r="B453" s="39" t="s">
        <v>2229</v>
      </c>
      <c r="C453" s="40">
        <v>4</v>
      </c>
      <c r="D453" s="38" t="s">
        <v>266</v>
      </c>
    </row>
    <row r="454" spans="1:4" x14ac:dyDescent="0.25">
      <c r="A454" s="41">
        <v>34800</v>
      </c>
      <c r="B454" s="39" t="s">
        <v>2230</v>
      </c>
      <c r="C454" s="40">
        <v>3</v>
      </c>
      <c r="D454" s="38" t="s">
        <v>266</v>
      </c>
    </row>
    <row r="455" spans="1:4" x14ac:dyDescent="0.25">
      <c r="A455" s="41">
        <v>34813</v>
      </c>
      <c r="B455" s="39" t="s">
        <v>2231</v>
      </c>
      <c r="C455" s="40">
        <v>4</v>
      </c>
      <c r="D455" s="38" t="s">
        <v>266</v>
      </c>
    </row>
    <row r="456" spans="1:4" x14ac:dyDescent="0.25">
      <c r="A456" s="41">
        <v>34816</v>
      </c>
      <c r="B456" s="39" t="s">
        <v>2232</v>
      </c>
      <c r="C456" s="40">
        <v>4</v>
      </c>
      <c r="D456" s="38" t="s">
        <v>266</v>
      </c>
    </row>
    <row r="457" spans="1:4" x14ac:dyDescent="0.25">
      <c r="A457" s="41">
        <v>34819</v>
      </c>
      <c r="B457" s="39" t="s">
        <v>2233</v>
      </c>
      <c r="C457" s="40">
        <v>4</v>
      </c>
      <c r="D457" s="38" t="s">
        <v>266</v>
      </c>
    </row>
    <row r="458" spans="1:4" x14ac:dyDescent="0.25">
      <c r="A458" s="41">
        <v>34833</v>
      </c>
      <c r="B458" s="39" t="s">
        <v>2234</v>
      </c>
      <c r="C458" s="40">
        <v>4</v>
      </c>
      <c r="D458" s="38" t="s">
        <v>266</v>
      </c>
    </row>
    <row r="459" spans="1:4" x14ac:dyDescent="0.25">
      <c r="A459" s="41">
        <v>34843</v>
      </c>
      <c r="B459" s="39" t="s">
        <v>2235</v>
      </c>
      <c r="C459" s="40">
        <v>4</v>
      </c>
      <c r="D459" s="38" t="s">
        <v>266</v>
      </c>
    </row>
    <row r="460" spans="1:4" x14ac:dyDescent="0.25">
      <c r="A460" s="41">
        <v>34900</v>
      </c>
      <c r="B460" s="39" t="s">
        <v>2236</v>
      </c>
      <c r="C460" s="40">
        <v>3</v>
      </c>
      <c r="D460" s="38" t="s">
        <v>266</v>
      </c>
    </row>
    <row r="461" spans="1:4" x14ac:dyDescent="0.25">
      <c r="A461" s="41">
        <v>34913</v>
      </c>
      <c r="B461" s="39" t="s">
        <v>2237</v>
      </c>
      <c r="C461" s="40">
        <v>4</v>
      </c>
      <c r="D461" s="38" t="s">
        <v>266</v>
      </c>
    </row>
    <row r="462" spans="1:4" x14ac:dyDescent="0.25">
      <c r="A462" s="41">
        <v>34916</v>
      </c>
      <c r="B462" s="39" t="s">
        <v>2238</v>
      </c>
      <c r="C462" s="40">
        <v>4</v>
      </c>
      <c r="D462" s="38" t="s">
        <v>266</v>
      </c>
    </row>
    <row r="463" spans="1:4" x14ac:dyDescent="0.25">
      <c r="A463" s="41">
        <v>34943</v>
      </c>
      <c r="B463" s="39" t="s">
        <v>2239</v>
      </c>
      <c r="C463" s="40">
        <v>4</v>
      </c>
      <c r="D463" s="38" t="s">
        <v>266</v>
      </c>
    </row>
    <row r="464" spans="1:4" x14ac:dyDescent="0.25">
      <c r="A464" s="41">
        <v>35000</v>
      </c>
      <c r="B464" s="39" t="s">
        <v>2240</v>
      </c>
      <c r="C464" s="40">
        <v>3</v>
      </c>
      <c r="D464" s="38" t="s">
        <v>266</v>
      </c>
    </row>
    <row r="465" spans="1:4" x14ac:dyDescent="0.25">
      <c r="A465" s="41">
        <v>35100</v>
      </c>
      <c r="B465" s="39" t="s">
        <v>2241</v>
      </c>
      <c r="C465" s="40">
        <v>3</v>
      </c>
      <c r="D465" s="38" t="s">
        <v>266</v>
      </c>
    </row>
    <row r="466" spans="1:4" x14ac:dyDescent="0.25">
      <c r="A466" s="41">
        <v>35113</v>
      </c>
      <c r="B466" s="39" t="s">
        <v>2242</v>
      </c>
      <c r="C466" s="40">
        <v>4</v>
      </c>
      <c r="D466" s="38" t="s">
        <v>266</v>
      </c>
    </row>
    <row r="467" spans="1:4" x14ac:dyDescent="0.25">
      <c r="A467" s="41">
        <v>35116</v>
      </c>
      <c r="B467" s="39" t="s">
        <v>2243</v>
      </c>
      <c r="C467" s="40">
        <v>4</v>
      </c>
      <c r="D467" s="38" t="s">
        <v>266</v>
      </c>
    </row>
    <row r="468" spans="1:4" x14ac:dyDescent="0.25">
      <c r="A468" s="41">
        <v>35200</v>
      </c>
      <c r="B468" s="39" t="s">
        <v>2244</v>
      </c>
      <c r="C468" s="40">
        <v>3</v>
      </c>
      <c r="D468" s="38" t="s">
        <v>266</v>
      </c>
    </row>
    <row r="469" spans="1:4" x14ac:dyDescent="0.25">
      <c r="A469" s="41">
        <v>35213</v>
      </c>
      <c r="B469" s="39" t="s">
        <v>2245</v>
      </c>
      <c r="C469" s="40">
        <v>4</v>
      </c>
      <c r="D469" s="38" t="s">
        <v>266</v>
      </c>
    </row>
    <row r="470" spans="1:4" x14ac:dyDescent="0.25">
      <c r="A470" s="41">
        <v>35216</v>
      </c>
      <c r="B470" s="39" t="s">
        <v>2246</v>
      </c>
      <c r="C470" s="40">
        <v>4</v>
      </c>
      <c r="D470" s="38" t="s">
        <v>266</v>
      </c>
    </row>
    <row r="471" spans="1:4" x14ac:dyDescent="0.25">
      <c r="A471" s="42">
        <v>35216.129999999997</v>
      </c>
      <c r="B471" s="39" t="s">
        <v>2247</v>
      </c>
      <c r="C471" s="40">
        <v>5</v>
      </c>
      <c r="D471" s="38" t="s">
        <v>266</v>
      </c>
    </row>
    <row r="472" spans="1:4" x14ac:dyDescent="0.25">
      <c r="A472" s="42">
        <v>35216.160000000003</v>
      </c>
      <c r="B472" s="39" t="s">
        <v>2248</v>
      </c>
      <c r="C472" s="40">
        <v>5</v>
      </c>
      <c r="D472" s="38" t="s">
        <v>266</v>
      </c>
    </row>
    <row r="473" spans="1:4" x14ac:dyDescent="0.25">
      <c r="A473" s="41">
        <v>35300</v>
      </c>
      <c r="B473" s="39" t="s">
        <v>2249</v>
      </c>
      <c r="C473" s="40">
        <v>3</v>
      </c>
      <c r="D473" s="38" t="s">
        <v>266</v>
      </c>
    </row>
    <row r="474" spans="1:4" x14ac:dyDescent="0.25">
      <c r="A474" s="41">
        <v>35313</v>
      </c>
      <c r="B474" s="39" t="s">
        <v>2250</v>
      </c>
      <c r="C474" s="40">
        <v>4</v>
      </c>
      <c r="D474" s="38" t="s">
        <v>266</v>
      </c>
    </row>
    <row r="475" spans="1:4" x14ac:dyDescent="0.25">
      <c r="A475" s="41">
        <v>35316</v>
      </c>
      <c r="B475" s="39" t="s">
        <v>2251</v>
      </c>
      <c r="C475" s="40">
        <v>4</v>
      </c>
      <c r="D475" s="38" t="s">
        <v>266</v>
      </c>
    </row>
    <row r="476" spans="1:4" x14ac:dyDescent="0.25">
      <c r="A476" s="41">
        <v>35400</v>
      </c>
      <c r="B476" s="39" t="s">
        <v>2252</v>
      </c>
      <c r="C476" s="40">
        <v>3</v>
      </c>
      <c r="D476" s="38" t="s">
        <v>266</v>
      </c>
    </row>
    <row r="477" spans="1:4" x14ac:dyDescent="0.25">
      <c r="A477" s="41">
        <v>35413</v>
      </c>
      <c r="B477" s="39" t="s">
        <v>2253</v>
      </c>
      <c r="C477" s="40">
        <v>4</v>
      </c>
      <c r="D477" s="38" t="s">
        <v>266</v>
      </c>
    </row>
    <row r="478" spans="1:4" x14ac:dyDescent="0.25">
      <c r="A478" s="41">
        <v>35416</v>
      </c>
      <c r="B478" s="39" t="s">
        <v>2254</v>
      </c>
      <c r="C478" s="40">
        <v>4</v>
      </c>
      <c r="D478" s="38" t="s">
        <v>266</v>
      </c>
    </row>
    <row r="479" spans="1:4" x14ac:dyDescent="0.25">
      <c r="A479" s="41">
        <v>36000</v>
      </c>
      <c r="B479" s="39" t="s">
        <v>2255</v>
      </c>
      <c r="C479" s="40">
        <v>3</v>
      </c>
      <c r="D479" s="38" t="s">
        <v>266</v>
      </c>
    </row>
    <row r="480" spans="1:4" x14ac:dyDescent="0.25">
      <c r="A480" s="41">
        <v>36100</v>
      </c>
      <c r="B480" s="39" t="s">
        <v>2256</v>
      </c>
      <c r="C480" s="40">
        <v>3</v>
      </c>
      <c r="D480" s="38" t="s">
        <v>266</v>
      </c>
    </row>
    <row r="481" spans="1:4" x14ac:dyDescent="0.25">
      <c r="A481" s="41">
        <v>36113</v>
      </c>
      <c r="B481" s="39" t="s">
        <v>2257</v>
      </c>
      <c r="C481" s="40">
        <v>4</v>
      </c>
      <c r="D481" s="38" t="s">
        <v>266</v>
      </c>
    </row>
    <row r="482" spans="1:4" x14ac:dyDescent="0.25">
      <c r="A482" s="41">
        <v>36200</v>
      </c>
      <c r="B482" s="39" t="s">
        <v>2258</v>
      </c>
      <c r="C482" s="40">
        <v>3</v>
      </c>
      <c r="D482" s="38" t="s">
        <v>266</v>
      </c>
    </row>
    <row r="483" spans="1:4" x14ac:dyDescent="0.25">
      <c r="A483" s="41">
        <v>36213</v>
      </c>
      <c r="B483" s="39" t="s">
        <v>2259</v>
      </c>
      <c r="C483" s="40">
        <v>4</v>
      </c>
      <c r="D483" s="38" t="s">
        <v>266</v>
      </c>
    </row>
    <row r="484" spans="1:4" x14ac:dyDescent="0.25">
      <c r="A484" s="41">
        <v>36216</v>
      </c>
      <c r="B484" s="39" t="s">
        <v>2260</v>
      </c>
      <c r="C484" s="40">
        <v>4</v>
      </c>
      <c r="D484" s="38" t="s">
        <v>266</v>
      </c>
    </row>
    <row r="485" spans="1:4" x14ac:dyDescent="0.25">
      <c r="A485" s="41">
        <v>36300</v>
      </c>
      <c r="B485" s="39" t="s">
        <v>2261</v>
      </c>
      <c r="C485" s="40">
        <v>3</v>
      </c>
      <c r="D485" s="38" t="s">
        <v>266</v>
      </c>
    </row>
    <row r="486" spans="1:4" x14ac:dyDescent="0.25">
      <c r="A486" s="41">
        <v>36400</v>
      </c>
      <c r="B486" s="39" t="s">
        <v>2262</v>
      </c>
      <c r="C486" s="40">
        <v>3</v>
      </c>
      <c r="D486" s="38" t="s">
        <v>266</v>
      </c>
    </row>
    <row r="487" spans="1:4" x14ac:dyDescent="0.25">
      <c r="A487" s="41">
        <v>36423</v>
      </c>
      <c r="B487" s="39" t="s">
        <v>2263</v>
      </c>
      <c r="C487" s="40">
        <v>4</v>
      </c>
      <c r="D487" s="38" t="s">
        <v>266</v>
      </c>
    </row>
    <row r="488" spans="1:4" x14ac:dyDescent="0.25">
      <c r="A488" s="41">
        <v>37000</v>
      </c>
      <c r="B488" s="39" t="s">
        <v>2264</v>
      </c>
      <c r="C488" s="40">
        <v>3</v>
      </c>
      <c r="D488" s="38" t="s">
        <v>266</v>
      </c>
    </row>
    <row r="489" spans="1:4" x14ac:dyDescent="0.25">
      <c r="A489" s="41">
        <v>37100</v>
      </c>
      <c r="B489" s="39" t="s">
        <v>2265</v>
      </c>
      <c r="C489" s="40">
        <v>3</v>
      </c>
      <c r="D489" s="38" t="s">
        <v>266</v>
      </c>
    </row>
    <row r="490" spans="1:4" x14ac:dyDescent="0.25">
      <c r="A490" s="41">
        <v>37200</v>
      </c>
      <c r="B490" s="39" t="s">
        <v>2266</v>
      </c>
      <c r="C490" s="40">
        <v>3</v>
      </c>
      <c r="D490" s="38" t="s">
        <v>266</v>
      </c>
    </row>
    <row r="491" spans="1:4" x14ac:dyDescent="0.25">
      <c r="A491" s="41">
        <v>38000</v>
      </c>
      <c r="B491" s="39" t="s">
        <v>2267</v>
      </c>
      <c r="C491" s="40">
        <v>3</v>
      </c>
      <c r="D491" s="38" t="s">
        <v>266</v>
      </c>
    </row>
    <row r="492" spans="1:4" x14ac:dyDescent="0.25">
      <c r="A492" s="41">
        <v>38100</v>
      </c>
      <c r="B492" s="39" t="s">
        <v>2268</v>
      </c>
      <c r="C492" s="40">
        <v>3</v>
      </c>
      <c r="D492" s="38" t="s">
        <v>266</v>
      </c>
    </row>
    <row r="493" spans="1:4" x14ac:dyDescent="0.25">
      <c r="A493" s="41">
        <v>38113</v>
      </c>
      <c r="B493" s="39" t="s">
        <v>2269</v>
      </c>
      <c r="C493" s="40">
        <v>4</v>
      </c>
      <c r="D493" s="38" t="s">
        <v>266</v>
      </c>
    </row>
    <row r="494" spans="1:4" x14ac:dyDescent="0.25">
      <c r="A494" s="41">
        <v>38116</v>
      </c>
      <c r="B494" s="39" t="s">
        <v>2270</v>
      </c>
      <c r="C494" s="40">
        <v>4</v>
      </c>
      <c r="D494" s="38" t="s">
        <v>266</v>
      </c>
    </row>
    <row r="495" spans="1:4" x14ac:dyDescent="0.25">
      <c r="A495" s="41">
        <v>38119</v>
      </c>
      <c r="B495" s="39" t="s">
        <v>2271</v>
      </c>
      <c r="C495" s="40">
        <v>4</v>
      </c>
      <c r="D495" s="38" t="s">
        <v>266</v>
      </c>
    </row>
    <row r="496" spans="1:4" x14ac:dyDescent="0.25">
      <c r="A496" s="41">
        <v>38123</v>
      </c>
      <c r="B496" s="39" t="s">
        <v>2272</v>
      </c>
      <c r="C496" s="40">
        <v>4</v>
      </c>
      <c r="D496" s="38" t="s">
        <v>266</v>
      </c>
    </row>
    <row r="497" spans="1:4" x14ac:dyDescent="0.25">
      <c r="A497" s="41">
        <v>38126</v>
      </c>
      <c r="B497" s="39" t="s">
        <v>2273</v>
      </c>
      <c r="C497" s="40">
        <v>4</v>
      </c>
      <c r="D497" s="38" t="s">
        <v>266</v>
      </c>
    </row>
    <row r="498" spans="1:4" x14ac:dyDescent="0.25">
      <c r="A498" s="41">
        <v>38200</v>
      </c>
      <c r="B498" s="39" t="s">
        <v>2274</v>
      </c>
      <c r="C498" s="40">
        <v>3</v>
      </c>
      <c r="D498" s="38" t="s">
        <v>266</v>
      </c>
    </row>
    <row r="499" spans="1:4" x14ac:dyDescent="0.25">
      <c r="A499" s="41">
        <v>38213</v>
      </c>
      <c r="B499" s="39" t="s">
        <v>2275</v>
      </c>
      <c r="C499" s="40">
        <v>4</v>
      </c>
      <c r="D499" s="38" t="s">
        <v>266</v>
      </c>
    </row>
    <row r="500" spans="1:4" x14ac:dyDescent="0.25">
      <c r="A500" s="41">
        <v>40000</v>
      </c>
      <c r="B500" s="39" t="s">
        <v>2276</v>
      </c>
      <c r="C500" s="40">
        <v>2</v>
      </c>
      <c r="D500" s="38" t="s">
        <v>266</v>
      </c>
    </row>
    <row r="501" spans="1:4" x14ac:dyDescent="0.25">
      <c r="A501" s="41">
        <v>40100</v>
      </c>
      <c r="B501" s="39" t="s">
        <v>2277</v>
      </c>
      <c r="C501" s="40">
        <v>3</v>
      </c>
      <c r="D501" s="38" t="s">
        <v>266</v>
      </c>
    </row>
    <row r="502" spans="1:4" x14ac:dyDescent="0.25">
      <c r="A502" s="41">
        <v>40120</v>
      </c>
      <c r="B502" s="39" t="s">
        <v>2278</v>
      </c>
      <c r="C502" s="40">
        <v>4</v>
      </c>
      <c r="D502" s="38" t="s">
        <v>266</v>
      </c>
    </row>
    <row r="503" spans="1:4" x14ac:dyDescent="0.25">
      <c r="A503" s="42">
        <v>40120.410000000003</v>
      </c>
      <c r="B503" s="39" t="s">
        <v>2279</v>
      </c>
      <c r="C503" s="40">
        <v>5</v>
      </c>
      <c r="D503" s="38" t="s">
        <v>266</v>
      </c>
    </row>
    <row r="504" spans="1:4" x14ac:dyDescent="0.25">
      <c r="A504" s="42">
        <v>40120.51</v>
      </c>
      <c r="B504" s="39" t="s">
        <v>2280</v>
      </c>
      <c r="C504" s="40">
        <v>5</v>
      </c>
      <c r="D504" s="38" t="s">
        <v>266</v>
      </c>
    </row>
    <row r="505" spans="1:4" x14ac:dyDescent="0.25">
      <c r="A505" s="42">
        <v>40120.519999999997</v>
      </c>
      <c r="B505" s="39" t="s">
        <v>2281</v>
      </c>
      <c r="C505" s="40">
        <v>5</v>
      </c>
      <c r="D505" s="38" t="s">
        <v>266</v>
      </c>
    </row>
    <row r="506" spans="1:4" x14ac:dyDescent="0.25">
      <c r="A506" s="42">
        <v>40120.910000000003</v>
      </c>
      <c r="B506" s="39" t="s">
        <v>2282</v>
      </c>
      <c r="C506" s="40">
        <v>5</v>
      </c>
      <c r="D506" s="38" t="s">
        <v>266</v>
      </c>
    </row>
    <row r="507" spans="1:4" x14ac:dyDescent="0.25">
      <c r="A507" s="42">
        <v>40120.93</v>
      </c>
      <c r="B507" s="39" t="s">
        <v>2283</v>
      </c>
      <c r="C507" s="40">
        <v>5</v>
      </c>
      <c r="D507" s="38" t="s">
        <v>266</v>
      </c>
    </row>
    <row r="508" spans="1:4" x14ac:dyDescent="0.25">
      <c r="A508" s="41">
        <v>40140</v>
      </c>
      <c r="B508" s="39" t="s">
        <v>2284</v>
      </c>
      <c r="C508" s="40">
        <v>4</v>
      </c>
      <c r="D508" s="38" t="s">
        <v>266</v>
      </c>
    </row>
    <row r="509" spans="1:4" x14ac:dyDescent="0.25">
      <c r="A509" s="42">
        <v>40140.51</v>
      </c>
      <c r="B509" s="39" t="s">
        <v>2285</v>
      </c>
      <c r="C509" s="40">
        <v>5</v>
      </c>
      <c r="D509" s="38" t="s">
        <v>266</v>
      </c>
    </row>
    <row r="510" spans="1:4" x14ac:dyDescent="0.25">
      <c r="A510" s="42">
        <v>40140.519999999997</v>
      </c>
      <c r="B510" s="39" t="s">
        <v>2286</v>
      </c>
      <c r="C510" s="40">
        <v>5</v>
      </c>
      <c r="D510" s="38" t="s">
        <v>266</v>
      </c>
    </row>
    <row r="511" spans="1:4" x14ac:dyDescent="0.25">
      <c r="A511" s="42">
        <v>40140.910000000003</v>
      </c>
      <c r="B511" s="39" t="s">
        <v>2287</v>
      </c>
      <c r="C511" s="40">
        <v>5</v>
      </c>
      <c r="D511" s="38" t="s">
        <v>266</v>
      </c>
    </row>
    <row r="512" spans="1:4" x14ac:dyDescent="0.25">
      <c r="A512" s="41">
        <v>40150</v>
      </c>
      <c r="B512" s="39" t="s">
        <v>2288</v>
      </c>
      <c r="C512" s="40">
        <v>4</v>
      </c>
      <c r="D512" s="38" t="s">
        <v>266</v>
      </c>
    </row>
    <row r="513" spans="1:4" x14ac:dyDescent="0.25">
      <c r="A513" s="41">
        <v>40160</v>
      </c>
      <c r="B513" s="39" t="s">
        <v>2289</v>
      </c>
      <c r="C513" s="40">
        <v>4</v>
      </c>
      <c r="D513" s="38" t="s">
        <v>266</v>
      </c>
    </row>
    <row r="514" spans="1:4" x14ac:dyDescent="0.25">
      <c r="A514" s="41">
        <v>40170</v>
      </c>
      <c r="B514" s="39" t="s">
        <v>2290</v>
      </c>
      <c r="C514" s="40">
        <v>4</v>
      </c>
      <c r="D514" s="38" t="s">
        <v>266</v>
      </c>
    </row>
    <row r="515" spans="1:4" x14ac:dyDescent="0.25">
      <c r="A515" s="41">
        <v>40500</v>
      </c>
      <c r="B515" s="39" t="s">
        <v>2291</v>
      </c>
      <c r="C515" s="40">
        <v>3</v>
      </c>
      <c r="D515" s="38" t="s">
        <v>266</v>
      </c>
    </row>
    <row r="516" spans="1:4" x14ac:dyDescent="0.25">
      <c r="A516" s="41">
        <v>40513</v>
      </c>
      <c r="B516" s="39" t="s">
        <v>2292</v>
      </c>
      <c r="C516" s="40">
        <v>4</v>
      </c>
      <c r="D516" s="38" t="s">
        <v>266</v>
      </c>
    </row>
    <row r="517" spans="1:4" x14ac:dyDescent="0.25">
      <c r="A517" s="42">
        <v>40513.160000000003</v>
      </c>
      <c r="B517" s="39" t="s">
        <v>2293</v>
      </c>
      <c r="C517" s="40">
        <v>5</v>
      </c>
      <c r="D517" s="38" t="s">
        <v>266</v>
      </c>
    </row>
    <row r="518" spans="1:4" x14ac:dyDescent="0.25">
      <c r="A518" s="42">
        <v>40513.19</v>
      </c>
      <c r="B518" s="39" t="s">
        <v>2294</v>
      </c>
      <c r="C518" s="40">
        <v>5</v>
      </c>
      <c r="D518" s="38" t="s">
        <v>266</v>
      </c>
    </row>
    <row r="519" spans="1:4" x14ac:dyDescent="0.25">
      <c r="A519" s="42">
        <v>40513.230000000003</v>
      </c>
      <c r="B519" s="39" t="s">
        <v>2295</v>
      </c>
      <c r="C519" s="40">
        <v>5</v>
      </c>
      <c r="D519" s="38" t="s">
        <v>266</v>
      </c>
    </row>
    <row r="520" spans="1:4" x14ac:dyDescent="0.25">
      <c r="A520" s="42">
        <v>40513.26</v>
      </c>
      <c r="B520" s="39" t="s">
        <v>2296</v>
      </c>
      <c r="C520" s="40">
        <v>5</v>
      </c>
      <c r="D520" s="38" t="s">
        <v>266</v>
      </c>
    </row>
    <row r="521" spans="1:4" x14ac:dyDescent="0.25">
      <c r="A521" s="42">
        <v>40513.29</v>
      </c>
      <c r="B521" s="39" t="s">
        <v>2297</v>
      </c>
      <c r="C521" s="40">
        <v>5</v>
      </c>
      <c r="D521" s="38" t="s">
        <v>266</v>
      </c>
    </row>
    <row r="522" spans="1:4" x14ac:dyDescent="0.25">
      <c r="A522" s="42">
        <v>40513.910000000003</v>
      </c>
      <c r="B522" s="39" t="s">
        <v>2298</v>
      </c>
      <c r="C522" s="40">
        <v>5</v>
      </c>
      <c r="D522" s="38" t="s">
        <v>266</v>
      </c>
    </row>
    <row r="523" spans="1:4" x14ac:dyDescent="0.25">
      <c r="A523" s="41">
        <v>40516</v>
      </c>
      <c r="B523" s="39" t="s">
        <v>2299</v>
      </c>
      <c r="C523" s="40">
        <v>4</v>
      </c>
      <c r="D523" s="38" t="s">
        <v>266</v>
      </c>
    </row>
    <row r="524" spans="1:4" x14ac:dyDescent="0.25">
      <c r="A524" s="42">
        <v>40516.160000000003</v>
      </c>
      <c r="B524" s="39" t="s">
        <v>2300</v>
      </c>
      <c r="C524" s="40">
        <v>5</v>
      </c>
      <c r="D524" s="38" t="s">
        <v>266</v>
      </c>
    </row>
    <row r="525" spans="1:4" x14ac:dyDescent="0.25">
      <c r="A525" s="42">
        <v>40516.26</v>
      </c>
      <c r="B525" s="39" t="s">
        <v>2301</v>
      </c>
      <c r="C525" s="40">
        <v>5</v>
      </c>
      <c r="D525" s="38" t="s">
        <v>266</v>
      </c>
    </row>
    <row r="526" spans="1:4" x14ac:dyDescent="0.25">
      <c r="A526" s="41">
        <v>40519</v>
      </c>
      <c r="B526" s="39" t="s">
        <v>2302</v>
      </c>
      <c r="C526" s="40">
        <v>4</v>
      </c>
      <c r="D526" s="38" t="s">
        <v>266</v>
      </c>
    </row>
    <row r="527" spans="1:4" x14ac:dyDescent="0.25">
      <c r="A527" s="42">
        <v>40519.129999999997</v>
      </c>
      <c r="B527" s="39" t="s">
        <v>2303</v>
      </c>
      <c r="C527" s="40">
        <v>5</v>
      </c>
      <c r="D527" s="38" t="s">
        <v>266</v>
      </c>
    </row>
    <row r="528" spans="1:4" x14ac:dyDescent="0.25">
      <c r="A528" s="42">
        <v>40519.160000000003</v>
      </c>
      <c r="B528" s="39" t="s">
        <v>2304</v>
      </c>
      <c r="C528" s="40">
        <v>5</v>
      </c>
      <c r="D528" s="38" t="s">
        <v>266</v>
      </c>
    </row>
    <row r="529" spans="1:4" x14ac:dyDescent="0.25">
      <c r="A529" s="42">
        <v>40519.26</v>
      </c>
      <c r="B529" s="39" t="s">
        <v>2305</v>
      </c>
      <c r="C529" s="40">
        <v>5</v>
      </c>
      <c r="D529" s="38" t="s">
        <v>266</v>
      </c>
    </row>
    <row r="530" spans="1:4" x14ac:dyDescent="0.25">
      <c r="A530" s="42">
        <v>40519.29</v>
      </c>
      <c r="B530" s="39" t="s">
        <v>2306</v>
      </c>
      <c r="C530" s="40">
        <v>5</v>
      </c>
      <c r="D530" s="38" t="s">
        <v>266</v>
      </c>
    </row>
    <row r="531" spans="1:4" x14ac:dyDescent="0.25">
      <c r="A531" s="41">
        <v>40521</v>
      </c>
      <c r="B531" s="39" t="s">
        <v>2307</v>
      </c>
      <c r="C531" s="40">
        <v>4</v>
      </c>
      <c r="D531" s="38" t="s">
        <v>266</v>
      </c>
    </row>
    <row r="532" spans="1:4" x14ac:dyDescent="0.25">
      <c r="A532" s="41">
        <v>40523</v>
      </c>
      <c r="B532" s="39" t="s">
        <v>2308</v>
      </c>
      <c r="C532" s="40">
        <v>4</v>
      </c>
      <c r="D532" s="38" t="s">
        <v>266</v>
      </c>
    </row>
    <row r="533" spans="1:4" x14ac:dyDescent="0.25">
      <c r="A533" s="42">
        <v>40523.129999999997</v>
      </c>
      <c r="B533" s="39" t="s">
        <v>2309</v>
      </c>
      <c r="C533" s="40">
        <v>5</v>
      </c>
      <c r="D533" s="38" t="s">
        <v>266</v>
      </c>
    </row>
    <row r="534" spans="1:4" x14ac:dyDescent="0.25">
      <c r="A534" s="42">
        <v>40523.160000000003</v>
      </c>
      <c r="B534" s="39" t="s">
        <v>2310</v>
      </c>
      <c r="C534" s="40">
        <v>5</v>
      </c>
      <c r="D534" s="38" t="s">
        <v>266</v>
      </c>
    </row>
    <row r="535" spans="1:4" x14ac:dyDescent="0.25">
      <c r="A535" s="42">
        <v>40523.19</v>
      </c>
      <c r="B535" s="39" t="s">
        <v>2311</v>
      </c>
      <c r="C535" s="40">
        <v>5</v>
      </c>
      <c r="D535" s="38" t="s">
        <v>266</v>
      </c>
    </row>
    <row r="536" spans="1:4" x14ac:dyDescent="0.25">
      <c r="A536" s="41">
        <v>40800</v>
      </c>
      <c r="B536" s="39" t="s">
        <v>2312</v>
      </c>
      <c r="C536" s="40">
        <v>3</v>
      </c>
      <c r="D536" s="38" t="s">
        <v>266</v>
      </c>
    </row>
    <row r="537" spans="1:4" x14ac:dyDescent="0.25">
      <c r="A537" s="41">
        <v>42000</v>
      </c>
      <c r="B537" s="39" t="s">
        <v>2313</v>
      </c>
      <c r="C537" s="40">
        <v>3</v>
      </c>
      <c r="D537" s="38" t="s">
        <v>266</v>
      </c>
    </row>
    <row r="538" spans="1:4" x14ac:dyDescent="0.25">
      <c r="A538" s="41">
        <v>42100</v>
      </c>
      <c r="B538" s="39" t="s">
        <v>2314</v>
      </c>
      <c r="C538" s="40">
        <v>3</v>
      </c>
      <c r="D538" s="38" t="s">
        <v>266</v>
      </c>
    </row>
    <row r="539" spans="1:4" x14ac:dyDescent="0.25">
      <c r="A539" s="41">
        <v>42113</v>
      </c>
      <c r="B539" s="39" t="s">
        <v>2315</v>
      </c>
      <c r="C539" s="40">
        <v>4</v>
      </c>
      <c r="D539" s="38" t="s">
        <v>266</v>
      </c>
    </row>
    <row r="540" spans="1:4" x14ac:dyDescent="0.25">
      <c r="A540" s="42">
        <v>42113.13</v>
      </c>
      <c r="B540" s="39" t="s">
        <v>2316</v>
      </c>
      <c r="C540" s="40">
        <v>5</v>
      </c>
      <c r="D540" s="38" t="s">
        <v>266</v>
      </c>
    </row>
    <row r="541" spans="1:4" x14ac:dyDescent="0.25">
      <c r="A541" s="42">
        <v>42113.23</v>
      </c>
      <c r="B541" s="39" t="s">
        <v>2317</v>
      </c>
      <c r="C541" s="40">
        <v>5</v>
      </c>
      <c r="D541" s="38" t="s">
        <v>266</v>
      </c>
    </row>
    <row r="542" spans="1:4" x14ac:dyDescent="0.25">
      <c r="A542" s="41">
        <v>42116</v>
      </c>
      <c r="B542" s="39" t="s">
        <v>2318</v>
      </c>
      <c r="C542" s="40">
        <v>4</v>
      </c>
      <c r="D542" s="38" t="s">
        <v>266</v>
      </c>
    </row>
    <row r="543" spans="1:4" x14ac:dyDescent="0.25">
      <c r="A543" s="41">
        <v>42119</v>
      </c>
      <c r="B543" s="39" t="s">
        <v>2319</v>
      </c>
      <c r="C543" s="40">
        <v>4</v>
      </c>
      <c r="D543" s="38" t="s">
        <v>266</v>
      </c>
    </row>
    <row r="544" spans="1:4" x14ac:dyDescent="0.25">
      <c r="A544" s="41">
        <v>42123</v>
      </c>
      <c r="B544" s="39" t="s">
        <v>2320</v>
      </c>
      <c r="C544" s="40">
        <v>4</v>
      </c>
      <c r="D544" s="38" t="s">
        <v>266</v>
      </c>
    </row>
    <row r="545" spans="1:4" x14ac:dyDescent="0.25">
      <c r="A545" s="41">
        <v>42126</v>
      </c>
      <c r="B545" s="39" t="s">
        <v>2321</v>
      </c>
      <c r="C545" s="40">
        <v>4</v>
      </c>
      <c r="D545" s="38" t="s">
        <v>266</v>
      </c>
    </row>
    <row r="546" spans="1:4" x14ac:dyDescent="0.25">
      <c r="A546" s="41">
        <v>42129</v>
      </c>
      <c r="B546" s="39" t="s">
        <v>2322</v>
      </c>
      <c r="C546" s="40">
        <v>4</v>
      </c>
      <c r="D546" s="38" t="s">
        <v>266</v>
      </c>
    </row>
    <row r="547" spans="1:4" x14ac:dyDescent="0.25">
      <c r="A547" s="41">
        <v>42200</v>
      </c>
      <c r="B547" s="39" t="s">
        <v>2323</v>
      </c>
      <c r="C547" s="40">
        <v>3</v>
      </c>
      <c r="D547" s="38" t="s">
        <v>266</v>
      </c>
    </row>
    <row r="548" spans="1:4" x14ac:dyDescent="0.25">
      <c r="A548" s="41">
        <v>42213</v>
      </c>
      <c r="B548" s="39" t="s">
        <v>2324</v>
      </c>
      <c r="C548" s="40">
        <v>4</v>
      </c>
      <c r="D548" s="38" t="s">
        <v>266</v>
      </c>
    </row>
    <row r="549" spans="1:4" x14ac:dyDescent="0.25">
      <c r="A549" s="41">
        <v>42216</v>
      </c>
      <c r="B549" s="39" t="s">
        <v>2325</v>
      </c>
      <c r="C549" s="40">
        <v>4</v>
      </c>
      <c r="D549" s="38" t="s">
        <v>266</v>
      </c>
    </row>
    <row r="550" spans="1:4" x14ac:dyDescent="0.25">
      <c r="A550" s="41">
        <v>42219</v>
      </c>
      <c r="B550" s="39" t="s">
        <v>2326</v>
      </c>
      <c r="C550" s="40">
        <v>4</v>
      </c>
      <c r="D550" s="38" t="s">
        <v>266</v>
      </c>
    </row>
    <row r="551" spans="1:4" x14ac:dyDescent="0.25">
      <c r="A551" s="41">
        <v>42223</v>
      </c>
      <c r="B551" s="39" t="s">
        <v>2327</v>
      </c>
      <c r="C551" s="40">
        <v>4</v>
      </c>
      <c r="D551" s="38" t="s">
        <v>266</v>
      </c>
    </row>
    <row r="552" spans="1:4" x14ac:dyDescent="0.25">
      <c r="A552" s="42">
        <v>42223.13</v>
      </c>
      <c r="B552" s="39" t="s">
        <v>2328</v>
      </c>
      <c r="C552" s="40">
        <v>5</v>
      </c>
      <c r="D552" s="38" t="s">
        <v>266</v>
      </c>
    </row>
    <row r="553" spans="1:4" x14ac:dyDescent="0.25">
      <c r="A553" s="42">
        <v>42223.16</v>
      </c>
      <c r="B553" s="39" t="s">
        <v>2329</v>
      </c>
      <c r="C553" s="40">
        <v>5</v>
      </c>
      <c r="D553" s="38" t="s">
        <v>266</v>
      </c>
    </row>
    <row r="554" spans="1:4" x14ac:dyDescent="0.25">
      <c r="A554" s="42">
        <v>42223.19</v>
      </c>
      <c r="B554" s="39" t="s">
        <v>2330</v>
      </c>
      <c r="C554" s="40">
        <v>5</v>
      </c>
      <c r="D554" s="38" t="s">
        <v>266</v>
      </c>
    </row>
    <row r="555" spans="1:4" x14ac:dyDescent="0.25">
      <c r="A555" s="42">
        <v>42223.23</v>
      </c>
      <c r="B555" s="39" t="s">
        <v>2331</v>
      </c>
      <c r="C555" s="40">
        <v>5</v>
      </c>
      <c r="D555" s="38" t="s">
        <v>266</v>
      </c>
    </row>
    <row r="556" spans="1:4" x14ac:dyDescent="0.25">
      <c r="A556" s="42">
        <v>42223.26</v>
      </c>
      <c r="B556" s="39" t="s">
        <v>2332</v>
      </c>
      <c r="C556" s="40">
        <v>5</v>
      </c>
      <c r="D556" s="38" t="s">
        <v>266</v>
      </c>
    </row>
    <row r="557" spans="1:4" x14ac:dyDescent="0.25">
      <c r="A557" s="42">
        <v>42223.29</v>
      </c>
      <c r="B557" s="39" t="s">
        <v>2333</v>
      </c>
      <c r="C557" s="40">
        <v>5</v>
      </c>
      <c r="D557" s="38" t="s">
        <v>266</v>
      </c>
    </row>
    <row r="558" spans="1:4" x14ac:dyDescent="0.25">
      <c r="A558" s="41">
        <v>42226</v>
      </c>
      <c r="B558" s="39" t="s">
        <v>2334</v>
      </c>
      <c r="C558" s="40">
        <v>4</v>
      </c>
      <c r="D558" s="38" t="s">
        <v>266</v>
      </c>
    </row>
    <row r="559" spans="1:4" x14ac:dyDescent="0.25">
      <c r="A559" s="41">
        <v>42233</v>
      </c>
      <c r="B559" s="39" t="s">
        <v>2335</v>
      </c>
      <c r="C559" s="40">
        <v>4</v>
      </c>
      <c r="D559" s="38" t="s">
        <v>266</v>
      </c>
    </row>
    <row r="560" spans="1:4" x14ac:dyDescent="0.25">
      <c r="A560" s="41">
        <v>42300</v>
      </c>
      <c r="B560" s="39" t="s">
        <v>2336</v>
      </c>
      <c r="C560" s="40">
        <v>3</v>
      </c>
      <c r="D560" s="38" t="s">
        <v>266</v>
      </c>
    </row>
    <row r="561" spans="1:4" x14ac:dyDescent="0.25">
      <c r="A561" s="41">
        <v>42313</v>
      </c>
      <c r="B561" s="39" t="s">
        <v>2337</v>
      </c>
      <c r="C561" s="40">
        <v>4</v>
      </c>
      <c r="D561" s="38" t="s">
        <v>266</v>
      </c>
    </row>
    <row r="562" spans="1:4" x14ac:dyDescent="0.25">
      <c r="A562" s="41">
        <v>42316</v>
      </c>
      <c r="B562" s="39" t="s">
        <v>2338</v>
      </c>
      <c r="C562" s="40">
        <v>4</v>
      </c>
      <c r="D562" s="38" t="s">
        <v>266</v>
      </c>
    </row>
    <row r="563" spans="1:4" x14ac:dyDescent="0.25">
      <c r="A563" s="41">
        <v>42319</v>
      </c>
      <c r="B563" s="39" t="s">
        <v>2339</v>
      </c>
      <c r="C563" s="40">
        <v>4</v>
      </c>
      <c r="D563" s="38" t="s">
        <v>266</v>
      </c>
    </row>
    <row r="564" spans="1:4" x14ac:dyDescent="0.25">
      <c r="A564" s="41">
        <v>42400</v>
      </c>
      <c r="B564" s="39" t="s">
        <v>2340</v>
      </c>
      <c r="C564" s="40">
        <v>3</v>
      </c>
      <c r="D564" s="38" t="s">
        <v>266</v>
      </c>
    </row>
    <row r="565" spans="1:4" x14ac:dyDescent="0.25">
      <c r="A565" s="41">
        <v>42413</v>
      </c>
      <c r="B565" s="39" t="s">
        <v>2341</v>
      </c>
      <c r="C565" s="40">
        <v>4</v>
      </c>
      <c r="D565" s="38" t="s">
        <v>266</v>
      </c>
    </row>
    <row r="566" spans="1:4" x14ac:dyDescent="0.25">
      <c r="A566" s="41">
        <v>42416</v>
      </c>
      <c r="B566" s="39" t="s">
        <v>2342</v>
      </c>
      <c r="C566" s="40">
        <v>4</v>
      </c>
      <c r="D566" s="38" t="s">
        <v>266</v>
      </c>
    </row>
    <row r="567" spans="1:4" x14ac:dyDescent="0.25">
      <c r="A567" s="41">
        <v>42500</v>
      </c>
      <c r="B567" s="39" t="s">
        <v>2343</v>
      </c>
      <c r="C567" s="40">
        <v>3</v>
      </c>
      <c r="D567" s="38" t="s">
        <v>266</v>
      </c>
    </row>
    <row r="568" spans="1:4" x14ac:dyDescent="0.25">
      <c r="A568" s="41">
        <v>42513</v>
      </c>
      <c r="B568" s="39" t="s">
        <v>2344</v>
      </c>
      <c r="C568" s="40">
        <v>4</v>
      </c>
      <c r="D568" s="38" t="s">
        <v>266</v>
      </c>
    </row>
    <row r="569" spans="1:4" x14ac:dyDescent="0.25">
      <c r="A569" s="41">
        <v>42600</v>
      </c>
      <c r="B569" s="39" t="s">
        <v>2345</v>
      </c>
      <c r="C569" s="40">
        <v>3</v>
      </c>
      <c r="D569" s="38" t="s">
        <v>266</v>
      </c>
    </row>
    <row r="570" spans="1:4" x14ac:dyDescent="0.25">
      <c r="A570" s="41">
        <v>42613</v>
      </c>
      <c r="B570" s="39" t="s">
        <v>2346</v>
      </c>
      <c r="C570" s="40">
        <v>4</v>
      </c>
      <c r="D570" s="38" t="s">
        <v>266</v>
      </c>
    </row>
    <row r="571" spans="1:4" x14ac:dyDescent="0.25">
      <c r="A571" s="41">
        <v>42700</v>
      </c>
      <c r="B571" s="39" t="s">
        <v>2347</v>
      </c>
      <c r="C571" s="40">
        <v>3</v>
      </c>
      <c r="D571" s="38" t="s">
        <v>266</v>
      </c>
    </row>
    <row r="572" spans="1:4" x14ac:dyDescent="0.25">
      <c r="A572" s="41">
        <v>42713</v>
      </c>
      <c r="B572" s="39" t="s">
        <v>2348</v>
      </c>
      <c r="C572" s="40">
        <v>4</v>
      </c>
      <c r="D572" s="38" t="s">
        <v>266</v>
      </c>
    </row>
    <row r="573" spans="1:4" x14ac:dyDescent="0.25">
      <c r="A573" s="41">
        <v>42723</v>
      </c>
      <c r="B573" s="39" t="s">
        <v>2349</v>
      </c>
      <c r="C573" s="40">
        <v>4</v>
      </c>
      <c r="D573" s="38" t="s">
        <v>266</v>
      </c>
    </row>
    <row r="574" spans="1:4" x14ac:dyDescent="0.25">
      <c r="A574" s="41">
        <v>42800</v>
      </c>
      <c r="B574" s="39" t="s">
        <v>2350</v>
      </c>
      <c r="C574" s="40">
        <v>3</v>
      </c>
      <c r="D574" s="38" t="s">
        <v>266</v>
      </c>
    </row>
    <row r="575" spans="1:4" x14ac:dyDescent="0.25">
      <c r="A575" s="41">
        <v>42813</v>
      </c>
      <c r="B575" s="39" t="s">
        <v>2351</v>
      </c>
      <c r="C575" s="40">
        <v>4</v>
      </c>
      <c r="D575" s="38" t="s">
        <v>266</v>
      </c>
    </row>
    <row r="576" spans="1:4" x14ac:dyDescent="0.25">
      <c r="A576" s="41">
        <v>42823</v>
      </c>
      <c r="B576" s="39" t="s">
        <v>2352</v>
      </c>
      <c r="C576" s="40">
        <v>4</v>
      </c>
      <c r="D576" s="38" t="s">
        <v>266</v>
      </c>
    </row>
    <row r="577" spans="1:4" x14ac:dyDescent="0.25">
      <c r="A577" s="41">
        <v>42900</v>
      </c>
      <c r="B577" s="39" t="s">
        <v>2353</v>
      </c>
      <c r="C577" s="40">
        <v>3</v>
      </c>
      <c r="D577" s="38" t="s">
        <v>266</v>
      </c>
    </row>
    <row r="578" spans="1:4" x14ac:dyDescent="0.25">
      <c r="A578" s="41">
        <v>44000</v>
      </c>
      <c r="B578" s="39" t="s">
        <v>2354</v>
      </c>
      <c r="C578" s="40">
        <v>3</v>
      </c>
      <c r="D578" s="38" t="s">
        <v>266</v>
      </c>
    </row>
    <row r="579" spans="1:4" x14ac:dyDescent="0.25">
      <c r="A579" s="41">
        <v>44100</v>
      </c>
      <c r="B579" s="39" t="s">
        <v>2355</v>
      </c>
      <c r="C579" s="40">
        <v>3</v>
      </c>
      <c r="D579" s="38" t="s">
        <v>266</v>
      </c>
    </row>
    <row r="580" spans="1:4" x14ac:dyDescent="0.25">
      <c r="A580" s="41">
        <v>44200</v>
      </c>
      <c r="B580" s="39" t="s">
        <v>2356</v>
      </c>
      <c r="C580" s="40">
        <v>3</v>
      </c>
      <c r="D580" s="38" t="s">
        <v>266</v>
      </c>
    </row>
    <row r="581" spans="1:4" x14ac:dyDescent="0.25">
      <c r="A581" s="41">
        <v>44213</v>
      </c>
      <c r="B581" s="39" t="s">
        <v>2357</v>
      </c>
      <c r="C581" s="40">
        <v>4</v>
      </c>
      <c r="D581" s="38" t="s">
        <v>266</v>
      </c>
    </row>
    <row r="582" spans="1:4" x14ac:dyDescent="0.25">
      <c r="A582" s="41">
        <v>44216</v>
      </c>
      <c r="B582" s="39" t="s">
        <v>2358</v>
      </c>
      <c r="C582" s="40">
        <v>4</v>
      </c>
      <c r="D582" s="38" t="s">
        <v>266</v>
      </c>
    </row>
    <row r="583" spans="1:4" x14ac:dyDescent="0.25">
      <c r="A583" s="41">
        <v>44219</v>
      </c>
      <c r="B583" s="39" t="s">
        <v>2359</v>
      </c>
      <c r="C583" s="40">
        <v>4</v>
      </c>
      <c r="D583" s="38" t="s">
        <v>266</v>
      </c>
    </row>
    <row r="584" spans="1:4" x14ac:dyDescent="0.25">
      <c r="A584" s="41">
        <v>44223</v>
      </c>
      <c r="B584" s="39" t="s">
        <v>2360</v>
      </c>
      <c r="C584" s="40">
        <v>4</v>
      </c>
      <c r="D584" s="38" t="s">
        <v>266</v>
      </c>
    </row>
    <row r="585" spans="1:4" x14ac:dyDescent="0.25">
      <c r="A585" s="41">
        <v>44226</v>
      </c>
      <c r="B585" s="39" t="s">
        <v>2361</v>
      </c>
      <c r="C585" s="40">
        <v>4</v>
      </c>
      <c r="D585" s="38" t="s">
        <v>266</v>
      </c>
    </row>
    <row r="586" spans="1:4" x14ac:dyDescent="0.25">
      <c r="A586" s="41">
        <v>44243</v>
      </c>
      <c r="B586" s="39" t="s">
        <v>2362</v>
      </c>
      <c r="C586" s="40">
        <v>4</v>
      </c>
      <c r="D586" s="38" t="s">
        <v>266</v>
      </c>
    </row>
    <row r="587" spans="1:4" x14ac:dyDescent="0.25">
      <c r="A587" s="41">
        <v>44300</v>
      </c>
      <c r="B587" s="39" t="s">
        <v>2363</v>
      </c>
      <c r="C587" s="40">
        <v>3</v>
      </c>
      <c r="D587" s="38" t="s">
        <v>266</v>
      </c>
    </row>
    <row r="588" spans="1:4" x14ac:dyDescent="0.25">
      <c r="A588" s="41">
        <v>44313</v>
      </c>
      <c r="B588" s="39" t="s">
        <v>2364</v>
      </c>
      <c r="C588" s="40">
        <v>4</v>
      </c>
      <c r="D588" s="38" t="s">
        <v>266</v>
      </c>
    </row>
    <row r="589" spans="1:4" x14ac:dyDescent="0.25">
      <c r="A589" s="42">
        <v>44313.13</v>
      </c>
      <c r="B589" s="39" t="s">
        <v>2365</v>
      </c>
      <c r="C589" s="40">
        <v>5</v>
      </c>
      <c r="D589" s="38" t="s">
        <v>266</v>
      </c>
    </row>
    <row r="590" spans="1:4" x14ac:dyDescent="0.25">
      <c r="A590" s="42">
        <v>44313.16</v>
      </c>
      <c r="B590" s="39" t="s">
        <v>2366</v>
      </c>
      <c r="C590" s="40">
        <v>5</v>
      </c>
      <c r="D590" s="38" t="s">
        <v>266</v>
      </c>
    </row>
    <row r="591" spans="1:4" x14ac:dyDescent="0.25">
      <c r="A591" s="41">
        <v>45000</v>
      </c>
      <c r="B591" s="39" t="s">
        <v>2367</v>
      </c>
      <c r="C591" s="40">
        <v>3</v>
      </c>
      <c r="D591" s="38" t="s">
        <v>266</v>
      </c>
    </row>
    <row r="592" spans="1:4" x14ac:dyDescent="0.25">
      <c r="A592" s="41">
        <v>45100</v>
      </c>
      <c r="B592" s="39" t="s">
        <v>2368</v>
      </c>
      <c r="C592" s="40">
        <v>3</v>
      </c>
      <c r="D592" s="38" t="s">
        <v>266</v>
      </c>
    </row>
    <row r="593" spans="1:4" x14ac:dyDescent="0.25">
      <c r="A593" s="41">
        <v>45200</v>
      </c>
      <c r="B593" s="39" t="s">
        <v>2369</v>
      </c>
      <c r="C593" s="40">
        <v>3</v>
      </c>
      <c r="D593" s="38" t="s">
        <v>266</v>
      </c>
    </row>
    <row r="594" spans="1:4" x14ac:dyDescent="0.25">
      <c r="A594" s="41">
        <v>45300</v>
      </c>
      <c r="B594" s="39" t="s">
        <v>2370</v>
      </c>
      <c r="C594" s="40">
        <v>3</v>
      </c>
      <c r="D594" s="38" t="s">
        <v>266</v>
      </c>
    </row>
    <row r="595" spans="1:4" x14ac:dyDescent="0.25">
      <c r="A595" s="41">
        <v>45400</v>
      </c>
      <c r="B595" s="39" t="s">
        <v>2371</v>
      </c>
      <c r="C595" s="40">
        <v>3</v>
      </c>
      <c r="D595" s="38" t="s">
        <v>266</v>
      </c>
    </row>
    <row r="596" spans="1:4" x14ac:dyDescent="0.25">
      <c r="A596" s="41">
        <v>45700</v>
      </c>
      <c r="B596" s="39" t="s">
        <v>2372</v>
      </c>
      <c r="C596" s="40">
        <v>3</v>
      </c>
      <c r="D596" s="38" t="s">
        <v>266</v>
      </c>
    </row>
    <row r="597" spans="1:4" x14ac:dyDescent="0.25">
      <c r="A597" s="41">
        <v>45733</v>
      </c>
      <c r="B597" s="39" t="s">
        <v>2373</v>
      </c>
      <c r="C597" s="40">
        <v>4</v>
      </c>
      <c r="D597" s="38" t="s">
        <v>266</v>
      </c>
    </row>
    <row r="598" spans="1:4" x14ac:dyDescent="0.25">
      <c r="A598" s="41">
        <v>46000</v>
      </c>
      <c r="B598" s="39" t="s">
        <v>2374</v>
      </c>
      <c r="C598" s="40">
        <v>3</v>
      </c>
      <c r="D598" s="38" t="s">
        <v>266</v>
      </c>
    </row>
    <row r="599" spans="1:4" x14ac:dyDescent="0.25">
      <c r="A599" s="41">
        <v>46100</v>
      </c>
      <c r="B599" s="39" t="s">
        <v>2375</v>
      </c>
      <c r="C599" s="40">
        <v>3</v>
      </c>
      <c r="D599" s="38" t="s">
        <v>266</v>
      </c>
    </row>
    <row r="600" spans="1:4" x14ac:dyDescent="0.25">
      <c r="A600" s="41">
        <v>46200</v>
      </c>
      <c r="B600" s="39" t="s">
        <v>2376</v>
      </c>
      <c r="C600" s="40">
        <v>3</v>
      </c>
      <c r="D600" s="38" t="s">
        <v>266</v>
      </c>
    </row>
    <row r="601" spans="1:4" x14ac:dyDescent="0.25">
      <c r="A601" s="41">
        <v>47000</v>
      </c>
      <c r="B601" s="39" t="s">
        <v>2377</v>
      </c>
      <c r="C601" s="40">
        <v>3</v>
      </c>
      <c r="D601" s="38" t="s">
        <v>266</v>
      </c>
    </row>
    <row r="602" spans="1:4" x14ac:dyDescent="0.25">
      <c r="A602" s="41">
        <v>47100</v>
      </c>
      <c r="B602" s="39" t="s">
        <v>2378</v>
      </c>
      <c r="C602" s="40">
        <v>3</v>
      </c>
      <c r="D602" s="38" t="s">
        <v>266</v>
      </c>
    </row>
    <row r="603" spans="1:4" x14ac:dyDescent="0.25">
      <c r="A603" s="41">
        <v>47113</v>
      </c>
      <c r="B603" s="39" t="s">
        <v>2379</v>
      </c>
      <c r="C603" s="40">
        <v>4</v>
      </c>
      <c r="D603" s="38" t="s">
        <v>266</v>
      </c>
    </row>
    <row r="604" spans="1:4" x14ac:dyDescent="0.25">
      <c r="A604" s="41">
        <v>47200</v>
      </c>
      <c r="B604" s="39" t="s">
        <v>2380</v>
      </c>
      <c r="C604" s="40">
        <v>3</v>
      </c>
      <c r="D604" s="38" t="s">
        <v>266</v>
      </c>
    </row>
    <row r="605" spans="1:4" x14ac:dyDescent="0.25">
      <c r="A605" s="41">
        <v>47300</v>
      </c>
      <c r="B605" s="39" t="s">
        <v>2381</v>
      </c>
      <c r="C605" s="40">
        <v>3</v>
      </c>
      <c r="D605" s="38" t="s">
        <v>266</v>
      </c>
    </row>
    <row r="606" spans="1:4" x14ac:dyDescent="0.25">
      <c r="A606" s="41">
        <v>47313</v>
      </c>
      <c r="B606" s="39" t="s">
        <v>2382</v>
      </c>
      <c r="C606" s="40">
        <v>4</v>
      </c>
      <c r="D606" s="38" t="s">
        <v>266</v>
      </c>
    </row>
    <row r="607" spans="1:4" x14ac:dyDescent="0.25">
      <c r="A607" s="41">
        <v>50000</v>
      </c>
      <c r="B607" s="39" t="s">
        <v>2383</v>
      </c>
      <c r="C607" s="40">
        <v>2</v>
      </c>
      <c r="D607" s="38" t="s">
        <v>266</v>
      </c>
    </row>
    <row r="608" spans="1:4" x14ac:dyDescent="0.25">
      <c r="A608" s="41">
        <v>50100</v>
      </c>
      <c r="B608" s="39" t="s">
        <v>2384</v>
      </c>
      <c r="C608" s="40">
        <v>3</v>
      </c>
      <c r="D608" s="38" t="s">
        <v>266</v>
      </c>
    </row>
    <row r="609" spans="1:4" x14ac:dyDescent="0.25">
      <c r="A609" s="41">
        <v>50110</v>
      </c>
      <c r="B609" s="39" t="s">
        <v>2385</v>
      </c>
      <c r="C609" s="40">
        <v>4</v>
      </c>
      <c r="D609" s="38" t="s">
        <v>266</v>
      </c>
    </row>
    <row r="610" spans="1:4" x14ac:dyDescent="0.25">
      <c r="A610" s="41">
        <v>50120</v>
      </c>
      <c r="B610" s="39" t="s">
        <v>2386</v>
      </c>
      <c r="C610" s="40">
        <v>4</v>
      </c>
      <c r="D610" s="38" t="s">
        <v>266</v>
      </c>
    </row>
    <row r="611" spans="1:4" x14ac:dyDescent="0.25">
      <c r="A611" s="41">
        <v>50130</v>
      </c>
      <c r="B611" s="39" t="s">
        <v>2387</v>
      </c>
      <c r="C611" s="40">
        <v>4</v>
      </c>
      <c r="D611" s="38" t="s">
        <v>266</v>
      </c>
    </row>
    <row r="612" spans="1:4" x14ac:dyDescent="0.25">
      <c r="A612" s="41">
        <v>50140</v>
      </c>
      <c r="B612" s="39" t="s">
        <v>2388</v>
      </c>
      <c r="C612" s="40">
        <v>4</v>
      </c>
      <c r="D612" s="38" t="s">
        <v>266</v>
      </c>
    </row>
    <row r="613" spans="1:4" x14ac:dyDescent="0.25">
      <c r="A613" s="41">
        <v>50150</v>
      </c>
      <c r="B613" s="39" t="s">
        <v>2389</v>
      </c>
      <c r="C613" s="40">
        <v>4</v>
      </c>
      <c r="D613" s="38" t="s">
        <v>266</v>
      </c>
    </row>
    <row r="614" spans="1:4" x14ac:dyDescent="0.25">
      <c r="A614" s="41">
        <v>50170</v>
      </c>
      <c r="B614" s="39" t="s">
        <v>2390</v>
      </c>
      <c r="C614" s="40">
        <v>4</v>
      </c>
      <c r="D614" s="38" t="s">
        <v>266</v>
      </c>
    </row>
    <row r="615" spans="1:4" x14ac:dyDescent="0.25">
      <c r="A615" s="42">
        <v>50170.91</v>
      </c>
      <c r="B615" s="39" t="s">
        <v>2391</v>
      </c>
      <c r="C615" s="40">
        <v>5</v>
      </c>
      <c r="D615" s="38" t="s">
        <v>266</v>
      </c>
    </row>
    <row r="616" spans="1:4" x14ac:dyDescent="0.25">
      <c r="A616" s="41">
        <v>50500</v>
      </c>
      <c r="B616" s="39" t="s">
        <v>2392</v>
      </c>
      <c r="C616" s="40">
        <v>3</v>
      </c>
      <c r="D616" s="38" t="s">
        <v>266</v>
      </c>
    </row>
    <row r="617" spans="1:4" x14ac:dyDescent="0.25">
      <c r="A617" s="41">
        <v>50513</v>
      </c>
      <c r="B617" s="39" t="s">
        <v>2393</v>
      </c>
      <c r="C617" s="40">
        <v>4</v>
      </c>
      <c r="D617" s="38" t="s">
        <v>266</v>
      </c>
    </row>
    <row r="618" spans="1:4" x14ac:dyDescent="0.25">
      <c r="A618" s="41">
        <v>50523</v>
      </c>
      <c r="B618" s="39" t="s">
        <v>2394</v>
      </c>
      <c r="C618" s="40">
        <v>4</v>
      </c>
      <c r="D618" s="38" t="s">
        <v>266</v>
      </c>
    </row>
    <row r="619" spans="1:4" x14ac:dyDescent="0.25">
      <c r="A619" s="41">
        <v>50553</v>
      </c>
      <c r="B619" s="39" t="s">
        <v>2395</v>
      </c>
      <c r="C619" s="40">
        <v>4</v>
      </c>
      <c r="D619" s="38" t="s">
        <v>266</v>
      </c>
    </row>
    <row r="620" spans="1:4" x14ac:dyDescent="0.25">
      <c r="A620" s="41">
        <v>50800</v>
      </c>
      <c r="B620" s="39" t="s">
        <v>2396</v>
      </c>
      <c r="C620" s="40">
        <v>3</v>
      </c>
      <c r="D620" s="38" t="s">
        <v>266</v>
      </c>
    </row>
    <row r="621" spans="1:4" x14ac:dyDescent="0.25">
      <c r="A621" s="41">
        <v>51000</v>
      </c>
      <c r="B621" s="39" t="s">
        <v>2397</v>
      </c>
      <c r="C621" s="40">
        <v>3</v>
      </c>
      <c r="D621" s="38" t="s">
        <v>266</v>
      </c>
    </row>
    <row r="622" spans="1:4" x14ac:dyDescent="0.25">
      <c r="A622" s="41">
        <v>51200</v>
      </c>
      <c r="B622" s="39" t="s">
        <v>2398</v>
      </c>
      <c r="C622" s="40">
        <v>3</v>
      </c>
      <c r="D622" s="38" t="s">
        <v>266</v>
      </c>
    </row>
    <row r="623" spans="1:4" x14ac:dyDescent="0.25">
      <c r="A623" s="41">
        <v>51213</v>
      </c>
      <c r="B623" s="39" t="s">
        <v>2399</v>
      </c>
      <c r="C623" s="40">
        <v>4</v>
      </c>
      <c r="D623" s="38" t="s">
        <v>266</v>
      </c>
    </row>
    <row r="624" spans="1:4" x14ac:dyDescent="0.25">
      <c r="A624" s="41">
        <v>51216</v>
      </c>
      <c r="B624" s="39" t="s">
        <v>2400</v>
      </c>
      <c r="C624" s="40">
        <v>4</v>
      </c>
      <c r="D624" s="38" t="s">
        <v>266</v>
      </c>
    </row>
    <row r="625" spans="1:4" x14ac:dyDescent="0.25">
      <c r="A625" s="41">
        <v>51219</v>
      </c>
      <c r="B625" s="39" t="s">
        <v>2401</v>
      </c>
      <c r="C625" s="40">
        <v>4</v>
      </c>
      <c r="D625" s="38" t="s">
        <v>266</v>
      </c>
    </row>
    <row r="626" spans="1:4" x14ac:dyDescent="0.25">
      <c r="A626" s="41">
        <v>51223</v>
      </c>
      <c r="B626" s="39" t="s">
        <v>2402</v>
      </c>
      <c r="C626" s="40">
        <v>4</v>
      </c>
      <c r="D626" s="38" t="s">
        <v>266</v>
      </c>
    </row>
    <row r="627" spans="1:4" x14ac:dyDescent="0.25">
      <c r="A627" s="41">
        <v>51233</v>
      </c>
      <c r="B627" s="39" t="s">
        <v>2403</v>
      </c>
      <c r="C627" s="40">
        <v>4</v>
      </c>
      <c r="D627" s="38" t="s">
        <v>266</v>
      </c>
    </row>
    <row r="628" spans="1:4" x14ac:dyDescent="0.25">
      <c r="A628" s="41">
        <v>51300</v>
      </c>
      <c r="B628" s="39" t="s">
        <v>2404</v>
      </c>
      <c r="C628" s="40">
        <v>3</v>
      </c>
      <c r="D628" s="38" t="s">
        <v>266</v>
      </c>
    </row>
    <row r="629" spans="1:4" x14ac:dyDescent="0.25">
      <c r="A629" s="41">
        <v>51400</v>
      </c>
      <c r="B629" s="39" t="s">
        <v>2405</v>
      </c>
      <c r="C629" s="40">
        <v>3</v>
      </c>
      <c r="D629" s="38" t="s">
        <v>266</v>
      </c>
    </row>
    <row r="630" spans="1:4" x14ac:dyDescent="0.25">
      <c r="A630" s="41">
        <v>51413</v>
      </c>
      <c r="B630" s="39" t="s">
        <v>2406</v>
      </c>
      <c r="C630" s="40">
        <v>4</v>
      </c>
      <c r="D630" s="38" t="s">
        <v>266</v>
      </c>
    </row>
    <row r="631" spans="1:4" x14ac:dyDescent="0.25">
      <c r="A631" s="41">
        <v>51500</v>
      </c>
      <c r="B631" s="39" t="s">
        <v>2407</v>
      </c>
      <c r="C631" s="40">
        <v>3</v>
      </c>
      <c r="D631" s="38" t="s">
        <v>266</v>
      </c>
    </row>
    <row r="632" spans="1:4" x14ac:dyDescent="0.25">
      <c r="A632" s="41">
        <v>51513</v>
      </c>
      <c r="B632" s="39" t="s">
        <v>2408</v>
      </c>
      <c r="C632" s="40">
        <v>4</v>
      </c>
      <c r="D632" s="38" t="s">
        <v>266</v>
      </c>
    </row>
    <row r="633" spans="1:4" x14ac:dyDescent="0.25">
      <c r="A633" s="41">
        <v>51516</v>
      </c>
      <c r="B633" s="39" t="s">
        <v>2409</v>
      </c>
      <c r="C633" s="40">
        <v>4</v>
      </c>
      <c r="D633" s="38" t="s">
        <v>266</v>
      </c>
    </row>
    <row r="634" spans="1:4" x14ac:dyDescent="0.25">
      <c r="A634" s="41">
        <v>51519</v>
      </c>
      <c r="B634" s="39" t="s">
        <v>2410</v>
      </c>
      <c r="C634" s="40">
        <v>4</v>
      </c>
      <c r="D634" s="38" t="s">
        <v>266</v>
      </c>
    </row>
    <row r="635" spans="1:4" x14ac:dyDescent="0.25">
      <c r="A635" s="41">
        <v>51600</v>
      </c>
      <c r="B635" s="39" t="s">
        <v>2411</v>
      </c>
      <c r="C635" s="40">
        <v>3</v>
      </c>
      <c r="D635" s="38" t="s">
        <v>266</v>
      </c>
    </row>
    <row r="636" spans="1:4" x14ac:dyDescent="0.25">
      <c r="A636" s="41">
        <v>51613</v>
      </c>
      <c r="B636" s="39" t="s">
        <v>2412</v>
      </c>
      <c r="C636" s="40">
        <v>4</v>
      </c>
      <c r="D636" s="38" t="s">
        <v>266</v>
      </c>
    </row>
    <row r="637" spans="1:4" x14ac:dyDescent="0.25">
      <c r="A637" s="41">
        <v>51633</v>
      </c>
      <c r="B637" s="39" t="s">
        <v>2413</v>
      </c>
      <c r="C637" s="40">
        <v>4</v>
      </c>
      <c r="D637" s="38" t="s">
        <v>266</v>
      </c>
    </row>
    <row r="638" spans="1:4" x14ac:dyDescent="0.25">
      <c r="A638" s="41">
        <v>51700</v>
      </c>
      <c r="B638" s="39" t="s">
        <v>2414</v>
      </c>
      <c r="C638" s="40">
        <v>3</v>
      </c>
      <c r="D638" s="38" t="s">
        <v>266</v>
      </c>
    </row>
    <row r="639" spans="1:4" x14ac:dyDescent="0.25">
      <c r="A639" s="41">
        <v>51900</v>
      </c>
      <c r="B639" s="39" t="s">
        <v>2415</v>
      </c>
      <c r="C639" s="40">
        <v>3</v>
      </c>
      <c r="D639" s="38" t="s">
        <v>266</v>
      </c>
    </row>
    <row r="640" spans="1:4" x14ac:dyDescent="0.25">
      <c r="A640" s="41">
        <v>51913</v>
      </c>
      <c r="B640" s="39" t="s">
        <v>2416</v>
      </c>
      <c r="C640" s="40">
        <v>4</v>
      </c>
      <c r="D640" s="38" t="s">
        <v>266</v>
      </c>
    </row>
    <row r="641" spans="1:4" x14ac:dyDescent="0.25">
      <c r="A641" s="41">
        <v>51919</v>
      </c>
      <c r="B641" s="39" t="s">
        <v>2417</v>
      </c>
      <c r="C641" s="40">
        <v>4</v>
      </c>
      <c r="D641" s="38" t="s">
        <v>266</v>
      </c>
    </row>
    <row r="642" spans="1:4" x14ac:dyDescent="0.25">
      <c r="A642" s="41">
        <v>52000</v>
      </c>
      <c r="B642" s="39" t="s">
        <v>2418</v>
      </c>
      <c r="C642" s="40">
        <v>3</v>
      </c>
      <c r="D642" s="38" t="s">
        <v>266</v>
      </c>
    </row>
    <row r="643" spans="1:4" x14ac:dyDescent="0.25">
      <c r="A643" s="41">
        <v>52100</v>
      </c>
      <c r="B643" s="39" t="s">
        <v>2419</v>
      </c>
      <c r="C643" s="40">
        <v>3</v>
      </c>
      <c r="D643" s="38" t="s">
        <v>266</v>
      </c>
    </row>
    <row r="644" spans="1:4" x14ac:dyDescent="0.25">
      <c r="A644" s="41">
        <v>52113</v>
      </c>
      <c r="B644" s="39" t="s">
        <v>2420</v>
      </c>
      <c r="C644" s="40">
        <v>4</v>
      </c>
      <c r="D644" s="38" t="s">
        <v>266</v>
      </c>
    </row>
    <row r="645" spans="1:4" x14ac:dyDescent="0.25">
      <c r="A645" s="41">
        <v>52116</v>
      </c>
      <c r="B645" s="39" t="s">
        <v>2421</v>
      </c>
      <c r="C645" s="40">
        <v>4</v>
      </c>
      <c r="D645" s="38" t="s">
        <v>266</v>
      </c>
    </row>
    <row r="646" spans="1:4" x14ac:dyDescent="0.25">
      <c r="A646" s="41">
        <v>52119</v>
      </c>
      <c r="B646" s="39" t="s">
        <v>2422</v>
      </c>
      <c r="C646" s="40">
        <v>4</v>
      </c>
      <c r="D646" s="38" t="s">
        <v>266</v>
      </c>
    </row>
    <row r="647" spans="1:4" x14ac:dyDescent="0.25">
      <c r="A647" s="41">
        <v>52123</v>
      </c>
      <c r="B647" s="39" t="s">
        <v>2423</v>
      </c>
      <c r="C647" s="40">
        <v>4</v>
      </c>
      <c r="D647" s="38" t="s">
        <v>266</v>
      </c>
    </row>
    <row r="648" spans="1:4" x14ac:dyDescent="0.25">
      <c r="A648" s="41">
        <v>52500</v>
      </c>
      <c r="B648" s="39" t="s">
        <v>2424</v>
      </c>
      <c r="C648" s="40">
        <v>3</v>
      </c>
      <c r="D648" s="38" t="s">
        <v>266</v>
      </c>
    </row>
    <row r="649" spans="1:4" x14ac:dyDescent="0.25">
      <c r="A649" s="41">
        <v>53000</v>
      </c>
      <c r="B649" s="39" t="s">
        <v>2425</v>
      </c>
      <c r="C649" s="40">
        <v>3</v>
      </c>
      <c r="D649" s="38" t="s">
        <v>266</v>
      </c>
    </row>
    <row r="650" spans="1:4" x14ac:dyDescent="0.25">
      <c r="A650" s="41">
        <v>53100</v>
      </c>
      <c r="B650" s="39" t="s">
        <v>2426</v>
      </c>
      <c r="C650" s="40">
        <v>3</v>
      </c>
      <c r="D650" s="38" t="s">
        <v>266</v>
      </c>
    </row>
    <row r="651" spans="1:4" x14ac:dyDescent="0.25">
      <c r="A651" s="41">
        <v>53113</v>
      </c>
      <c r="B651" s="39" t="s">
        <v>2427</v>
      </c>
      <c r="C651" s="40">
        <v>4</v>
      </c>
      <c r="D651" s="38" t="s">
        <v>266</v>
      </c>
    </row>
    <row r="652" spans="1:4" x14ac:dyDescent="0.25">
      <c r="A652" s="41">
        <v>53123</v>
      </c>
      <c r="B652" s="39" t="s">
        <v>2428</v>
      </c>
      <c r="C652" s="40">
        <v>4</v>
      </c>
      <c r="D652" s="38" t="s">
        <v>266</v>
      </c>
    </row>
    <row r="653" spans="1:4" x14ac:dyDescent="0.25">
      <c r="A653" s="41">
        <v>53133</v>
      </c>
      <c r="B653" s="39" t="s">
        <v>2429</v>
      </c>
      <c r="C653" s="40">
        <v>4</v>
      </c>
      <c r="D653" s="38" t="s">
        <v>266</v>
      </c>
    </row>
    <row r="654" spans="1:4" x14ac:dyDescent="0.25">
      <c r="A654" s="41">
        <v>53300</v>
      </c>
      <c r="B654" s="39" t="s">
        <v>2430</v>
      </c>
      <c r="C654" s="40">
        <v>3</v>
      </c>
      <c r="D654" s="38" t="s">
        <v>266</v>
      </c>
    </row>
    <row r="655" spans="1:4" x14ac:dyDescent="0.25">
      <c r="A655" s="41">
        <v>53313</v>
      </c>
      <c r="B655" s="39" t="s">
        <v>2431</v>
      </c>
      <c r="C655" s="40">
        <v>4</v>
      </c>
      <c r="D655" s="38" t="s">
        <v>266</v>
      </c>
    </row>
    <row r="656" spans="1:4" x14ac:dyDescent="0.25">
      <c r="A656" s="41">
        <v>53323</v>
      </c>
      <c r="B656" s="39" t="s">
        <v>2432</v>
      </c>
      <c r="C656" s="40">
        <v>4</v>
      </c>
      <c r="D656" s="38" t="s">
        <v>266</v>
      </c>
    </row>
    <row r="657" spans="1:4" x14ac:dyDescent="0.25">
      <c r="A657" s="41">
        <v>53400</v>
      </c>
      <c r="B657" s="39" t="s">
        <v>2433</v>
      </c>
      <c r="C657" s="40">
        <v>3</v>
      </c>
      <c r="D657" s="38" t="s">
        <v>266</v>
      </c>
    </row>
    <row r="658" spans="1:4" x14ac:dyDescent="0.25">
      <c r="A658" s="41">
        <v>53500</v>
      </c>
      <c r="B658" s="39" t="s">
        <v>2434</v>
      </c>
      <c r="C658" s="40">
        <v>3</v>
      </c>
      <c r="D658" s="38" t="s">
        <v>266</v>
      </c>
    </row>
    <row r="659" spans="1:4" x14ac:dyDescent="0.25">
      <c r="A659" s="41">
        <v>53600</v>
      </c>
      <c r="B659" s="39" t="s">
        <v>2435</v>
      </c>
      <c r="C659" s="40">
        <v>3</v>
      </c>
      <c r="D659" s="38" t="s">
        <v>266</v>
      </c>
    </row>
    <row r="660" spans="1:4" x14ac:dyDescent="0.25">
      <c r="A660" s="41">
        <v>53613</v>
      </c>
      <c r="B660" s="39" t="s">
        <v>2436</v>
      </c>
      <c r="C660" s="40">
        <v>4</v>
      </c>
      <c r="D660" s="38" t="s">
        <v>266</v>
      </c>
    </row>
    <row r="661" spans="1:4" x14ac:dyDescent="0.25">
      <c r="A661" s="41">
        <v>54000</v>
      </c>
      <c r="B661" s="39" t="s">
        <v>2437</v>
      </c>
      <c r="C661" s="40">
        <v>3</v>
      </c>
      <c r="D661" s="38" t="s">
        <v>266</v>
      </c>
    </row>
    <row r="662" spans="1:4" x14ac:dyDescent="0.25">
      <c r="A662" s="41">
        <v>54100</v>
      </c>
      <c r="B662" s="39" t="s">
        <v>2438</v>
      </c>
      <c r="C662" s="40">
        <v>3</v>
      </c>
      <c r="D662" s="38" t="s">
        <v>266</v>
      </c>
    </row>
    <row r="663" spans="1:4" x14ac:dyDescent="0.25">
      <c r="A663" s="41">
        <v>54200</v>
      </c>
      <c r="B663" s="39" t="s">
        <v>2439</v>
      </c>
      <c r="C663" s="40">
        <v>3</v>
      </c>
      <c r="D663" s="38" t="s">
        <v>266</v>
      </c>
    </row>
    <row r="664" spans="1:4" x14ac:dyDescent="0.25">
      <c r="A664" s="41">
        <v>54213</v>
      </c>
      <c r="B664" s="39" t="s">
        <v>2440</v>
      </c>
      <c r="C664" s="40">
        <v>4</v>
      </c>
      <c r="D664" s="38" t="s">
        <v>266</v>
      </c>
    </row>
    <row r="665" spans="1:4" x14ac:dyDescent="0.25">
      <c r="A665" s="41">
        <v>54223</v>
      </c>
      <c r="B665" s="39" t="s">
        <v>2441</v>
      </c>
      <c r="C665" s="40">
        <v>4</v>
      </c>
      <c r="D665" s="38" t="s">
        <v>266</v>
      </c>
    </row>
    <row r="666" spans="1:4" x14ac:dyDescent="0.25">
      <c r="A666" s="41">
        <v>54300</v>
      </c>
      <c r="B666" s="39" t="s">
        <v>2442</v>
      </c>
      <c r="C666" s="40">
        <v>3</v>
      </c>
      <c r="D666" s="38" t="s">
        <v>266</v>
      </c>
    </row>
    <row r="667" spans="1:4" x14ac:dyDescent="0.25">
      <c r="A667" s="41">
        <v>54400</v>
      </c>
      <c r="B667" s="39" t="s">
        <v>2443</v>
      </c>
      <c r="C667" s="40">
        <v>3</v>
      </c>
      <c r="D667" s="38" t="s">
        <v>266</v>
      </c>
    </row>
    <row r="668" spans="1:4" x14ac:dyDescent="0.25">
      <c r="A668" s="41">
        <v>54413</v>
      </c>
      <c r="B668" s="39" t="s">
        <v>2444</v>
      </c>
      <c r="C668" s="40">
        <v>4</v>
      </c>
      <c r="D668" s="38" t="s">
        <v>266</v>
      </c>
    </row>
    <row r="669" spans="1:4" x14ac:dyDescent="0.25">
      <c r="A669" s="41">
        <v>54500</v>
      </c>
      <c r="B669" s="39" t="s">
        <v>2445</v>
      </c>
      <c r="C669" s="40">
        <v>3</v>
      </c>
      <c r="D669" s="38" t="s">
        <v>266</v>
      </c>
    </row>
    <row r="670" spans="1:4" x14ac:dyDescent="0.25">
      <c r="A670" s="41">
        <v>54513</v>
      </c>
      <c r="B670" s="39" t="s">
        <v>2446</v>
      </c>
      <c r="C670" s="40">
        <v>4</v>
      </c>
      <c r="D670" s="38" t="s">
        <v>266</v>
      </c>
    </row>
    <row r="671" spans="1:4" x14ac:dyDescent="0.25">
      <c r="A671" s="41">
        <v>54516</v>
      </c>
      <c r="B671" s="39" t="s">
        <v>2447</v>
      </c>
      <c r="C671" s="40">
        <v>4</v>
      </c>
      <c r="D671" s="38" t="s">
        <v>266</v>
      </c>
    </row>
    <row r="672" spans="1:4" x14ac:dyDescent="0.25">
      <c r="A672" s="41">
        <v>54519</v>
      </c>
      <c r="B672" s="39" t="s">
        <v>2448</v>
      </c>
      <c r="C672" s="40">
        <v>4</v>
      </c>
      <c r="D672" s="38" t="s">
        <v>266</v>
      </c>
    </row>
    <row r="673" spans="1:4" x14ac:dyDescent="0.25">
      <c r="A673" s="41">
        <v>54523</v>
      </c>
      <c r="B673" s="39" t="s">
        <v>2449</v>
      </c>
      <c r="C673" s="40">
        <v>4</v>
      </c>
      <c r="D673" s="38" t="s">
        <v>266</v>
      </c>
    </row>
    <row r="674" spans="1:4" x14ac:dyDescent="0.25">
      <c r="A674" s="41">
        <v>55000</v>
      </c>
      <c r="B674" s="39" t="s">
        <v>2450</v>
      </c>
      <c r="C674" s="40">
        <v>3</v>
      </c>
      <c r="D674" s="38" t="s">
        <v>266</v>
      </c>
    </row>
    <row r="675" spans="1:4" x14ac:dyDescent="0.25">
      <c r="A675" s="41">
        <v>55100</v>
      </c>
      <c r="B675" s="39" t="s">
        <v>2451</v>
      </c>
      <c r="C675" s="40">
        <v>3</v>
      </c>
      <c r="D675" s="38" t="s">
        <v>266</v>
      </c>
    </row>
    <row r="676" spans="1:4" x14ac:dyDescent="0.25">
      <c r="A676" s="41">
        <v>55113</v>
      </c>
      <c r="B676" s="39" t="s">
        <v>2452</v>
      </c>
      <c r="C676" s="40">
        <v>4</v>
      </c>
      <c r="D676" s="38" t="s">
        <v>266</v>
      </c>
    </row>
    <row r="677" spans="1:4" x14ac:dyDescent="0.25">
      <c r="A677" s="41">
        <v>55116</v>
      </c>
      <c r="B677" s="39" t="s">
        <v>2453</v>
      </c>
      <c r="C677" s="40">
        <v>4</v>
      </c>
      <c r="D677" s="38" t="s">
        <v>266</v>
      </c>
    </row>
    <row r="678" spans="1:4" x14ac:dyDescent="0.25">
      <c r="A678" s="41">
        <v>55119</v>
      </c>
      <c r="B678" s="39" t="s">
        <v>2454</v>
      </c>
      <c r="C678" s="40">
        <v>4</v>
      </c>
      <c r="D678" s="38" t="s">
        <v>266</v>
      </c>
    </row>
    <row r="679" spans="1:4" x14ac:dyDescent="0.25">
      <c r="A679" s="41">
        <v>55123</v>
      </c>
      <c r="B679" s="39" t="s">
        <v>2455</v>
      </c>
      <c r="C679" s="40">
        <v>4</v>
      </c>
      <c r="D679" s="38" t="s">
        <v>266</v>
      </c>
    </row>
    <row r="680" spans="1:4" x14ac:dyDescent="0.25">
      <c r="A680" s="41">
        <v>55133</v>
      </c>
      <c r="B680" s="39" t="s">
        <v>2456</v>
      </c>
      <c r="C680" s="40">
        <v>4</v>
      </c>
      <c r="D680" s="38" t="s">
        <v>266</v>
      </c>
    </row>
    <row r="681" spans="1:4" x14ac:dyDescent="0.25">
      <c r="A681" s="42">
        <v>55133.13</v>
      </c>
      <c r="B681" s="39" t="s">
        <v>2457</v>
      </c>
      <c r="C681" s="40">
        <v>5</v>
      </c>
      <c r="D681" s="38" t="s">
        <v>266</v>
      </c>
    </row>
    <row r="682" spans="1:4" x14ac:dyDescent="0.25">
      <c r="A682" s="42">
        <v>55133.16</v>
      </c>
      <c r="B682" s="39" t="s">
        <v>2458</v>
      </c>
      <c r="C682" s="40">
        <v>5</v>
      </c>
      <c r="D682" s="38" t="s">
        <v>266</v>
      </c>
    </row>
    <row r="683" spans="1:4" x14ac:dyDescent="0.25">
      <c r="A683" s="42">
        <v>55133.23</v>
      </c>
      <c r="B683" s="39" t="s">
        <v>2459</v>
      </c>
      <c r="C683" s="40">
        <v>5</v>
      </c>
      <c r="D683" s="38" t="s">
        <v>266</v>
      </c>
    </row>
    <row r="684" spans="1:4" x14ac:dyDescent="0.25">
      <c r="A684" s="41">
        <v>55136</v>
      </c>
      <c r="B684" s="39" t="s">
        <v>580</v>
      </c>
      <c r="C684" s="40">
        <v>4</v>
      </c>
      <c r="D684" s="38" t="s">
        <v>579</v>
      </c>
    </row>
    <row r="685" spans="1:4" x14ac:dyDescent="0.25">
      <c r="A685" s="42">
        <v>55136.13</v>
      </c>
      <c r="B685" s="39" t="s">
        <v>2460</v>
      </c>
      <c r="C685" s="40">
        <v>5</v>
      </c>
      <c r="D685" s="38" t="s">
        <v>266</v>
      </c>
    </row>
    <row r="686" spans="1:4" x14ac:dyDescent="0.25">
      <c r="A686" s="42">
        <v>55136.160000000003</v>
      </c>
      <c r="B686" s="39" t="s">
        <v>2461</v>
      </c>
      <c r="C686" s="40">
        <v>5</v>
      </c>
      <c r="D686" s="38" t="s">
        <v>266</v>
      </c>
    </row>
    <row r="687" spans="1:4" x14ac:dyDescent="0.25">
      <c r="A687" s="41">
        <v>55200</v>
      </c>
      <c r="B687" s="39" t="s">
        <v>2462</v>
      </c>
      <c r="C687" s="40">
        <v>3</v>
      </c>
      <c r="D687" s="38" t="s">
        <v>266</v>
      </c>
    </row>
    <row r="688" spans="1:4" x14ac:dyDescent="0.25">
      <c r="A688" s="41">
        <v>55213</v>
      </c>
      <c r="B688" s="39" t="s">
        <v>2463</v>
      </c>
      <c r="C688" s="40">
        <v>4</v>
      </c>
      <c r="D688" s="38" t="s">
        <v>266</v>
      </c>
    </row>
    <row r="689" spans="1:4" x14ac:dyDescent="0.25">
      <c r="A689" s="41">
        <v>55300</v>
      </c>
      <c r="B689" s="39" t="s">
        <v>2464</v>
      </c>
      <c r="C689" s="40">
        <v>3</v>
      </c>
      <c r="D689" s="38" t="s">
        <v>266</v>
      </c>
    </row>
    <row r="690" spans="1:4" x14ac:dyDescent="0.25">
      <c r="A690" s="41">
        <v>55313</v>
      </c>
      <c r="B690" s="39" t="s">
        <v>2465</v>
      </c>
      <c r="C690" s="40">
        <v>4</v>
      </c>
      <c r="D690" s="38" t="s">
        <v>266</v>
      </c>
    </row>
    <row r="691" spans="1:4" x14ac:dyDescent="0.25">
      <c r="A691" s="41">
        <v>55316</v>
      </c>
      <c r="B691" s="39" t="s">
        <v>2466</v>
      </c>
      <c r="C691" s="40">
        <v>4</v>
      </c>
      <c r="D691" s="38" t="s">
        <v>266</v>
      </c>
    </row>
    <row r="692" spans="1:4" x14ac:dyDescent="0.25">
      <c r="A692" s="41">
        <v>55400</v>
      </c>
      <c r="B692" s="39" t="s">
        <v>2467</v>
      </c>
      <c r="C692" s="40">
        <v>3</v>
      </c>
      <c r="D692" s="38" t="s">
        <v>266</v>
      </c>
    </row>
    <row r="693" spans="1:4" x14ac:dyDescent="0.25">
      <c r="A693" s="41">
        <v>55500</v>
      </c>
      <c r="B693" s="39" t="s">
        <v>2468</v>
      </c>
      <c r="C693" s="40">
        <v>3</v>
      </c>
      <c r="D693" s="38" t="s">
        <v>266</v>
      </c>
    </row>
    <row r="694" spans="1:4" x14ac:dyDescent="0.25">
      <c r="A694" s="41">
        <v>55513</v>
      </c>
      <c r="B694" s="39" t="s">
        <v>2469</v>
      </c>
      <c r="C694" s="40">
        <v>4</v>
      </c>
      <c r="D694" s="38" t="s">
        <v>266</v>
      </c>
    </row>
    <row r="695" spans="1:4" x14ac:dyDescent="0.25">
      <c r="A695" s="41">
        <v>55516</v>
      </c>
      <c r="B695" s="39" t="s">
        <v>2470</v>
      </c>
      <c r="C695" s="40">
        <v>4</v>
      </c>
      <c r="D695" s="38" t="s">
        <v>266</v>
      </c>
    </row>
    <row r="696" spans="1:4" x14ac:dyDescent="0.25">
      <c r="A696" s="41">
        <v>55600</v>
      </c>
      <c r="B696" s="39" t="s">
        <v>2471</v>
      </c>
      <c r="C696" s="40">
        <v>3</v>
      </c>
      <c r="D696" s="38" t="s">
        <v>266</v>
      </c>
    </row>
    <row r="697" spans="1:4" x14ac:dyDescent="0.25">
      <c r="A697" s="41">
        <v>55800</v>
      </c>
      <c r="B697" s="39" t="s">
        <v>2472</v>
      </c>
      <c r="C697" s="40">
        <v>3</v>
      </c>
      <c r="D697" s="38" t="s">
        <v>266</v>
      </c>
    </row>
    <row r="698" spans="1:4" x14ac:dyDescent="0.25">
      <c r="A698" s="41">
        <v>55813</v>
      </c>
      <c r="B698" s="39" t="s">
        <v>2473</v>
      </c>
      <c r="C698" s="40">
        <v>4</v>
      </c>
      <c r="D698" s="38" t="s">
        <v>266</v>
      </c>
    </row>
    <row r="699" spans="1:4" x14ac:dyDescent="0.25">
      <c r="A699" s="41">
        <v>55816</v>
      </c>
      <c r="B699" s="39" t="s">
        <v>2474</v>
      </c>
      <c r="C699" s="40">
        <v>4</v>
      </c>
      <c r="D699" s="38" t="s">
        <v>266</v>
      </c>
    </row>
    <row r="700" spans="1:4" x14ac:dyDescent="0.25">
      <c r="A700" s="41">
        <v>55819</v>
      </c>
      <c r="B700" s="39" t="s">
        <v>2475</v>
      </c>
      <c r="C700" s="40">
        <v>4</v>
      </c>
      <c r="D700" s="38" t="s">
        <v>266</v>
      </c>
    </row>
    <row r="701" spans="1:4" x14ac:dyDescent="0.25">
      <c r="A701" s="41">
        <v>55823</v>
      </c>
      <c r="B701" s="39" t="s">
        <v>2476</v>
      </c>
      <c r="C701" s="40">
        <v>4</v>
      </c>
      <c r="D701" s="38" t="s">
        <v>266</v>
      </c>
    </row>
    <row r="702" spans="1:4" x14ac:dyDescent="0.25">
      <c r="A702" s="41">
        <v>55900</v>
      </c>
      <c r="B702" s="39" t="s">
        <v>2477</v>
      </c>
      <c r="C702" s="40">
        <v>3</v>
      </c>
      <c r="D702" s="38" t="s">
        <v>266</v>
      </c>
    </row>
    <row r="703" spans="1:4" x14ac:dyDescent="0.25">
      <c r="A703" s="41">
        <v>55913</v>
      </c>
      <c r="B703" s="39" t="s">
        <v>2478</v>
      </c>
      <c r="C703" s="40">
        <v>4</v>
      </c>
      <c r="D703" s="38" t="s">
        <v>266</v>
      </c>
    </row>
    <row r="704" spans="1:4" x14ac:dyDescent="0.25">
      <c r="A704" s="41">
        <v>55963</v>
      </c>
      <c r="B704" s="39" t="s">
        <v>2479</v>
      </c>
      <c r="C704" s="40">
        <v>4</v>
      </c>
      <c r="D704" s="38" t="s">
        <v>266</v>
      </c>
    </row>
    <row r="705" spans="1:4" x14ac:dyDescent="0.25">
      <c r="A705" s="41">
        <v>57000</v>
      </c>
      <c r="B705" s="39" t="s">
        <v>2480</v>
      </c>
      <c r="C705" s="40">
        <v>3</v>
      </c>
      <c r="D705" s="38" t="s">
        <v>266</v>
      </c>
    </row>
    <row r="706" spans="1:4" x14ac:dyDescent="0.25">
      <c r="A706" s="41">
        <v>57100</v>
      </c>
      <c r="B706" s="39" t="s">
        <v>2481</v>
      </c>
      <c r="C706" s="40">
        <v>3</v>
      </c>
      <c r="D706" s="38" t="s">
        <v>266</v>
      </c>
    </row>
    <row r="707" spans="1:4" x14ac:dyDescent="0.25">
      <c r="A707" s="41">
        <v>57113</v>
      </c>
      <c r="B707" s="39" t="s">
        <v>2482</v>
      </c>
      <c r="C707" s="40">
        <v>4</v>
      </c>
      <c r="D707" s="38" t="s">
        <v>266</v>
      </c>
    </row>
    <row r="708" spans="1:4" x14ac:dyDescent="0.25">
      <c r="A708" s="41">
        <v>57300</v>
      </c>
      <c r="B708" s="39" t="s">
        <v>2483</v>
      </c>
      <c r="C708" s="40">
        <v>3</v>
      </c>
      <c r="D708" s="38" t="s">
        <v>266</v>
      </c>
    </row>
    <row r="709" spans="1:4" x14ac:dyDescent="0.25">
      <c r="A709" s="41">
        <v>57313</v>
      </c>
      <c r="B709" s="39" t="s">
        <v>2484</v>
      </c>
      <c r="C709" s="40">
        <v>4</v>
      </c>
      <c r="D709" s="38" t="s">
        <v>266</v>
      </c>
    </row>
    <row r="710" spans="1:4" x14ac:dyDescent="0.25">
      <c r="A710" s="41">
        <v>57316</v>
      </c>
      <c r="B710" s="39" t="s">
        <v>2485</v>
      </c>
      <c r="C710" s="40">
        <v>4</v>
      </c>
      <c r="D710" s="38" t="s">
        <v>266</v>
      </c>
    </row>
    <row r="711" spans="1:4" x14ac:dyDescent="0.25">
      <c r="A711" s="41">
        <v>57400</v>
      </c>
      <c r="B711" s="39" t="s">
        <v>2486</v>
      </c>
      <c r="C711" s="40">
        <v>3</v>
      </c>
      <c r="D711" s="38" t="s">
        <v>266</v>
      </c>
    </row>
    <row r="712" spans="1:4" x14ac:dyDescent="0.25">
      <c r="A712" s="41">
        <v>57500</v>
      </c>
      <c r="B712" s="39" t="s">
        <v>2487</v>
      </c>
      <c r="C712" s="40">
        <v>3</v>
      </c>
      <c r="D712" s="38" t="s">
        <v>266</v>
      </c>
    </row>
    <row r="713" spans="1:4" x14ac:dyDescent="0.25">
      <c r="A713" s="41">
        <v>57600</v>
      </c>
      <c r="B713" s="39" t="s">
        <v>2488</v>
      </c>
      <c r="C713" s="40">
        <v>3</v>
      </c>
      <c r="D713" s="38" t="s">
        <v>266</v>
      </c>
    </row>
    <row r="714" spans="1:4" x14ac:dyDescent="0.25">
      <c r="A714" s="41">
        <v>60000</v>
      </c>
      <c r="B714" s="39" t="s">
        <v>2489</v>
      </c>
      <c r="C714" s="40">
        <v>2</v>
      </c>
      <c r="D714" s="38" t="s">
        <v>266</v>
      </c>
    </row>
    <row r="715" spans="1:4" x14ac:dyDescent="0.25">
      <c r="A715" s="41">
        <v>60100</v>
      </c>
      <c r="B715" s="39" t="s">
        <v>2490</v>
      </c>
      <c r="C715" s="40">
        <v>3</v>
      </c>
      <c r="D715" s="38" t="s">
        <v>266</v>
      </c>
    </row>
    <row r="716" spans="1:4" x14ac:dyDescent="0.25">
      <c r="A716" s="41">
        <v>60110</v>
      </c>
      <c r="B716" s="39" t="s">
        <v>2491</v>
      </c>
      <c r="C716" s="40">
        <v>4</v>
      </c>
      <c r="D716" s="38" t="s">
        <v>266</v>
      </c>
    </row>
    <row r="717" spans="1:4" x14ac:dyDescent="0.25">
      <c r="A717" s="42">
        <v>60110.71</v>
      </c>
      <c r="B717" s="39" t="s">
        <v>2492</v>
      </c>
      <c r="C717" s="40">
        <v>5</v>
      </c>
      <c r="D717" s="38" t="s">
        <v>266</v>
      </c>
    </row>
    <row r="718" spans="1:4" x14ac:dyDescent="0.25">
      <c r="A718" s="42">
        <v>60110.91</v>
      </c>
      <c r="B718" s="39" t="s">
        <v>2493</v>
      </c>
      <c r="C718" s="40">
        <v>5</v>
      </c>
      <c r="D718" s="38" t="s">
        <v>266</v>
      </c>
    </row>
    <row r="719" spans="1:4" x14ac:dyDescent="0.25">
      <c r="A719" s="42">
        <v>60110.92</v>
      </c>
      <c r="B719" s="39" t="s">
        <v>2494</v>
      </c>
      <c r="C719" s="40">
        <v>5</v>
      </c>
      <c r="D719" s="38" t="s">
        <v>266</v>
      </c>
    </row>
    <row r="720" spans="1:4" x14ac:dyDescent="0.25">
      <c r="A720" s="41">
        <v>60120</v>
      </c>
      <c r="B720" s="39" t="s">
        <v>2495</v>
      </c>
      <c r="C720" s="40">
        <v>4</v>
      </c>
      <c r="D720" s="38" t="s">
        <v>266</v>
      </c>
    </row>
    <row r="721" spans="1:4" x14ac:dyDescent="0.25">
      <c r="A721" s="42">
        <v>60120.71</v>
      </c>
      <c r="B721" s="39" t="s">
        <v>2496</v>
      </c>
      <c r="C721" s="40">
        <v>5</v>
      </c>
      <c r="D721" s="38" t="s">
        <v>266</v>
      </c>
    </row>
    <row r="722" spans="1:4" x14ac:dyDescent="0.25">
      <c r="A722" s="42">
        <v>60120.91</v>
      </c>
      <c r="B722" s="39" t="s">
        <v>2497</v>
      </c>
      <c r="C722" s="40">
        <v>5</v>
      </c>
      <c r="D722" s="38" t="s">
        <v>266</v>
      </c>
    </row>
    <row r="723" spans="1:4" x14ac:dyDescent="0.25">
      <c r="A723" s="42">
        <v>60120.92</v>
      </c>
      <c r="B723" s="39" t="s">
        <v>2498</v>
      </c>
      <c r="C723" s="40">
        <v>5</v>
      </c>
      <c r="D723" s="38" t="s">
        <v>266</v>
      </c>
    </row>
    <row r="724" spans="1:4" x14ac:dyDescent="0.25">
      <c r="A724" s="41">
        <v>60140</v>
      </c>
      <c r="B724" s="39" t="s">
        <v>2499</v>
      </c>
      <c r="C724" s="40">
        <v>4</v>
      </c>
      <c r="D724" s="38" t="s">
        <v>266</v>
      </c>
    </row>
    <row r="725" spans="1:4" x14ac:dyDescent="0.25">
      <c r="A725" s="42">
        <v>60140.51</v>
      </c>
      <c r="B725" s="39" t="s">
        <v>2500</v>
      </c>
      <c r="C725" s="40">
        <v>5</v>
      </c>
      <c r="D725" s="38" t="s">
        <v>266</v>
      </c>
    </row>
    <row r="726" spans="1:4" x14ac:dyDescent="0.25">
      <c r="A726" s="42">
        <v>60140.61</v>
      </c>
      <c r="B726" s="39" t="s">
        <v>2501</v>
      </c>
      <c r="C726" s="40">
        <v>5</v>
      </c>
      <c r="D726" s="38" t="s">
        <v>266</v>
      </c>
    </row>
    <row r="727" spans="1:4" x14ac:dyDescent="0.25">
      <c r="A727" s="42">
        <v>60140.91</v>
      </c>
      <c r="B727" s="39" t="s">
        <v>2502</v>
      </c>
      <c r="C727" s="40">
        <v>5</v>
      </c>
      <c r="D727" s="38" t="s">
        <v>266</v>
      </c>
    </row>
    <row r="728" spans="1:4" x14ac:dyDescent="0.25">
      <c r="A728" s="41">
        <v>60150</v>
      </c>
      <c r="B728" s="39" t="s">
        <v>2503</v>
      </c>
      <c r="C728" s="40">
        <v>4</v>
      </c>
      <c r="D728" s="38" t="s">
        <v>266</v>
      </c>
    </row>
    <row r="729" spans="1:4" x14ac:dyDescent="0.25">
      <c r="A729" s="41">
        <v>60160</v>
      </c>
      <c r="B729" s="39" t="s">
        <v>2504</v>
      </c>
      <c r="C729" s="40">
        <v>4</v>
      </c>
      <c r="D729" s="38" t="s">
        <v>266</v>
      </c>
    </row>
    <row r="730" spans="1:4" x14ac:dyDescent="0.25">
      <c r="A730" s="42">
        <v>60160.51</v>
      </c>
      <c r="B730" s="39" t="s">
        <v>2505</v>
      </c>
      <c r="C730" s="40">
        <v>5</v>
      </c>
      <c r="D730" s="38" t="s">
        <v>266</v>
      </c>
    </row>
    <row r="731" spans="1:4" x14ac:dyDescent="0.25">
      <c r="A731" s="42">
        <v>60160.71</v>
      </c>
      <c r="B731" s="39" t="s">
        <v>2506</v>
      </c>
      <c r="C731" s="40">
        <v>5</v>
      </c>
      <c r="D731" s="38" t="s">
        <v>266</v>
      </c>
    </row>
    <row r="732" spans="1:4" x14ac:dyDescent="0.25">
      <c r="A732" s="42">
        <v>60160.91</v>
      </c>
      <c r="B732" s="39" t="s">
        <v>2507</v>
      </c>
      <c r="C732" s="40">
        <v>5</v>
      </c>
      <c r="D732" s="38" t="s">
        <v>266</v>
      </c>
    </row>
    <row r="733" spans="1:4" x14ac:dyDescent="0.25">
      <c r="A733" s="42">
        <v>60160.92</v>
      </c>
      <c r="B733" s="39" t="s">
        <v>2508</v>
      </c>
      <c r="C733" s="40">
        <v>5</v>
      </c>
      <c r="D733" s="38" t="s">
        <v>266</v>
      </c>
    </row>
    <row r="734" spans="1:4" x14ac:dyDescent="0.25">
      <c r="A734" s="41">
        <v>60170</v>
      </c>
      <c r="B734" s="39" t="s">
        <v>2509</v>
      </c>
      <c r="C734" s="40">
        <v>4</v>
      </c>
      <c r="D734" s="38" t="s">
        <v>266</v>
      </c>
    </row>
    <row r="735" spans="1:4" x14ac:dyDescent="0.25">
      <c r="A735" s="41">
        <v>60180</v>
      </c>
      <c r="B735" s="39" t="s">
        <v>2510</v>
      </c>
      <c r="C735" s="40">
        <v>4</v>
      </c>
      <c r="D735" s="38" t="s">
        <v>266</v>
      </c>
    </row>
    <row r="736" spans="1:4" x14ac:dyDescent="0.25">
      <c r="A736" s="42">
        <v>60180.51</v>
      </c>
      <c r="B736" s="39" t="s">
        <v>2511</v>
      </c>
      <c r="C736" s="40">
        <v>5</v>
      </c>
      <c r="D736" s="38" t="s">
        <v>266</v>
      </c>
    </row>
    <row r="737" spans="1:4" x14ac:dyDescent="0.25">
      <c r="A737" s="42">
        <v>60180.71</v>
      </c>
      <c r="B737" s="39" t="s">
        <v>2512</v>
      </c>
      <c r="C737" s="40">
        <v>5</v>
      </c>
      <c r="D737" s="38" t="s">
        <v>266</v>
      </c>
    </row>
    <row r="738" spans="1:4" x14ac:dyDescent="0.25">
      <c r="A738" s="42">
        <v>60180.91</v>
      </c>
      <c r="B738" s="39" t="s">
        <v>2513</v>
      </c>
      <c r="C738" s="40">
        <v>5</v>
      </c>
      <c r="D738" s="38" t="s">
        <v>266</v>
      </c>
    </row>
    <row r="739" spans="1:4" x14ac:dyDescent="0.25">
      <c r="A739" s="42">
        <v>60180.92</v>
      </c>
      <c r="B739" s="39" t="s">
        <v>2514</v>
      </c>
      <c r="C739" s="40">
        <v>5</v>
      </c>
      <c r="D739" s="38" t="s">
        <v>266</v>
      </c>
    </row>
    <row r="740" spans="1:4" x14ac:dyDescent="0.25">
      <c r="A740" s="41">
        <v>60500</v>
      </c>
      <c r="B740" s="39" t="s">
        <v>2515</v>
      </c>
      <c r="C740" s="40">
        <v>3</v>
      </c>
      <c r="D740" s="38" t="s">
        <v>266</v>
      </c>
    </row>
    <row r="741" spans="1:4" x14ac:dyDescent="0.25">
      <c r="A741" s="41">
        <v>60523</v>
      </c>
      <c r="B741" s="39" t="s">
        <v>2516</v>
      </c>
      <c r="C741" s="40">
        <v>4</v>
      </c>
      <c r="D741" s="38" t="s">
        <v>266</v>
      </c>
    </row>
    <row r="742" spans="1:4" x14ac:dyDescent="0.25">
      <c r="A742" s="41">
        <v>60573</v>
      </c>
      <c r="B742" s="39" t="s">
        <v>2517</v>
      </c>
      <c r="C742" s="40">
        <v>4</v>
      </c>
      <c r="D742" s="38" t="s">
        <v>266</v>
      </c>
    </row>
    <row r="743" spans="1:4" x14ac:dyDescent="0.25">
      <c r="A743" s="42">
        <v>60573.13</v>
      </c>
      <c r="B743" s="39" t="s">
        <v>2518</v>
      </c>
      <c r="C743" s="40">
        <v>5</v>
      </c>
      <c r="D743" s="38" t="s">
        <v>266</v>
      </c>
    </row>
    <row r="744" spans="1:4" x14ac:dyDescent="0.25">
      <c r="A744" s="42">
        <v>60573.33</v>
      </c>
      <c r="B744" s="39" t="s">
        <v>2519</v>
      </c>
      <c r="C744" s="40">
        <v>5</v>
      </c>
      <c r="D744" s="38" t="s">
        <v>266</v>
      </c>
    </row>
    <row r="745" spans="1:4" x14ac:dyDescent="0.25">
      <c r="A745" s="42">
        <v>60573.91</v>
      </c>
      <c r="B745" s="39" t="s">
        <v>2520</v>
      </c>
      <c r="C745" s="40">
        <v>5</v>
      </c>
      <c r="D745" s="38" t="s">
        <v>266</v>
      </c>
    </row>
    <row r="746" spans="1:4" x14ac:dyDescent="0.25">
      <c r="A746" s="42">
        <v>60573.93</v>
      </c>
      <c r="B746" s="39" t="s">
        <v>2521</v>
      </c>
      <c r="C746" s="40">
        <v>5</v>
      </c>
      <c r="D746" s="38" t="s">
        <v>266</v>
      </c>
    </row>
    <row r="747" spans="1:4" x14ac:dyDescent="0.25">
      <c r="A747" s="42">
        <v>60573.96</v>
      </c>
      <c r="B747" s="39" t="s">
        <v>2522</v>
      </c>
      <c r="C747" s="40">
        <v>5</v>
      </c>
      <c r="D747" s="38" t="s">
        <v>266</v>
      </c>
    </row>
    <row r="748" spans="1:4" x14ac:dyDescent="0.25">
      <c r="A748" s="41">
        <v>60583</v>
      </c>
      <c r="B748" s="39" t="s">
        <v>2523</v>
      </c>
      <c r="C748" s="40">
        <v>4</v>
      </c>
      <c r="D748" s="38" t="s">
        <v>266</v>
      </c>
    </row>
    <row r="749" spans="1:4" x14ac:dyDescent="0.25">
      <c r="A749" s="41">
        <v>60800</v>
      </c>
      <c r="B749" s="39" t="s">
        <v>2524</v>
      </c>
      <c r="C749" s="40">
        <v>3</v>
      </c>
      <c r="D749" s="38" t="s">
        <v>266</v>
      </c>
    </row>
    <row r="750" spans="1:4" x14ac:dyDescent="0.25">
      <c r="A750" s="41">
        <v>61000</v>
      </c>
      <c r="B750" s="39" t="s">
        <v>2525</v>
      </c>
      <c r="C750" s="40">
        <v>3</v>
      </c>
      <c r="D750" s="38" t="s">
        <v>266</v>
      </c>
    </row>
    <row r="751" spans="1:4" x14ac:dyDescent="0.25">
      <c r="A751" s="41">
        <v>61053</v>
      </c>
      <c r="B751" s="39" t="s">
        <v>2526</v>
      </c>
      <c r="C751" s="40">
        <v>4</v>
      </c>
      <c r="D751" s="38" t="s">
        <v>266</v>
      </c>
    </row>
    <row r="752" spans="1:4" x14ac:dyDescent="0.25">
      <c r="A752" s="41">
        <v>61063</v>
      </c>
      <c r="B752" s="39" t="s">
        <v>2527</v>
      </c>
      <c r="C752" s="40">
        <v>4</v>
      </c>
      <c r="D752" s="38" t="s">
        <v>266</v>
      </c>
    </row>
    <row r="753" spans="1:4" x14ac:dyDescent="0.25">
      <c r="A753" s="41">
        <v>61100</v>
      </c>
      <c r="B753" s="39" t="s">
        <v>2528</v>
      </c>
      <c r="C753" s="40">
        <v>3</v>
      </c>
      <c r="D753" s="38" t="s">
        <v>266</v>
      </c>
    </row>
    <row r="754" spans="1:4" x14ac:dyDescent="0.25">
      <c r="A754" s="41">
        <v>61113</v>
      </c>
      <c r="B754" s="39" t="s">
        <v>2529</v>
      </c>
      <c r="C754" s="40">
        <v>4</v>
      </c>
      <c r="D754" s="38" t="s">
        <v>266</v>
      </c>
    </row>
    <row r="755" spans="1:4" x14ac:dyDescent="0.25">
      <c r="A755" s="41">
        <v>61116</v>
      </c>
      <c r="B755" s="39" t="s">
        <v>2530</v>
      </c>
      <c r="C755" s="40">
        <v>4</v>
      </c>
      <c r="D755" s="38" t="s">
        <v>266</v>
      </c>
    </row>
    <row r="756" spans="1:4" x14ac:dyDescent="0.25">
      <c r="A756" s="41">
        <v>61200</v>
      </c>
      <c r="B756" s="39" t="s">
        <v>2531</v>
      </c>
      <c r="C756" s="40">
        <v>3</v>
      </c>
      <c r="D756" s="38" t="s">
        <v>266</v>
      </c>
    </row>
    <row r="757" spans="1:4" x14ac:dyDescent="0.25">
      <c r="A757" s="41">
        <v>61213</v>
      </c>
      <c r="B757" s="39" t="s">
        <v>2532</v>
      </c>
      <c r="C757" s="40">
        <v>4</v>
      </c>
      <c r="D757" s="38" t="s">
        <v>266</v>
      </c>
    </row>
    <row r="758" spans="1:4" x14ac:dyDescent="0.25">
      <c r="A758" s="41">
        <v>61216</v>
      </c>
      <c r="B758" s="39" t="s">
        <v>2533</v>
      </c>
      <c r="C758" s="40">
        <v>4</v>
      </c>
      <c r="D758" s="38" t="s">
        <v>266</v>
      </c>
    </row>
    <row r="759" spans="1:4" x14ac:dyDescent="0.25">
      <c r="A759" s="41">
        <v>61300</v>
      </c>
      <c r="B759" s="39" t="s">
        <v>2534</v>
      </c>
      <c r="C759" s="40">
        <v>3</v>
      </c>
      <c r="D759" s="38" t="s">
        <v>266</v>
      </c>
    </row>
    <row r="760" spans="1:4" x14ac:dyDescent="0.25">
      <c r="A760" s="41">
        <v>61313</v>
      </c>
      <c r="B760" s="39" t="s">
        <v>2535</v>
      </c>
      <c r="C760" s="40">
        <v>4</v>
      </c>
      <c r="D760" s="38" t="s">
        <v>266</v>
      </c>
    </row>
    <row r="761" spans="1:4" x14ac:dyDescent="0.25">
      <c r="A761" s="42">
        <v>61313.91</v>
      </c>
      <c r="B761" s="39" t="s">
        <v>2536</v>
      </c>
      <c r="C761" s="40">
        <v>5</v>
      </c>
      <c r="D761" s="38" t="s">
        <v>266</v>
      </c>
    </row>
    <row r="762" spans="1:4" x14ac:dyDescent="0.25">
      <c r="A762" s="41">
        <v>61316</v>
      </c>
      <c r="B762" s="39" t="s">
        <v>2537</v>
      </c>
      <c r="C762" s="40">
        <v>4</v>
      </c>
      <c r="D762" s="38" t="s">
        <v>266</v>
      </c>
    </row>
    <row r="763" spans="1:4" x14ac:dyDescent="0.25">
      <c r="A763" s="41">
        <v>61323</v>
      </c>
      <c r="B763" s="39" t="s">
        <v>2538</v>
      </c>
      <c r="C763" s="40">
        <v>4</v>
      </c>
      <c r="D763" s="38" t="s">
        <v>266</v>
      </c>
    </row>
    <row r="764" spans="1:4" x14ac:dyDescent="0.25">
      <c r="A764" s="41">
        <v>61326</v>
      </c>
      <c r="B764" s="39" t="s">
        <v>2539</v>
      </c>
      <c r="C764" s="40">
        <v>4</v>
      </c>
      <c r="D764" s="38" t="s">
        <v>266</v>
      </c>
    </row>
    <row r="765" spans="1:4" x14ac:dyDescent="0.25">
      <c r="A765" s="41">
        <v>61333</v>
      </c>
      <c r="B765" s="39" t="s">
        <v>2540</v>
      </c>
      <c r="C765" s="40">
        <v>4</v>
      </c>
      <c r="D765" s="38" t="s">
        <v>266</v>
      </c>
    </row>
    <row r="766" spans="1:4" x14ac:dyDescent="0.25">
      <c r="A766" s="41">
        <v>61400</v>
      </c>
      <c r="B766" s="39" t="s">
        <v>2541</v>
      </c>
      <c r="C766" s="40">
        <v>3</v>
      </c>
      <c r="D766" s="38" t="s">
        <v>266</v>
      </c>
    </row>
    <row r="767" spans="1:4" x14ac:dyDescent="0.25">
      <c r="A767" s="41">
        <v>61500</v>
      </c>
      <c r="B767" s="39" t="s">
        <v>2542</v>
      </c>
      <c r="C767" s="40">
        <v>3</v>
      </c>
      <c r="D767" s="38" t="s">
        <v>266</v>
      </c>
    </row>
    <row r="768" spans="1:4" x14ac:dyDescent="0.25">
      <c r="A768" s="41">
        <v>61513</v>
      </c>
      <c r="B768" s="39" t="s">
        <v>2543</v>
      </c>
      <c r="C768" s="40">
        <v>4</v>
      </c>
      <c r="D768" s="38" t="s">
        <v>266</v>
      </c>
    </row>
    <row r="769" spans="1:4" x14ac:dyDescent="0.25">
      <c r="A769" s="42">
        <v>61513.91</v>
      </c>
      <c r="B769" s="39" t="s">
        <v>2544</v>
      </c>
      <c r="C769" s="40">
        <v>5</v>
      </c>
      <c r="D769" s="38" t="s">
        <v>266</v>
      </c>
    </row>
    <row r="770" spans="1:4" x14ac:dyDescent="0.25">
      <c r="A770" s="41">
        <v>61516</v>
      </c>
      <c r="B770" s="39" t="s">
        <v>2545</v>
      </c>
      <c r="C770" s="40">
        <v>4</v>
      </c>
      <c r="D770" s="38" t="s">
        <v>266</v>
      </c>
    </row>
    <row r="771" spans="1:4" x14ac:dyDescent="0.25">
      <c r="A771" s="41">
        <v>61519</v>
      </c>
      <c r="B771" s="39" t="s">
        <v>2546</v>
      </c>
      <c r="C771" s="40">
        <v>4</v>
      </c>
      <c r="D771" s="38" t="s">
        <v>266</v>
      </c>
    </row>
    <row r="772" spans="1:4" x14ac:dyDescent="0.25">
      <c r="A772" s="41">
        <v>61523</v>
      </c>
      <c r="B772" s="39" t="s">
        <v>2547</v>
      </c>
      <c r="C772" s="40">
        <v>4</v>
      </c>
      <c r="D772" s="38" t="s">
        <v>266</v>
      </c>
    </row>
    <row r="773" spans="1:4" x14ac:dyDescent="0.25">
      <c r="A773" s="41">
        <v>61533</v>
      </c>
      <c r="B773" s="39" t="s">
        <v>2548</v>
      </c>
      <c r="C773" s="40">
        <v>4</v>
      </c>
      <c r="D773" s="38" t="s">
        <v>266</v>
      </c>
    </row>
    <row r="774" spans="1:4" x14ac:dyDescent="0.25">
      <c r="A774" s="41">
        <v>61600</v>
      </c>
      <c r="B774" s="39" t="s">
        <v>2549</v>
      </c>
      <c r="C774" s="40">
        <v>3</v>
      </c>
      <c r="D774" s="38" t="s">
        <v>266</v>
      </c>
    </row>
    <row r="775" spans="1:4" x14ac:dyDescent="0.25">
      <c r="A775" s="41">
        <v>61613</v>
      </c>
      <c r="B775" s="39" t="s">
        <v>2550</v>
      </c>
      <c r="C775" s="40">
        <v>4</v>
      </c>
      <c r="D775" s="38" t="s">
        <v>266</v>
      </c>
    </row>
    <row r="776" spans="1:4" x14ac:dyDescent="0.25">
      <c r="A776" s="41">
        <v>61623</v>
      </c>
      <c r="B776" s="39" t="s">
        <v>2551</v>
      </c>
      <c r="C776" s="40">
        <v>4</v>
      </c>
      <c r="D776" s="38" t="s">
        <v>266</v>
      </c>
    </row>
    <row r="777" spans="1:4" x14ac:dyDescent="0.25">
      <c r="A777" s="41">
        <v>61626</v>
      </c>
      <c r="B777" s="39" t="s">
        <v>2552</v>
      </c>
      <c r="C777" s="40">
        <v>4</v>
      </c>
      <c r="D777" s="38" t="s">
        <v>266</v>
      </c>
    </row>
    <row r="778" spans="1:4" x14ac:dyDescent="0.25">
      <c r="A778" s="41">
        <v>61633</v>
      </c>
      <c r="B778" s="39" t="s">
        <v>2553</v>
      </c>
      <c r="C778" s="40">
        <v>4</v>
      </c>
      <c r="D778" s="38" t="s">
        <v>266</v>
      </c>
    </row>
    <row r="779" spans="1:4" x14ac:dyDescent="0.25">
      <c r="A779" s="41">
        <v>61636</v>
      </c>
      <c r="B779" s="39" t="s">
        <v>2554</v>
      </c>
      <c r="C779" s="40">
        <v>4</v>
      </c>
      <c r="D779" s="38" t="s">
        <v>266</v>
      </c>
    </row>
    <row r="780" spans="1:4" x14ac:dyDescent="0.25">
      <c r="A780" s="41">
        <v>61643</v>
      </c>
      <c r="B780" s="39" t="s">
        <v>2555</v>
      </c>
      <c r="C780" s="40">
        <v>4</v>
      </c>
      <c r="D780" s="38" t="s">
        <v>266</v>
      </c>
    </row>
    <row r="781" spans="1:4" x14ac:dyDescent="0.25">
      <c r="A781" s="41">
        <v>61653</v>
      </c>
      <c r="B781" s="39" t="s">
        <v>2556</v>
      </c>
      <c r="C781" s="40">
        <v>4</v>
      </c>
      <c r="D781" s="38" t="s">
        <v>266</v>
      </c>
    </row>
    <row r="782" spans="1:4" x14ac:dyDescent="0.25">
      <c r="A782" s="41">
        <v>61663</v>
      </c>
      <c r="B782" s="39" t="s">
        <v>2557</v>
      </c>
      <c r="C782" s="40">
        <v>4</v>
      </c>
      <c r="D782" s="38" t="s">
        <v>266</v>
      </c>
    </row>
    <row r="783" spans="1:4" x14ac:dyDescent="0.25">
      <c r="A783" s="41">
        <v>61700</v>
      </c>
      <c r="B783" s="39" t="s">
        <v>2558</v>
      </c>
      <c r="C783" s="40">
        <v>3</v>
      </c>
      <c r="D783" s="38" t="s">
        <v>266</v>
      </c>
    </row>
    <row r="784" spans="1:4" x14ac:dyDescent="0.25">
      <c r="A784" s="41">
        <v>61713</v>
      </c>
      <c r="B784" s="39" t="s">
        <v>2559</v>
      </c>
      <c r="C784" s="40">
        <v>4</v>
      </c>
      <c r="D784" s="38" t="s">
        <v>266</v>
      </c>
    </row>
    <row r="785" spans="1:4" x14ac:dyDescent="0.25">
      <c r="A785" s="41">
        <v>61723</v>
      </c>
      <c r="B785" s="39" t="s">
        <v>2560</v>
      </c>
      <c r="C785" s="40">
        <v>4</v>
      </c>
      <c r="D785" s="38" t="s">
        <v>266</v>
      </c>
    </row>
    <row r="786" spans="1:4" x14ac:dyDescent="0.25">
      <c r="A786" s="41">
        <v>61733</v>
      </c>
      <c r="B786" s="39" t="s">
        <v>2561</v>
      </c>
      <c r="C786" s="40">
        <v>4</v>
      </c>
      <c r="D786" s="38" t="s">
        <v>266</v>
      </c>
    </row>
    <row r="787" spans="1:4" x14ac:dyDescent="0.25">
      <c r="A787" s="41">
        <v>61736</v>
      </c>
      <c r="B787" s="39" t="s">
        <v>2562</v>
      </c>
      <c r="C787" s="40">
        <v>4</v>
      </c>
      <c r="D787" s="38" t="s">
        <v>266</v>
      </c>
    </row>
    <row r="788" spans="1:4" x14ac:dyDescent="0.25">
      <c r="A788" s="41">
        <v>61743</v>
      </c>
      <c r="B788" s="39" t="s">
        <v>2563</v>
      </c>
      <c r="C788" s="40">
        <v>4</v>
      </c>
      <c r="D788" s="38" t="s">
        <v>266</v>
      </c>
    </row>
    <row r="789" spans="1:4" x14ac:dyDescent="0.25">
      <c r="A789" s="41">
        <v>61753</v>
      </c>
      <c r="B789" s="39" t="s">
        <v>2564</v>
      </c>
      <c r="C789" s="40">
        <v>4</v>
      </c>
      <c r="D789" s="38" t="s">
        <v>266</v>
      </c>
    </row>
    <row r="790" spans="1:4" x14ac:dyDescent="0.25">
      <c r="A790" s="41">
        <v>61800</v>
      </c>
      <c r="B790" s="39" t="s">
        <v>2565</v>
      </c>
      <c r="C790" s="40">
        <v>3</v>
      </c>
      <c r="D790" s="38" t="s">
        <v>266</v>
      </c>
    </row>
    <row r="791" spans="1:4" x14ac:dyDescent="0.25">
      <c r="A791" s="41">
        <v>61813</v>
      </c>
      <c r="B791" s="39" t="s">
        <v>2566</v>
      </c>
      <c r="C791" s="40">
        <v>4</v>
      </c>
      <c r="D791" s="38" t="s">
        <v>266</v>
      </c>
    </row>
    <row r="792" spans="1:4" x14ac:dyDescent="0.25">
      <c r="A792" s="41">
        <v>61816</v>
      </c>
      <c r="B792" s="39" t="s">
        <v>2567</v>
      </c>
      <c r="C792" s="40">
        <v>4</v>
      </c>
      <c r="D792" s="38" t="s">
        <v>266</v>
      </c>
    </row>
    <row r="793" spans="1:4" x14ac:dyDescent="0.25">
      <c r="A793" s="41">
        <v>62000</v>
      </c>
      <c r="B793" s="39" t="s">
        <v>2568</v>
      </c>
      <c r="C793" s="40">
        <v>3</v>
      </c>
      <c r="D793" s="38" t="s">
        <v>266</v>
      </c>
    </row>
    <row r="794" spans="1:4" x14ac:dyDescent="0.25">
      <c r="A794" s="41">
        <v>62013</v>
      </c>
      <c r="B794" s="39" t="s">
        <v>2569</v>
      </c>
      <c r="C794" s="40">
        <v>4</v>
      </c>
      <c r="D794" s="38" t="s">
        <v>266</v>
      </c>
    </row>
    <row r="795" spans="1:4" x14ac:dyDescent="0.25">
      <c r="A795" s="41">
        <v>62023</v>
      </c>
      <c r="B795" s="39" t="s">
        <v>2570</v>
      </c>
      <c r="C795" s="40">
        <v>4</v>
      </c>
      <c r="D795" s="38" t="s">
        <v>266</v>
      </c>
    </row>
    <row r="796" spans="1:4" x14ac:dyDescent="0.25">
      <c r="A796" s="41">
        <v>62200</v>
      </c>
      <c r="B796" s="39" t="s">
        <v>2571</v>
      </c>
      <c r="C796" s="40">
        <v>3</v>
      </c>
      <c r="D796" s="38" t="s">
        <v>266</v>
      </c>
    </row>
    <row r="797" spans="1:4" x14ac:dyDescent="0.25">
      <c r="A797" s="41">
        <v>62213</v>
      </c>
      <c r="B797" s="39" t="s">
        <v>2572</v>
      </c>
      <c r="C797" s="40">
        <v>4</v>
      </c>
      <c r="D797" s="38" t="s">
        <v>266</v>
      </c>
    </row>
    <row r="798" spans="1:4" x14ac:dyDescent="0.25">
      <c r="A798" s="41">
        <v>62500</v>
      </c>
      <c r="B798" s="39" t="s">
        <v>2573</v>
      </c>
      <c r="C798" s="40">
        <v>3</v>
      </c>
      <c r="D798" s="38" t="s">
        <v>266</v>
      </c>
    </row>
    <row r="799" spans="1:4" x14ac:dyDescent="0.25">
      <c r="A799" s="41">
        <v>62513</v>
      </c>
      <c r="B799" s="39" t="s">
        <v>2574</v>
      </c>
      <c r="C799" s="40">
        <v>4</v>
      </c>
      <c r="D799" s="38" t="s">
        <v>266</v>
      </c>
    </row>
    <row r="800" spans="1:4" x14ac:dyDescent="0.25">
      <c r="A800" s="41">
        <v>62516</v>
      </c>
      <c r="B800" s="39" t="s">
        <v>2575</v>
      </c>
      <c r="C800" s="40">
        <v>4</v>
      </c>
      <c r="D800" s="38" t="s">
        <v>266</v>
      </c>
    </row>
    <row r="801" spans="1:4" x14ac:dyDescent="0.25">
      <c r="A801" s="41">
        <v>62600</v>
      </c>
      <c r="B801" s="39" t="s">
        <v>2576</v>
      </c>
      <c r="C801" s="40">
        <v>3</v>
      </c>
      <c r="D801" s="38" t="s">
        <v>266</v>
      </c>
    </row>
    <row r="802" spans="1:4" x14ac:dyDescent="0.25">
      <c r="A802" s="41">
        <v>62613</v>
      </c>
      <c r="B802" s="39" t="s">
        <v>2577</v>
      </c>
      <c r="C802" s="40">
        <v>4</v>
      </c>
      <c r="D802" s="38" t="s">
        <v>266</v>
      </c>
    </row>
    <row r="803" spans="1:4" x14ac:dyDescent="0.25">
      <c r="A803" s="41">
        <v>64000</v>
      </c>
      <c r="B803" s="39" t="s">
        <v>2578</v>
      </c>
      <c r="C803" s="40">
        <v>3</v>
      </c>
      <c r="D803" s="38" t="s">
        <v>266</v>
      </c>
    </row>
    <row r="804" spans="1:4" x14ac:dyDescent="0.25">
      <c r="A804" s="41">
        <v>64013</v>
      </c>
      <c r="B804" s="39" t="s">
        <v>2579</v>
      </c>
      <c r="C804" s="40">
        <v>4</v>
      </c>
      <c r="D804" s="38" t="s">
        <v>266</v>
      </c>
    </row>
    <row r="805" spans="1:4" x14ac:dyDescent="0.25">
      <c r="A805" s="41">
        <v>64023</v>
      </c>
      <c r="B805" s="39" t="s">
        <v>2580</v>
      </c>
      <c r="C805" s="40">
        <v>4</v>
      </c>
      <c r="D805" s="38" t="s">
        <v>266</v>
      </c>
    </row>
    <row r="806" spans="1:4" x14ac:dyDescent="0.25">
      <c r="A806" s="41">
        <v>64100</v>
      </c>
      <c r="B806" s="39" t="s">
        <v>2581</v>
      </c>
      <c r="C806" s="40">
        <v>3</v>
      </c>
      <c r="D806" s="38" t="s">
        <v>266</v>
      </c>
    </row>
    <row r="807" spans="1:4" x14ac:dyDescent="0.25">
      <c r="A807" s="41">
        <v>64113</v>
      </c>
      <c r="B807" s="39" t="s">
        <v>2582</v>
      </c>
      <c r="C807" s="40">
        <v>4</v>
      </c>
      <c r="D807" s="38" t="s">
        <v>266</v>
      </c>
    </row>
    <row r="808" spans="1:4" x14ac:dyDescent="0.25">
      <c r="A808" s="41">
        <v>64116</v>
      </c>
      <c r="B808" s="39" t="s">
        <v>2583</v>
      </c>
      <c r="C808" s="40">
        <v>4</v>
      </c>
      <c r="D808" s="38" t="s">
        <v>266</v>
      </c>
    </row>
    <row r="809" spans="1:4" x14ac:dyDescent="0.25">
      <c r="A809" s="41">
        <v>64193</v>
      </c>
      <c r="B809" s="39" t="s">
        <v>2584</v>
      </c>
      <c r="C809" s="40">
        <v>4</v>
      </c>
      <c r="D809" s="38" t="s">
        <v>266</v>
      </c>
    </row>
    <row r="810" spans="1:4" x14ac:dyDescent="0.25">
      <c r="A810" s="41">
        <v>64200</v>
      </c>
      <c r="B810" s="39" t="s">
        <v>2585</v>
      </c>
      <c r="C810" s="40">
        <v>3</v>
      </c>
      <c r="D810" s="38" t="s">
        <v>266</v>
      </c>
    </row>
    <row r="811" spans="1:4" x14ac:dyDescent="0.25">
      <c r="A811" s="41">
        <v>64213</v>
      </c>
      <c r="B811" s="39" t="s">
        <v>2586</v>
      </c>
      <c r="C811" s="40">
        <v>4</v>
      </c>
      <c r="D811" s="38" t="s">
        <v>266</v>
      </c>
    </row>
    <row r="812" spans="1:4" x14ac:dyDescent="0.25">
      <c r="A812" s="41">
        <v>64214</v>
      </c>
      <c r="B812" s="39" t="s">
        <v>2587</v>
      </c>
      <c r="C812" s="40">
        <v>4</v>
      </c>
      <c r="D812" s="38" t="s">
        <v>266</v>
      </c>
    </row>
    <row r="813" spans="1:4" x14ac:dyDescent="0.25">
      <c r="A813" s="41">
        <v>64216</v>
      </c>
      <c r="B813" s="39" t="s">
        <v>2588</v>
      </c>
      <c r="C813" s="40">
        <v>4</v>
      </c>
      <c r="D813" s="38" t="s">
        <v>266</v>
      </c>
    </row>
    <row r="814" spans="1:4" x14ac:dyDescent="0.25">
      <c r="A814" s="41">
        <v>64219</v>
      </c>
      <c r="B814" s="39" t="s">
        <v>2589</v>
      </c>
      <c r="C814" s="40">
        <v>4</v>
      </c>
      <c r="D814" s="38" t="s">
        <v>266</v>
      </c>
    </row>
    <row r="815" spans="1:4" x14ac:dyDescent="0.25">
      <c r="A815" s="41">
        <v>64300</v>
      </c>
      <c r="B815" s="39" t="s">
        <v>2590</v>
      </c>
      <c r="C815" s="40">
        <v>3</v>
      </c>
      <c r="D815" s="38" t="s">
        <v>266</v>
      </c>
    </row>
    <row r="816" spans="1:4" x14ac:dyDescent="0.25">
      <c r="A816" s="41">
        <v>64313</v>
      </c>
      <c r="B816" s="39" t="s">
        <v>2591</v>
      </c>
      <c r="C816" s="40">
        <v>4</v>
      </c>
      <c r="D816" s="38" t="s">
        <v>266</v>
      </c>
    </row>
    <row r="817" spans="1:4" x14ac:dyDescent="0.25">
      <c r="A817" s="41">
        <v>64316</v>
      </c>
      <c r="B817" s="39" t="s">
        <v>2592</v>
      </c>
      <c r="C817" s="40">
        <v>4</v>
      </c>
      <c r="D817" s="38" t="s">
        <v>266</v>
      </c>
    </row>
    <row r="818" spans="1:4" x14ac:dyDescent="0.25">
      <c r="A818" s="41">
        <v>64400</v>
      </c>
      <c r="B818" s="39" t="s">
        <v>2593</v>
      </c>
      <c r="C818" s="40">
        <v>3</v>
      </c>
      <c r="D818" s="38" t="s">
        <v>266</v>
      </c>
    </row>
    <row r="819" spans="1:4" x14ac:dyDescent="0.25">
      <c r="A819" s="41">
        <v>64413</v>
      </c>
      <c r="B819" s="39" t="s">
        <v>2594</v>
      </c>
      <c r="C819" s="40">
        <v>4</v>
      </c>
      <c r="D819" s="38" t="s">
        <v>266</v>
      </c>
    </row>
    <row r="820" spans="1:4" x14ac:dyDescent="0.25">
      <c r="A820" s="41">
        <v>64416</v>
      </c>
      <c r="B820" s="39" t="s">
        <v>2595</v>
      </c>
      <c r="C820" s="40">
        <v>4</v>
      </c>
      <c r="D820" s="38" t="s">
        <v>266</v>
      </c>
    </row>
    <row r="821" spans="1:4" x14ac:dyDescent="0.25">
      <c r="A821" s="41">
        <v>64419</v>
      </c>
      <c r="B821" s="39" t="s">
        <v>2596</v>
      </c>
      <c r="C821" s="40">
        <v>4</v>
      </c>
      <c r="D821" s="38" t="s">
        <v>266</v>
      </c>
    </row>
    <row r="822" spans="1:4" x14ac:dyDescent="0.25">
      <c r="A822" s="41">
        <v>64423</v>
      </c>
      <c r="B822" s="39" t="s">
        <v>2597</v>
      </c>
      <c r="C822" s="40">
        <v>4</v>
      </c>
      <c r="D822" s="38" t="s">
        <v>266</v>
      </c>
    </row>
    <row r="823" spans="1:4" x14ac:dyDescent="0.25">
      <c r="A823" s="41">
        <v>64426</v>
      </c>
      <c r="B823" s="39" t="s">
        <v>2598</v>
      </c>
      <c r="C823" s="40">
        <v>4</v>
      </c>
      <c r="D823" s="38" t="s">
        <v>266</v>
      </c>
    </row>
    <row r="824" spans="1:4" x14ac:dyDescent="0.25">
      <c r="A824" s="41">
        <v>64429</v>
      </c>
      <c r="B824" s="39" t="s">
        <v>2599</v>
      </c>
      <c r="C824" s="40">
        <v>4</v>
      </c>
      <c r="D824" s="38" t="s">
        <v>266</v>
      </c>
    </row>
    <row r="825" spans="1:4" x14ac:dyDescent="0.25">
      <c r="A825" s="41">
        <v>64433</v>
      </c>
      <c r="B825" s="39" t="s">
        <v>2600</v>
      </c>
      <c r="C825" s="40">
        <v>4</v>
      </c>
      <c r="D825" s="38" t="s">
        <v>266</v>
      </c>
    </row>
    <row r="826" spans="1:4" x14ac:dyDescent="0.25">
      <c r="A826" s="41">
        <v>64436</v>
      </c>
      <c r="B826" s="39" t="s">
        <v>2601</v>
      </c>
      <c r="C826" s="40">
        <v>4</v>
      </c>
      <c r="D826" s="38" t="s">
        <v>266</v>
      </c>
    </row>
    <row r="827" spans="1:4" x14ac:dyDescent="0.25">
      <c r="A827" s="41">
        <v>64439</v>
      </c>
      <c r="B827" s="39" t="s">
        <v>2602</v>
      </c>
      <c r="C827" s="40">
        <v>4</v>
      </c>
      <c r="D827" s="38" t="s">
        <v>266</v>
      </c>
    </row>
    <row r="828" spans="1:4" x14ac:dyDescent="0.25">
      <c r="A828" s="41">
        <v>64600</v>
      </c>
      <c r="B828" s="39" t="s">
        <v>2603</v>
      </c>
      <c r="C828" s="40">
        <v>3</v>
      </c>
      <c r="D828" s="38" t="s">
        <v>266</v>
      </c>
    </row>
    <row r="829" spans="1:4" x14ac:dyDescent="0.25">
      <c r="A829" s="41">
        <v>64613</v>
      </c>
      <c r="B829" s="39" t="s">
        <v>2604</v>
      </c>
      <c r="C829" s="40">
        <v>4</v>
      </c>
      <c r="D829" s="38" t="s">
        <v>266</v>
      </c>
    </row>
    <row r="830" spans="1:4" x14ac:dyDescent="0.25">
      <c r="A830" s="41">
        <v>64616</v>
      </c>
      <c r="B830" s="39" t="s">
        <v>2605</v>
      </c>
      <c r="C830" s="40">
        <v>4</v>
      </c>
      <c r="D830" s="38" t="s">
        <v>266</v>
      </c>
    </row>
    <row r="831" spans="1:4" x14ac:dyDescent="0.25">
      <c r="A831" s="41">
        <v>64619</v>
      </c>
      <c r="B831" s="39" t="s">
        <v>2606</v>
      </c>
      <c r="C831" s="40">
        <v>4</v>
      </c>
      <c r="D831" s="38" t="s">
        <v>266</v>
      </c>
    </row>
    <row r="832" spans="1:4" x14ac:dyDescent="0.25">
      <c r="A832" s="41">
        <v>64623</v>
      </c>
      <c r="B832" s="39" t="s">
        <v>2607</v>
      </c>
      <c r="C832" s="40">
        <v>4</v>
      </c>
      <c r="D832" s="38" t="s">
        <v>266</v>
      </c>
    </row>
    <row r="833" spans="1:4" x14ac:dyDescent="0.25">
      <c r="A833" s="41">
        <v>64626</v>
      </c>
      <c r="B833" s="39" t="s">
        <v>2608</v>
      </c>
      <c r="C833" s="40">
        <v>4</v>
      </c>
      <c r="D833" s="38" t="s">
        <v>266</v>
      </c>
    </row>
    <row r="834" spans="1:4" x14ac:dyDescent="0.25">
      <c r="A834" s="41">
        <v>64629</v>
      </c>
      <c r="B834" s="39" t="s">
        <v>2609</v>
      </c>
      <c r="C834" s="40">
        <v>4</v>
      </c>
      <c r="D834" s="38" t="s">
        <v>266</v>
      </c>
    </row>
    <row r="835" spans="1:4" x14ac:dyDescent="0.25">
      <c r="A835" s="41">
        <v>64633</v>
      </c>
      <c r="B835" s="39" t="s">
        <v>2610</v>
      </c>
      <c r="C835" s="40">
        <v>4</v>
      </c>
      <c r="D835" s="38" t="s">
        <v>266</v>
      </c>
    </row>
    <row r="836" spans="1:4" x14ac:dyDescent="0.25">
      <c r="A836" s="41">
        <v>64691</v>
      </c>
      <c r="B836" s="39" t="s">
        <v>2611</v>
      </c>
      <c r="C836" s="40">
        <v>4</v>
      </c>
      <c r="D836" s="38" t="s">
        <v>266</v>
      </c>
    </row>
    <row r="837" spans="1:4" x14ac:dyDescent="0.25">
      <c r="A837" s="41">
        <v>64800</v>
      </c>
      <c r="B837" s="39" t="s">
        <v>2612</v>
      </c>
      <c r="C837" s="40">
        <v>3</v>
      </c>
      <c r="D837" s="38" t="s">
        <v>266</v>
      </c>
    </row>
    <row r="838" spans="1:4" x14ac:dyDescent="0.25">
      <c r="A838" s="41">
        <v>64813</v>
      </c>
      <c r="B838" s="39" t="s">
        <v>2613</v>
      </c>
      <c r="C838" s="40">
        <v>4</v>
      </c>
      <c r="D838" s="38" t="s">
        <v>266</v>
      </c>
    </row>
    <row r="839" spans="1:4" x14ac:dyDescent="0.25">
      <c r="A839" s="41">
        <v>64816</v>
      </c>
      <c r="B839" s="39" t="s">
        <v>2614</v>
      </c>
      <c r="C839" s="40">
        <v>4</v>
      </c>
      <c r="D839" s="38" t="s">
        <v>266</v>
      </c>
    </row>
    <row r="840" spans="1:4" x14ac:dyDescent="0.25">
      <c r="A840" s="41">
        <v>64819</v>
      </c>
      <c r="B840" s="39" t="s">
        <v>2615</v>
      </c>
      <c r="C840" s="40">
        <v>4</v>
      </c>
      <c r="D840" s="38" t="s">
        <v>266</v>
      </c>
    </row>
    <row r="841" spans="1:4" x14ac:dyDescent="0.25">
      <c r="A841" s="41">
        <v>64823</v>
      </c>
      <c r="B841" s="39" t="s">
        <v>2616</v>
      </c>
      <c r="C841" s="40">
        <v>4</v>
      </c>
      <c r="D841" s="38" t="s">
        <v>266</v>
      </c>
    </row>
    <row r="842" spans="1:4" x14ac:dyDescent="0.25">
      <c r="A842" s="41">
        <v>64826</v>
      </c>
      <c r="B842" s="39" t="s">
        <v>2617</v>
      </c>
      <c r="C842" s="40">
        <v>4</v>
      </c>
      <c r="D842" s="38" t="s">
        <v>266</v>
      </c>
    </row>
    <row r="843" spans="1:4" x14ac:dyDescent="0.25">
      <c r="A843" s="41">
        <v>64900</v>
      </c>
      <c r="B843" s="39" t="s">
        <v>2618</v>
      </c>
      <c r="C843" s="40">
        <v>3</v>
      </c>
      <c r="D843" s="38" t="s">
        <v>266</v>
      </c>
    </row>
    <row r="844" spans="1:4" x14ac:dyDescent="0.25">
      <c r="A844" s="41">
        <v>64913</v>
      </c>
      <c r="B844" s="39" t="s">
        <v>2619</v>
      </c>
      <c r="C844" s="40">
        <v>4</v>
      </c>
      <c r="D844" s="38" t="s">
        <v>266</v>
      </c>
    </row>
    <row r="845" spans="1:4" x14ac:dyDescent="0.25">
      <c r="A845" s="41">
        <v>64916</v>
      </c>
      <c r="B845" s="39" t="s">
        <v>2620</v>
      </c>
      <c r="C845" s="40">
        <v>4</v>
      </c>
      <c r="D845" s="38" t="s">
        <v>266</v>
      </c>
    </row>
    <row r="846" spans="1:4" x14ac:dyDescent="0.25">
      <c r="A846" s="41">
        <v>64919</v>
      </c>
      <c r="B846" s="39" t="s">
        <v>2621</v>
      </c>
      <c r="C846" s="40">
        <v>4</v>
      </c>
      <c r="D846" s="38" t="s">
        <v>266</v>
      </c>
    </row>
    <row r="847" spans="1:4" x14ac:dyDescent="0.25">
      <c r="A847" s="41">
        <v>65000</v>
      </c>
      <c r="B847" s="39" t="s">
        <v>2622</v>
      </c>
      <c r="C847" s="40">
        <v>3</v>
      </c>
      <c r="D847" s="38" t="s">
        <v>266</v>
      </c>
    </row>
    <row r="848" spans="1:4" x14ac:dyDescent="0.25">
      <c r="A848" s="41">
        <v>65100</v>
      </c>
      <c r="B848" s="39" t="s">
        <v>2623</v>
      </c>
      <c r="C848" s="40">
        <v>3</v>
      </c>
      <c r="D848" s="38" t="s">
        <v>266</v>
      </c>
    </row>
    <row r="849" spans="1:4" x14ac:dyDescent="0.25">
      <c r="A849" s="41">
        <v>65113</v>
      </c>
      <c r="B849" s="39" t="s">
        <v>2624</v>
      </c>
      <c r="C849" s="40">
        <v>4</v>
      </c>
      <c r="D849" s="38" t="s">
        <v>266</v>
      </c>
    </row>
    <row r="850" spans="1:4" x14ac:dyDescent="0.25">
      <c r="A850" s="41">
        <v>65200</v>
      </c>
      <c r="B850" s="39" t="s">
        <v>2625</v>
      </c>
      <c r="C850" s="40">
        <v>3</v>
      </c>
      <c r="D850" s="38" t="s">
        <v>266</v>
      </c>
    </row>
    <row r="851" spans="1:4" x14ac:dyDescent="0.25">
      <c r="A851" s="41">
        <v>65300</v>
      </c>
      <c r="B851" s="39" t="s">
        <v>2626</v>
      </c>
      <c r="C851" s="40">
        <v>3</v>
      </c>
      <c r="D851" s="38" t="s">
        <v>266</v>
      </c>
    </row>
    <row r="852" spans="1:4" x14ac:dyDescent="0.25">
      <c r="A852" s="41">
        <v>65313</v>
      </c>
      <c r="B852" s="39" t="s">
        <v>2627</v>
      </c>
      <c r="C852" s="40">
        <v>4</v>
      </c>
      <c r="D852" s="38" t="s">
        <v>266</v>
      </c>
    </row>
    <row r="853" spans="1:4" x14ac:dyDescent="0.25">
      <c r="A853" s="41">
        <v>66000</v>
      </c>
      <c r="B853" s="39" t="s">
        <v>2628</v>
      </c>
      <c r="C853" s="40">
        <v>3</v>
      </c>
      <c r="D853" s="38" t="s">
        <v>266</v>
      </c>
    </row>
    <row r="854" spans="1:4" x14ac:dyDescent="0.25">
      <c r="A854" s="41">
        <v>66100</v>
      </c>
      <c r="B854" s="39" t="s">
        <v>2629</v>
      </c>
      <c r="C854" s="40">
        <v>3</v>
      </c>
      <c r="D854" s="38" t="s">
        <v>266</v>
      </c>
    </row>
    <row r="855" spans="1:4" x14ac:dyDescent="0.25">
      <c r="A855" s="41">
        <v>66113</v>
      </c>
      <c r="B855" s="39" t="s">
        <v>2630</v>
      </c>
      <c r="C855" s="40">
        <v>4</v>
      </c>
      <c r="D855" s="38" t="s">
        <v>266</v>
      </c>
    </row>
    <row r="856" spans="1:4" x14ac:dyDescent="0.25">
      <c r="A856" s="41">
        <v>66116</v>
      </c>
      <c r="B856" s="39" t="s">
        <v>2631</v>
      </c>
      <c r="C856" s="40">
        <v>4</v>
      </c>
      <c r="D856" s="38" t="s">
        <v>266</v>
      </c>
    </row>
    <row r="857" spans="1:4" x14ac:dyDescent="0.25">
      <c r="A857" s="41">
        <v>66119</v>
      </c>
      <c r="B857" s="39" t="s">
        <v>2632</v>
      </c>
      <c r="C857" s="40">
        <v>4</v>
      </c>
      <c r="D857" s="38" t="s">
        <v>266</v>
      </c>
    </row>
    <row r="858" spans="1:4" x14ac:dyDescent="0.25">
      <c r="A858" s="41">
        <v>66300</v>
      </c>
      <c r="B858" s="39" t="s">
        <v>2633</v>
      </c>
      <c r="C858" s="40">
        <v>3</v>
      </c>
      <c r="D858" s="38" t="s">
        <v>266</v>
      </c>
    </row>
    <row r="859" spans="1:4" x14ac:dyDescent="0.25">
      <c r="A859" s="41">
        <v>66400</v>
      </c>
      <c r="B859" s="39" t="s">
        <v>2634</v>
      </c>
      <c r="C859" s="40">
        <v>3</v>
      </c>
      <c r="D859" s="38" t="s">
        <v>266</v>
      </c>
    </row>
    <row r="860" spans="1:4" x14ac:dyDescent="0.25">
      <c r="A860" s="41">
        <v>66413</v>
      </c>
      <c r="B860" s="39" t="s">
        <v>2635</v>
      </c>
      <c r="C860" s="40">
        <v>4</v>
      </c>
      <c r="D860" s="38" t="s">
        <v>266</v>
      </c>
    </row>
    <row r="861" spans="1:4" x14ac:dyDescent="0.25">
      <c r="A861" s="41">
        <v>66500</v>
      </c>
      <c r="B861" s="39" t="s">
        <v>2636</v>
      </c>
      <c r="C861" s="40">
        <v>3</v>
      </c>
      <c r="D861" s="38" t="s">
        <v>266</v>
      </c>
    </row>
    <row r="862" spans="1:4" x14ac:dyDescent="0.25">
      <c r="A862" s="41">
        <v>66600</v>
      </c>
      <c r="B862" s="39" t="s">
        <v>2637</v>
      </c>
      <c r="C862" s="40">
        <v>3</v>
      </c>
      <c r="D862" s="38" t="s">
        <v>266</v>
      </c>
    </row>
    <row r="863" spans="1:4" x14ac:dyDescent="0.25">
      <c r="A863" s="41">
        <v>67000</v>
      </c>
      <c r="B863" s="39" t="s">
        <v>2638</v>
      </c>
      <c r="C863" s="40">
        <v>3</v>
      </c>
      <c r="D863" s="38" t="s">
        <v>266</v>
      </c>
    </row>
    <row r="864" spans="1:4" x14ac:dyDescent="0.25">
      <c r="A864" s="41">
        <v>67100</v>
      </c>
      <c r="B864" s="39" t="s">
        <v>2639</v>
      </c>
      <c r="C864" s="40">
        <v>3</v>
      </c>
      <c r="D864" s="38" t="s">
        <v>266</v>
      </c>
    </row>
    <row r="865" spans="1:4" x14ac:dyDescent="0.25">
      <c r="A865" s="41">
        <v>67113</v>
      </c>
      <c r="B865" s="39" t="s">
        <v>2640</v>
      </c>
      <c r="C865" s="40">
        <v>4</v>
      </c>
      <c r="D865" s="38" t="s">
        <v>266</v>
      </c>
    </row>
    <row r="866" spans="1:4" x14ac:dyDescent="0.25">
      <c r="A866" s="41">
        <v>67200</v>
      </c>
      <c r="B866" s="39" t="s">
        <v>2641</v>
      </c>
      <c r="C866" s="40">
        <v>3</v>
      </c>
      <c r="D866" s="38" t="s">
        <v>266</v>
      </c>
    </row>
    <row r="867" spans="1:4" x14ac:dyDescent="0.25">
      <c r="A867" s="41">
        <v>67213</v>
      </c>
      <c r="B867" s="39" t="s">
        <v>2642</v>
      </c>
      <c r="C867" s="40">
        <v>4</v>
      </c>
      <c r="D867" s="38" t="s">
        <v>266</v>
      </c>
    </row>
    <row r="868" spans="1:4" x14ac:dyDescent="0.25">
      <c r="A868" s="41">
        <v>67300</v>
      </c>
      <c r="B868" s="39" t="s">
        <v>2643</v>
      </c>
      <c r="C868" s="40">
        <v>3</v>
      </c>
      <c r="D868" s="38" t="s">
        <v>266</v>
      </c>
    </row>
    <row r="869" spans="1:4" x14ac:dyDescent="0.25">
      <c r="A869" s="41">
        <v>67313</v>
      </c>
      <c r="B869" s="39" t="s">
        <v>2644</v>
      </c>
      <c r="C869" s="40">
        <v>4</v>
      </c>
      <c r="D869" s="38" t="s">
        <v>266</v>
      </c>
    </row>
    <row r="870" spans="1:4" x14ac:dyDescent="0.25">
      <c r="A870" s="41">
        <v>67400</v>
      </c>
      <c r="B870" s="39" t="s">
        <v>2645</v>
      </c>
      <c r="C870" s="40">
        <v>3</v>
      </c>
      <c r="D870" s="38" t="s">
        <v>266</v>
      </c>
    </row>
    <row r="871" spans="1:4" x14ac:dyDescent="0.25">
      <c r="A871" s="41">
        <v>67413</v>
      </c>
      <c r="B871" s="39" t="s">
        <v>2646</v>
      </c>
      <c r="C871" s="40">
        <v>4</v>
      </c>
      <c r="D871" s="38" t="s">
        <v>266</v>
      </c>
    </row>
    <row r="872" spans="1:4" x14ac:dyDescent="0.25">
      <c r="A872" s="41">
        <v>68000</v>
      </c>
      <c r="B872" s="39" t="s">
        <v>2647</v>
      </c>
      <c r="C872" s="40">
        <v>3</v>
      </c>
      <c r="D872" s="38" t="s">
        <v>266</v>
      </c>
    </row>
    <row r="873" spans="1:4" x14ac:dyDescent="0.25">
      <c r="A873" s="41">
        <v>68100</v>
      </c>
      <c r="B873" s="39" t="s">
        <v>2648</v>
      </c>
      <c r="C873" s="40">
        <v>3</v>
      </c>
      <c r="D873" s="38" t="s">
        <v>266</v>
      </c>
    </row>
    <row r="874" spans="1:4" x14ac:dyDescent="0.25">
      <c r="A874" s="41">
        <v>68113</v>
      </c>
      <c r="B874" s="39" t="s">
        <v>2649</v>
      </c>
      <c r="C874" s="40">
        <v>4</v>
      </c>
      <c r="D874" s="38" t="s">
        <v>266</v>
      </c>
    </row>
    <row r="875" spans="1:4" x14ac:dyDescent="0.25">
      <c r="A875" s="41">
        <v>68300</v>
      </c>
      <c r="B875" s="39" t="s">
        <v>2650</v>
      </c>
      <c r="C875" s="40">
        <v>3</v>
      </c>
      <c r="D875" s="38" t="s">
        <v>266</v>
      </c>
    </row>
    <row r="876" spans="1:4" x14ac:dyDescent="0.25">
      <c r="A876" s="41">
        <v>68313</v>
      </c>
      <c r="B876" s="39" t="s">
        <v>2651</v>
      </c>
      <c r="C876" s="40">
        <v>4</v>
      </c>
      <c r="D876" s="38" t="s">
        <v>266</v>
      </c>
    </row>
    <row r="877" spans="1:4" x14ac:dyDescent="0.25">
      <c r="A877" s="41">
        <v>68316</v>
      </c>
      <c r="B877" s="39" t="s">
        <v>2652</v>
      </c>
      <c r="C877" s="40">
        <v>4</v>
      </c>
      <c r="D877" s="38" t="s">
        <v>266</v>
      </c>
    </row>
    <row r="878" spans="1:4" x14ac:dyDescent="0.25">
      <c r="A878" s="41">
        <v>70000</v>
      </c>
      <c r="B878" s="39" t="s">
        <v>2653</v>
      </c>
      <c r="C878" s="40">
        <v>2</v>
      </c>
      <c r="D878" s="38" t="s">
        <v>266</v>
      </c>
    </row>
    <row r="879" spans="1:4" x14ac:dyDescent="0.25">
      <c r="A879" s="41">
        <v>70100</v>
      </c>
      <c r="B879" s="39" t="s">
        <v>2654</v>
      </c>
      <c r="C879" s="40">
        <v>3</v>
      </c>
      <c r="D879" s="38" t="s">
        <v>266</v>
      </c>
    </row>
    <row r="880" spans="1:4" x14ac:dyDescent="0.25">
      <c r="A880" s="41">
        <v>70110</v>
      </c>
      <c r="B880" s="39" t="s">
        <v>2655</v>
      </c>
      <c r="C880" s="40">
        <v>4</v>
      </c>
      <c r="D880" s="38" t="s">
        <v>266</v>
      </c>
    </row>
    <row r="881" spans="1:4" x14ac:dyDescent="0.25">
      <c r="A881" s="42">
        <v>70110.81</v>
      </c>
      <c r="B881" s="39" t="s">
        <v>2656</v>
      </c>
      <c r="C881" s="40">
        <v>5</v>
      </c>
      <c r="D881" s="38" t="s">
        <v>266</v>
      </c>
    </row>
    <row r="882" spans="1:4" x14ac:dyDescent="0.25">
      <c r="A882" s="41">
        <v>70120</v>
      </c>
      <c r="B882" s="39" t="s">
        <v>2657</v>
      </c>
      <c r="C882" s="40">
        <v>4</v>
      </c>
      <c r="D882" s="38" t="s">
        <v>266</v>
      </c>
    </row>
    <row r="883" spans="1:4" x14ac:dyDescent="0.25">
      <c r="A883" s="41">
        <v>70130</v>
      </c>
      <c r="B883" s="39" t="s">
        <v>2658</v>
      </c>
      <c r="C883" s="40">
        <v>4</v>
      </c>
      <c r="D883" s="38" t="s">
        <v>266</v>
      </c>
    </row>
    <row r="884" spans="1:4" x14ac:dyDescent="0.25">
      <c r="A884" s="41">
        <v>70140</v>
      </c>
      <c r="B884" s="39" t="s">
        <v>2659</v>
      </c>
      <c r="C884" s="40">
        <v>4</v>
      </c>
      <c r="D884" s="38" t="s">
        <v>266</v>
      </c>
    </row>
    <row r="885" spans="1:4" x14ac:dyDescent="0.25">
      <c r="A885" s="41">
        <v>70150</v>
      </c>
      <c r="B885" s="39" t="s">
        <v>2660</v>
      </c>
      <c r="C885" s="40">
        <v>4</v>
      </c>
      <c r="D885" s="38" t="s">
        <v>266</v>
      </c>
    </row>
    <row r="886" spans="1:4" x14ac:dyDescent="0.25">
      <c r="A886" s="42">
        <v>70150.13</v>
      </c>
      <c r="B886" s="39" t="s">
        <v>2661</v>
      </c>
      <c r="C886" s="40">
        <v>5</v>
      </c>
      <c r="D886" s="38" t="s">
        <v>266</v>
      </c>
    </row>
    <row r="887" spans="1:4" x14ac:dyDescent="0.25">
      <c r="A887" s="42">
        <v>70150.16</v>
      </c>
      <c r="B887" s="39" t="s">
        <v>2662</v>
      </c>
      <c r="C887" s="40">
        <v>5</v>
      </c>
      <c r="D887" s="38" t="s">
        <v>266</v>
      </c>
    </row>
    <row r="888" spans="1:4" x14ac:dyDescent="0.25">
      <c r="A888" s="42">
        <v>70150.19</v>
      </c>
      <c r="B888" s="39" t="s">
        <v>2663</v>
      </c>
      <c r="C888" s="40">
        <v>5</v>
      </c>
      <c r="D888" s="38" t="s">
        <v>266</v>
      </c>
    </row>
    <row r="889" spans="1:4" x14ac:dyDescent="0.25">
      <c r="A889" s="42">
        <v>70150.23</v>
      </c>
      <c r="B889" s="39" t="s">
        <v>2664</v>
      </c>
      <c r="C889" s="40">
        <v>5</v>
      </c>
      <c r="D889" s="38" t="s">
        <v>266</v>
      </c>
    </row>
    <row r="890" spans="1:4" x14ac:dyDescent="0.25">
      <c r="A890" s="42">
        <v>70150.61</v>
      </c>
      <c r="B890" s="39" t="s">
        <v>2665</v>
      </c>
      <c r="C890" s="40">
        <v>5</v>
      </c>
      <c r="D890" s="38" t="s">
        <v>266</v>
      </c>
    </row>
    <row r="891" spans="1:4" x14ac:dyDescent="0.25">
      <c r="A891" s="42">
        <v>70150.81</v>
      </c>
      <c r="B891" s="39" t="s">
        <v>2666</v>
      </c>
      <c r="C891" s="40">
        <v>5</v>
      </c>
      <c r="D891" s="38" t="s">
        <v>266</v>
      </c>
    </row>
    <row r="892" spans="1:4" x14ac:dyDescent="0.25">
      <c r="A892" s="42">
        <v>70150.91</v>
      </c>
      <c r="B892" s="39" t="s">
        <v>2667</v>
      </c>
      <c r="C892" s="40">
        <v>5</v>
      </c>
      <c r="D892" s="38" t="s">
        <v>266</v>
      </c>
    </row>
    <row r="893" spans="1:4" x14ac:dyDescent="0.25">
      <c r="A893" s="41">
        <v>70160</v>
      </c>
      <c r="B893" s="39" t="s">
        <v>2668</v>
      </c>
      <c r="C893" s="40">
        <v>4</v>
      </c>
      <c r="D893" s="38" t="s">
        <v>266</v>
      </c>
    </row>
    <row r="894" spans="1:4" x14ac:dyDescent="0.25">
      <c r="A894" s="42">
        <v>70160.710000000006</v>
      </c>
      <c r="B894" s="39" t="s">
        <v>2669</v>
      </c>
      <c r="C894" s="40">
        <v>5</v>
      </c>
      <c r="D894" s="38" t="s">
        <v>266</v>
      </c>
    </row>
    <row r="895" spans="1:4" x14ac:dyDescent="0.25">
      <c r="A895" s="42">
        <v>70160.91</v>
      </c>
      <c r="B895" s="39" t="s">
        <v>2670</v>
      </c>
      <c r="C895" s="40">
        <v>5</v>
      </c>
      <c r="D895" s="38" t="s">
        <v>266</v>
      </c>
    </row>
    <row r="896" spans="1:4" x14ac:dyDescent="0.25">
      <c r="A896" s="42">
        <v>70160.92</v>
      </c>
      <c r="B896" s="39" t="s">
        <v>2671</v>
      </c>
      <c r="C896" s="40">
        <v>5</v>
      </c>
      <c r="D896" s="38" t="s">
        <v>266</v>
      </c>
    </row>
    <row r="897" spans="1:4" x14ac:dyDescent="0.25">
      <c r="A897" s="41">
        <v>70170</v>
      </c>
      <c r="B897" s="39" t="s">
        <v>2672</v>
      </c>
      <c r="C897" s="40">
        <v>4</v>
      </c>
      <c r="D897" s="38" t="s">
        <v>266</v>
      </c>
    </row>
    <row r="898" spans="1:4" x14ac:dyDescent="0.25">
      <c r="A898" s="41">
        <v>70180</v>
      </c>
      <c r="B898" s="39" t="s">
        <v>2673</v>
      </c>
      <c r="C898" s="40">
        <v>4</v>
      </c>
      <c r="D898" s="38" t="s">
        <v>266</v>
      </c>
    </row>
    <row r="899" spans="1:4" x14ac:dyDescent="0.25">
      <c r="A899" s="41">
        <v>70190</v>
      </c>
      <c r="B899" s="39" t="s">
        <v>2674</v>
      </c>
      <c r="C899" s="40">
        <v>4</v>
      </c>
      <c r="D899" s="38" t="s">
        <v>266</v>
      </c>
    </row>
    <row r="900" spans="1:4" x14ac:dyDescent="0.25">
      <c r="A900" s="42">
        <v>70190.710000000006</v>
      </c>
      <c r="B900" s="39" t="s">
        <v>2675</v>
      </c>
      <c r="C900" s="40">
        <v>5</v>
      </c>
      <c r="D900" s="38" t="s">
        <v>266</v>
      </c>
    </row>
    <row r="901" spans="1:4" x14ac:dyDescent="0.25">
      <c r="A901" s="42">
        <v>70190.81</v>
      </c>
      <c r="B901" s="39" t="s">
        <v>2676</v>
      </c>
      <c r="C901" s="40">
        <v>5</v>
      </c>
      <c r="D901" s="38" t="s">
        <v>266</v>
      </c>
    </row>
    <row r="902" spans="1:4" x14ac:dyDescent="0.25">
      <c r="A902" s="41">
        <v>70500</v>
      </c>
      <c r="B902" s="39" t="s">
        <v>2677</v>
      </c>
      <c r="C902" s="40">
        <v>3</v>
      </c>
      <c r="D902" s="38" t="s">
        <v>266</v>
      </c>
    </row>
    <row r="903" spans="1:4" x14ac:dyDescent="0.25">
      <c r="A903" s="41">
        <v>70800</v>
      </c>
      <c r="B903" s="39" t="s">
        <v>2678</v>
      </c>
      <c r="C903" s="40">
        <v>3</v>
      </c>
      <c r="D903" s="38" t="s">
        <v>266</v>
      </c>
    </row>
    <row r="904" spans="1:4" x14ac:dyDescent="0.25">
      <c r="A904" s="41">
        <v>71000</v>
      </c>
      <c r="B904" s="39" t="s">
        <v>2679</v>
      </c>
      <c r="C904" s="40">
        <v>3</v>
      </c>
      <c r="D904" s="38" t="s">
        <v>266</v>
      </c>
    </row>
    <row r="905" spans="1:4" x14ac:dyDescent="0.25">
      <c r="A905" s="41">
        <v>71100</v>
      </c>
      <c r="B905" s="39" t="s">
        <v>2680</v>
      </c>
      <c r="C905" s="40">
        <v>3</v>
      </c>
      <c r="D905" s="38" t="s">
        <v>266</v>
      </c>
    </row>
    <row r="906" spans="1:4" x14ac:dyDescent="0.25">
      <c r="A906" s="41">
        <v>71113</v>
      </c>
      <c r="B906" s="39" t="s">
        <v>2681</v>
      </c>
      <c r="C906" s="40">
        <v>4</v>
      </c>
      <c r="D906" s="38" t="s">
        <v>266</v>
      </c>
    </row>
    <row r="907" spans="1:4" x14ac:dyDescent="0.25">
      <c r="A907" s="41">
        <v>71116</v>
      </c>
      <c r="B907" s="39" t="s">
        <v>2682</v>
      </c>
      <c r="C907" s="40">
        <v>4</v>
      </c>
      <c r="D907" s="38" t="s">
        <v>266</v>
      </c>
    </row>
    <row r="908" spans="1:4" x14ac:dyDescent="0.25">
      <c r="A908" s="41">
        <v>71119</v>
      </c>
      <c r="B908" s="39" t="s">
        <v>2683</v>
      </c>
      <c r="C908" s="40">
        <v>4</v>
      </c>
      <c r="D908" s="38" t="s">
        <v>266</v>
      </c>
    </row>
    <row r="909" spans="1:4" x14ac:dyDescent="0.25">
      <c r="A909" s="41">
        <v>71200</v>
      </c>
      <c r="B909" s="39" t="s">
        <v>2684</v>
      </c>
      <c r="C909" s="40">
        <v>3</v>
      </c>
      <c r="D909" s="38" t="s">
        <v>266</v>
      </c>
    </row>
    <row r="910" spans="1:4" x14ac:dyDescent="0.25">
      <c r="A910" s="41">
        <v>71213</v>
      </c>
      <c r="B910" s="39" t="s">
        <v>2685</v>
      </c>
      <c r="C910" s="40">
        <v>4</v>
      </c>
      <c r="D910" s="38" t="s">
        <v>266</v>
      </c>
    </row>
    <row r="911" spans="1:4" x14ac:dyDescent="0.25">
      <c r="A911" s="41">
        <v>71216</v>
      </c>
      <c r="B911" s="39" t="s">
        <v>2686</v>
      </c>
      <c r="C911" s="40">
        <v>4</v>
      </c>
      <c r="D911" s="38" t="s">
        <v>266</v>
      </c>
    </row>
    <row r="912" spans="1:4" x14ac:dyDescent="0.25">
      <c r="A912" s="41">
        <v>71300</v>
      </c>
      <c r="B912" s="39" t="s">
        <v>2687</v>
      </c>
      <c r="C912" s="40">
        <v>3</v>
      </c>
      <c r="D912" s="38" t="s">
        <v>266</v>
      </c>
    </row>
    <row r="913" spans="1:4" x14ac:dyDescent="0.25">
      <c r="A913" s="41">
        <v>71313</v>
      </c>
      <c r="B913" s="39" t="s">
        <v>2688</v>
      </c>
      <c r="C913" s="40">
        <v>4</v>
      </c>
      <c r="D913" s="38" t="s">
        <v>266</v>
      </c>
    </row>
    <row r="914" spans="1:4" x14ac:dyDescent="0.25">
      <c r="A914" s="41">
        <v>71326</v>
      </c>
      <c r="B914" s="39" t="s">
        <v>2689</v>
      </c>
      <c r="C914" s="40">
        <v>4</v>
      </c>
      <c r="D914" s="38" t="s">
        <v>266</v>
      </c>
    </row>
    <row r="915" spans="1:4" x14ac:dyDescent="0.25">
      <c r="A915" s="41">
        <v>71352</v>
      </c>
      <c r="B915" s="39" t="s">
        <v>2690</v>
      </c>
      <c r="C915" s="40">
        <v>4</v>
      </c>
      <c r="D915" s="38" t="s">
        <v>266</v>
      </c>
    </row>
    <row r="916" spans="1:4" x14ac:dyDescent="0.25">
      <c r="A916" s="41">
        <v>71353</v>
      </c>
      <c r="B916" s="39" t="s">
        <v>2691</v>
      </c>
      <c r="C916" s="40">
        <v>4</v>
      </c>
      <c r="D916" s="38" t="s">
        <v>266</v>
      </c>
    </row>
    <row r="917" spans="1:4" x14ac:dyDescent="0.25">
      <c r="A917" s="41">
        <v>71354</v>
      </c>
      <c r="B917" s="39" t="s">
        <v>2692</v>
      </c>
      <c r="C917" s="40">
        <v>4</v>
      </c>
      <c r="D917" s="38" t="s">
        <v>266</v>
      </c>
    </row>
    <row r="918" spans="1:4" x14ac:dyDescent="0.25">
      <c r="A918" s="41">
        <v>71400</v>
      </c>
      <c r="B918" s="39" t="s">
        <v>2693</v>
      </c>
      <c r="C918" s="40">
        <v>3</v>
      </c>
      <c r="D918" s="38" t="s">
        <v>266</v>
      </c>
    </row>
    <row r="919" spans="1:4" x14ac:dyDescent="0.25">
      <c r="A919" s="41">
        <v>71413</v>
      </c>
      <c r="B919" s="39" t="s">
        <v>2694</v>
      </c>
      <c r="C919" s="40">
        <v>4</v>
      </c>
      <c r="D919" s="38" t="s">
        <v>266</v>
      </c>
    </row>
    <row r="920" spans="1:4" x14ac:dyDescent="0.25">
      <c r="A920" s="41">
        <v>71416</v>
      </c>
      <c r="B920" s="39" t="s">
        <v>2695</v>
      </c>
      <c r="C920" s="40">
        <v>4</v>
      </c>
      <c r="D920" s="38" t="s">
        <v>266</v>
      </c>
    </row>
    <row r="921" spans="1:4" x14ac:dyDescent="0.25">
      <c r="A921" s="41">
        <v>71500</v>
      </c>
      <c r="B921" s="39" t="s">
        <v>2696</v>
      </c>
      <c r="C921" s="40">
        <v>3</v>
      </c>
      <c r="D921" s="38" t="s">
        <v>266</v>
      </c>
    </row>
    <row r="922" spans="1:4" x14ac:dyDescent="0.25">
      <c r="A922" s="41">
        <v>71600</v>
      </c>
      <c r="B922" s="39" t="s">
        <v>2697</v>
      </c>
      <c r="C922" s="40">
        <v>3</v>
      </c>
      <c r="D922" s="38" t="s">
        <v>266</v>
      </c>
    </row>
    <row r="923" spans="1:4" x14ac:dyDescent="0.25">
      <c r="A923" s="41">
        <v>71613</v>
      </c>
      <c r="B923" s="39" t="s">
        <v>2698</v>
      </c>
      <c r="C923" s="40">
        <v>4</v>
      </c>
      <c r="D923" s="38" t="s">
        <v>266</v>
      </c>
    </row>
    <row r="924" spans="1:4" x14ac:dyDescent="0.25">
      <c r="A924" s="41">
        <v>71616</v>
      </c>
      <c r="B924" s="39" t="s">
        <v>2699</v>
      </c>
      <c r="C924" s="40">
        <v>4</v>
      </c>
      <c r="D924" s="38" t="s">
        <v>266</v>
      </c>
    </row>
    <row r="925" spans="1:4" x14ac:dyDescent="0.25">
      <c r="A925" s="41">
        <v>71619</v>
      </c>
      <c r="B925" s="39" t="s">
        <v>2700</v>
      </c>
      <c r="C925" s="40">
        <v>4</v>
      </c>
      <c r="D925" s="38" t="s">
        <v>266</v>
      </c>
    </row>
    <row r="926" spans="1:4" x14ac:dyDescent="0.25">
      <c r="A926" s="41">
        <v>71700</v>
      </c>
      <c r="B926" s="39" t="s">
        <v>2701</v>
      </c>
      <c r="C926" s="40">
        <v>3</v>
      </c>
      <c r="D926" s="38" t="s">
        <v>266</v>
      </c>
    </row>
    <row r="927" spans="1:4" x14ac:dyDescent="0.25">
      <c r="A927" s="41">
        <v>71713</v>
      </c>
      <c r="B927" s="39" t="s">
        <v>2702</v>
      </c>
      <c r="C927" s="40">
        <v>4</v>
      </c>
      <c r="D927" s="38" t="s">
        <v>266</v>
      </c>
    </row>
    <row r="928" spans="1:4" x14ac:dyDescent="0.25">
      <c r="A928" s="41">
        <v>71716</v>
      </c>
      <c r="B928" s="39" t="s">
        <v>2703</v>
      </c>
      <c r="C928" s="40">
        <v>4</v>
      </c>
      <c r="D928" s="38" t="s">
        <v>266</v>
      </c>
    </row>
    <row r="929" spans="1:4" x14ac:dyDescent="0.25">
      <c r="A929" s="41">
        <v>71800</v>
      </c>
      <c r="B929" s="39" t="s">
        <v>2704</v>
      </c>
      <c r="C929" s="40">
        <v>3</v>
      </c>
      <c r="D929" s="38" t="s">
        <v>266</v>
      </c>
    </row>
    <row r="930" spans="1:4" x14ac:dyDescent="0.25">
      <c r="A930" s="41">
        <v>71813</v>
      </c>
      <c r="B930" s="39" t="s">
        <v>2705</v>
      </c>
      <c r="C930" s="40">
        <v>4</v>
      </c>
      <c r="D930" s="38" t="s">
        <v>266</v>
      </c>
    </row>
    <row r="931" spans="1:4" x14ac:dyDescent="0.25">
      <c r="A931" s="41">
        <v>71816</v>
      </c>
      <c r="B931" s="39" t="s">
        <v>2706</v>
      </c>
      <c r="C931" s="40">
        <v>4</v>
      </c>
      <c r="D931" s="38" t="s">
        <v>266</v>
      </c>
    </row>
    <row r="932" spans="1:4" x14ac:dyDescent="0.25">
      <c r="A932" s="41">
        <v>71900</v>
      </c>
      <c r="B932" s="39" t="s">
        <v>2707</v>
      </c>
      <c r="C932" s="40">
        <v>3</v>
      </c>
      <c r="D932" s="38" t="s">
        <v>266</v>
      </c>
    </row>
    <row r="933" spans="1:4" x14ac:dyDescent="0.25">
      <c r="A933" s="41">
        <v>71913</v>
      </c>
      <c r="B933" s="39" t="s">
        <v>2708</v>
      </c>
      <c r="C933" s="40">
        <v>4</v>
      </c>
      <c r="D933" s="38" t="s">
        <v>266</v>
      </c>
    </row>
    <row r="934" spans="1:4" x14ac:dyDescent="0.25">
      <c r="A934" s="41">
        <v>71916</v>
      </c>
      <c r="B934" s="39" t="s">
        <v>2709</v>
      </c>
      <c r="C934" s="40">
        <v>4</v>
      </c>
      <c r="D934" s="38" t="s">
        <v>266</v>
      </c>
    </row>
    <row r="935" spans="1:4" x14ac:dyDescent="0.25">
      <c r="A935" s="41">
        <v>71919</v>
      </c>
      <c r="B935" s="39" t="s">
        <v>2710</v>
      </c>
      <c r="C935" s="40">
        <v>4</v>
      </c>
      <c r="D935" s="38" t="s">
        <v>266</v>
      </c>
    </row>
    <row r="936" spans="1:4" x14ac:dyDescent="0.25">
      <c r="A936" s="41">
        <v>71923</v>
      </c>
      <c r="B936" s="39" t="s">
        <v>2711</v>
      </c>
      <c r="C936" s="40">
        <v>4</v>
      </c>
      <c r="D936" s="38" t="s">
        <v>266</v>
      </c>
    </row>
    <row r="937" spans="1:4" x14ac:dyDescent="0.25">
      <c r="A937" s="41">
        <v>71926</v>
      </c>
      <c r="B937" s="39" t="s">
        <v>2712</v>
      </c>
      <c r="C937" s="40">
        <v>4</v>
      </c>
      <c r="D937" s="38" t="s">
        <v>266</v>
      </c>
    </row>
    <row r="938" spans="1:4" x14ac:dyDescent="0.25">
      <c r="A938" s="41">
        <v>72000</v>
      </c>
      <c r="B938" s="39" t="s">
        <v>2713</v>
      </c>
      <c r="C938" s="40">
        <v>3</v>
      </c>
      <c r="D938" s="38" t="s">
        <v>266</v>
      </c>
    </row>
    <row r="939" spans="1:4" x14ac:dyDescent="0.25">
      <c r="A939" s="41">
        <v>72100</v>
      </c>
      <c r="B939" s="39" t="s">
        <v>2714</v>
      </c>
      <c r="C939" s="40">
        <v>3</v>
      </c>
      <c r="D939" s="38" t="s">
        <v>266</v>
      </c>
    </row>
    <row r="940" spans="1:4" x14ac:dyDescent="0.25">
      <c r="A940" s="41">
        <v>72113</v>
      </c>
      <c r="B940" s="39" t="s">
        <v>2715</v>
      </c>
      <c r="C940" s="40">
        <v>4</v>
      </c>
      <c r="D940" s="38" t="s">
        <v>266</v>
      </c>
    </row>
    <row r="941" spans="1:4" x14ac:dyDescent="0.25">
      <c r="A941" s="42">
        <v>72113.13</v>
      </c>
      <c r="B941" s="39" t="s">
        <v>2716</v>
      </c>
      <c r="C941" s="40">
        <v>5</v>
      </c>
      <c r="D941" s="38" t="s">
        <v>266</v>
      </c>
    </row>
    <row r="942" spans="1:4" x14ac:dyDescent="0.25">
      <c r="A942" s="42">
        <v>72113.16</v>
      </c>
      <c r="B942" s="39" t="s">
        <v>2717</v>
      </c>
      <c r="C942" s="40">
        <v>5</v>
      </c>
      <c r="D942" s="38" t="s">
        <v>266</v>
      </c>
    </row>
    <row r="943" spans="1:4" x14ac:dyDescent="0.25">
      <c r="A943" s="42">
        <v>72113.19</v>
      </c>
      <c r="B943" s="39" t="s">
        <v>2718</v>
      </c>
      <c r="C943" s="40">
        <v>5</v>
      </c>
      <c r="D943" s="38" t="s">
        <v>266</v>
      </c>
    </row>
    <row r="944" spans="1:4" x14ac:dyDescent="0.25">
      <c r="A944" s="41">
        <v>72116</v>
      </c>
      <c r="B944" s="39" t="s">
        <v>2719</v>
      </c>
      <c r="C944" s="40">
        <v>4</v>
      </c>
      <c r="D944" s="38" t="s">
        <v>266</v>
      </c>
    </row>
    <row r="945" spans="1:4" x14ac:dyDescent="0.25">
      <c r="A945" s="41">
        <v>72119</v>
      </c>
      <c r="B945" s="39" t="s">
        <v>2720</v>
      </c>
      <c r="C945" s="40">
        <v>4</v>
      </c>
      <c r="D945" s="38" t="s">
        <v>266</v>
      </c>
    </row>
    <row r="946" spans="1:4" x14ac:dyDescent="0.25">
      <c r="A946" s="41">
        <v>72123</v>
      </c>
      <c r="B946" s="39" t="s">
        <v>2721</v>
      </c>
      <c r="C946" s="40">
        <v>4</v>
      </c>
      <c r="D946" s="38" t="s">
        <v>266</v>
      </c>
    </row>
    <row r="947" spans="1:4" x14ac:dyDescent="0.25">
      <c r="A947" s="41">
        <v>72126</v>
      </c>
      <c r="B947" s="39" t="s">
        <v>2722</v>
      </c>
      <c r="C947" s="40">
        <v>4</v>
      </c>
      <c r="D947" s="38" t="s">
        <v>266</v>
      </c>
    </row>
    <row r="948" spans="1:4" x14ac:dyDescent="0.25">
      <c r="A948" s="41">
        <v>72129</v>
      </c>
      <c r="B948" s="39" t="s">
        <v>2723</v>
      </c>
      <c r="C948" s="40">
        <v>4</v>
      </c>
      <c r="D948" s="38" t="s">
        <v>266</v>
      </c>
    </row>
    <row r="949" spans="1:4" x14ac:dyDescent="0.25">
      <c r="A949" s="41">
        <v>72153</v>
      </c>
      <c r="B949" s="39" t="s">
        <v>2724</v>
      </c>
      <c r="C949" s="40">
        <v>4</v>
      </c>
      <c r="D949" s="38" t="s">
        <v>266</v>
      </c>
    </row>
    <row r="950" spans="1:4" x14ac:dyDescent="0.25">
      <c r="A950" s="41">
        <v>72200</v>
      </c>
      <c r="B950" s="39" t="s">
        <v>2725</v>
      </c>
      <c r="C950" s="40">
        <v>3</v>
      </c>
      <c r="D950" s="38" t="s">
        <v>266</v>
      </c>
    </row>
    <row r="951" spans="1:4" x14ac:dyDescent="0.25">
      <c r="A951" s="41">
        <v>72213</v>
      </c>
      <c r="B951" s="39" t="s">
        <v>2726</v>
      </c>
      <c r="C951" s="40">
        <v>4</v>
      </c>
      <c r="D951" s="38" t="s">
        <v>266</v>
      </c>
    </row>
    <row r="952" spans="1:4" x14ac:dyDescent="0.25">
      <c r="A952" s="41">
        <v>72216</v>
      </c>
      <c r="B952" s="39" t="s">
        <v>2727</v>
      </c>
      <c r="C952" s="40">
        <v>4</v>
      </c>
      <c r="D952" s="38" t="s">
        <v>266</v>
      </c>
    </row>
    <row r="953" spans="1:4" x14ac:dyDescent="0.25">
      <c r="A953" s="41">
        <v>72400</v>
      </c>
      <c r="B953" s="39" t="s">
        <v>2728</v>
      </c>
      <c r="C953" s="40">
        <v>3</v>
      </c>
      <c r="D953" s="38" t="s">
        <v>266</v>
      </c>
    </row>
    <row r="954" spans="1:4" x14ac:dyDescent="0.25">
      <c r="A954" s="41">
        <v>72413</v>
      </c>
      <c r="B954" s="39" t="s">
        <v>2729</v>
      </c>
      <c r="C954" s="40">
        <v>4</v>
      </c>
      <c r="D954" s="38" t="s">
        <v>266</v>
      </c>
    </row>
    <row r="955" spans="1:4" x14ac:dyDescent="0.25">
      <c r="A955" s="41">
        <v>72416</v>
      </c>
      <c r="B955" s="39" t="s">
        <v>2730</v>
      </c>
      <c r="C955" s="40">
        <v>4</v>
      </c>
      <c r="D955" s="38" t="s">
        <v>266</v>
      </c>
    </row>
    <row r="956" spans="1:4" x14ac:dyDescent="0.25">
      <c r="A956" s="41">
        <v>72419</v>
      </c>
      <c r="B956" s="39" t="s">
        <v>2731</v>
      </c>
      <c r="C956" s="40">
        <v>4</v>
      </c>
      <c r="D956" s="38" t="s">
        <v>266</v>
      </c>
    </row>
    <row r="957" spans="1:4" x14ac:dyDescent="0.25">
      <c r="A957" s="41">
        <v>72423</v>
      </c>
      <c r="B957" s="39" t="s">
        <v>2732</v>
      </c>
      <c r="C957" s="40">
        <v>4</v>
      </c>
      <c r="D957" s="38" t="s">
        <v>266</v>
      </c>
    </row>
    <row r="958" spans="1:4" x14ac:dyDescent="0.25">
      <c r="A958" s="41">
        <v>72500</v>
      </c>
      <c r="B958" s="39" t="s">
        <v>2733</v>
      </c>
      <c r="C958" s="40">
        <v>3</v>
      </c>
      <c r="D958" s="38" t="s">
        <v>266</v>
      </c>
    </row>
    <row r="959" spans="1:4" x14ac:dyDescent="0.25">
      <c r="A959" s="41">
        <v>72600</v>
      </c>
      <c r="B959" s="39" t="s">
        <v>2734</v>
      </c>
      <c r="C959" s="40">
        <v>3</v>
      </c>
      <c r="D959" s="38" t="s">
        <v>266</v>
      </c>
    </row>
    <row r="960" spans="1:4" x14ac:dyDescent="0.25">
      <c r="A960" s="41">
        <v>72613</v>
      </c>
      <c r="B960" s="39" t="s">
        <v>2735</v>
      </c>
      <c r="C960" s="40">
        <v>4</v>
      </c>
      <c r="D960" s="38" t="s">
        <v>266</v>
      </c>
    </row>
    <row r="961" spans="1:4" x14ac:dyDescent="0.25">
      <c r="A961" s="41">
        <v>72616</v>
      </c>
      <c r="B961" s="39" t="s">
        <v>2736</v>
      </c>
      <c r="C961" s="40">
        <v>4</v>
      </c>
      <c r="D961" s="38" t="s">
        <v>266</v>
      </c>
    </row>
    <row r="962" spans="1:4" x14ac:dyDescent="0.25">
      <c r="A962" s="41">
        <v>72623</v>
      </c>
      <c r="B962" s="39" t="s">
        <v>2737</v>
      </c>
      <c r="C962" s="40">
        <v>4</v>
      </c>
      <c r="D962" s="38" t="s">
        <v>266</v>
      </c>
    </row>
    <row r="963" spans="1:4" x14ac:dyDescent="0.25">
      <c r="A963" s="41">
        <v>72700</v>
      </c>
      <c r="B963" s="39" t="s">
        <v>2738</v>
      </c>
      <c r="C963" s="40">
        <v>3</v>
      </c>
      <c r="D963" s="38" t="s">
        <v>266</v>
      </c>
    </row>
    <row r="964" spans="1:4" x14ac:dyDescent="0.25">
      <c r="A964" s="41">
        <v>72713</v>
      </c>
      <c r="B964" s="39" t="s">
        <v>2739</v>
      </c>
      <c r="C964" s="40">
        <v>4</v>
      </c>
      <c r="D964" s="38" t="s">
        <v>266</v>
      </c>
    </row>
    <row r="965" spans="1:4" x14ac:dyDescent="0.25">
      <c r="A965" s="41">
        <v>72716</v>
      </c>
      <c r="B965" s="39" t="s">
        <v>2740</v>
      </c>
      <c r="C965" s="40">
        <v>4</v>
      </c>
      <c r="D965" s="38" t="s">
        <v>266</v>
      </c>
    </row>
    <row r="966" spans="1:4" x14ac:dyDescent="0.25">
      <c r="A966" s="41">
        <v>72719</v>
      </c>
      <c r="B966" s="39" t="s">
        <v>2741</v>
      </c>
      <c r="C966" s="40">
        <v>4</v>
      </c>
      <c r="D966" s="38" t="s">
        <v>266</v>
      </c>
    </row>
    <row r="967" spans="1:4" x14ac:dyDescent="0.25">
      <c r="A967" s="41">
        <v>72723</v>
      </c>
      <c r="B967" s="39" t="s">
        <v>2742</v>
      </c>
      <c r="C967" s="40">
        <v>4</v>
      </c>
      <c r="D967" s="38" t="s">
        <v>266</v>
      </c>
    </row>
    <row r="968" spans="1:4" x14ac:dyDescent="0.25">
      <c r="A968" s="41">
        <v>72726</v>
      </c>
      <c r="B968" s="39" t="s">
        <v>2743</v>
      </c>
      <c r="C968" s="40">
        <v>4</v>
      </c>
      <c r="D968" s="38" t="s">
        <v>266</v>
      </c>
    </row>
    <row r="969" spans="1:4" x14ac:dyDescent="0.25">
      <c r="A969" s="41">
        <v>72736</v>
      </c>
      <c r="B969" s="39" t="s">
        <v>2744</v>
      </c>
      <c r="C969" s="40">
        <v>4</v>
      </c>
      <c r="D969" s="38" t="s">
        <v>266</v>
      </c>
    </row>
    <row r="970" spans="1:4" x14ac:dyDescent="0.25">
      <c r="A970" s="41">
        <v>73000</v>
      </c>
      <c r="B970" s="39" t="s">
        <v>649</v>
      </c>
      <c r="C970" s="40">
        <v>3</v>
      </c>
      <c r="D970" s="38" t="s">
        <v>266</v>
      </c>
    </row>
    <row r="971" spans="1:4" x14ac:dyDescent="0.25">
      <c r="A971" s="41">
        <v>73091</v>
      </c>
      <c r="B971" s="39" t="s">
        <v>2745</v>
      </c>
      <c r="C971" s="40">
        <v>4</v>
      </c>
      <c r="D971" s="38" t="s">
        <v>266</v>
      </c>
    </row>
    <row r="972" spans="1:4" x14ac:dyDescent="0.25">
      <c r="A972" s="41">
        <v>73100</v>
      </c>
      <c r="B972" s="39" t="s">
        <v>2746</v>
      </c>
      <c r="C972" s="40">
        <v>3</v>
      </c>
      <c r="D972" s="38" t="s">
        <v>266</v>
      </c>
    </row>
    <row r="973" spans="1:4" x14ac:dyDescent="0.25">
      <c r="A973" s="41">
        <v>73113</v>
      </c>
      <c r="B973" s="39" t="s">
        <v>2747</v>
      </c>
      <c r="C973" s="40">
        <v>4</v>
      </c>
      <c r="D973" s="38" t="s">
        <v>266</v>
      </c>
    </row>
    <row r="974" spans="1:4" x14ac:dyDescent="0.25">
      <c r="A974" s="42">
        <v>73113.13</v>
      </c>
      <c r="B974" s="39" t="s">
        <v>2748</v>
      </c>
      <c r="C974" s="40">
        <v>5</v>
      </c>
      <c r="D974" s="38" t="s">
        <v>266</v>
      </c>
    </row>
    <row r="975" spans="1:4" x14ac:dyDescent="0.25">
      <c r="A975" s="41">
        <v>73116</v>
      </c>
      <c r="B975" s="39" t="s">
        <v>2749</v>
      </c>
      <c r="C975" s="40">
        <v>4</v>
      </c>
      <c r="D975" s="38" t="s">
        <v>266</v>
      </c>
    </row>
    <row r="976" spans="1:4" x14ac:dyDescent="0.25">
      <c r="A976" s="41">
        <v>73119</v>
      </c>
      <c r="B976" s="39" t="s">
        <v>2750</v>
      </c>
      <c r="C976" s="40">
        <v>4</v>
      </c>
      <c r="D976" s="38" t="s">
        <v>266</v>
      </c>
    </row>
    <row r="977" spans="1:4" x14ac:dyDescent="0.25">
      <c r="A977" s="41">
        <v>73123</v>
      </c>
      <c r="B977" s="39" t="s">
        <v>2751</v>
      </c>
      <c r="C977" s="40">
        <v>4</v>
      </c>
      <c r="D977" s="38" t="s">
        <v>266</v>
      </c>
    </row>
    <row r="978" spans="1:4" x14ac:dyDescent="0.25">
      <c r="A978" s="41">
        <v>73126</v>
      </c>
      <c r="B978" s="39" t="s">
        <v>2752</v>
      </c>
      <c r="C978" s="40">
        <v>4</v>
      </c>
      <c r="D978" s="38" t="s">
        <v>266</v>
      </c>
    </row>
    <row r="979" spans="1:4" x14ac:dyDescent="0.25">
      <c r="A979" s="41">
        <v>73129</v>
      </c>
      <c r="B979" s="39" t="s">
        <v>2753</v>
      </c>
      <c r="C979" s="40">
        <v>4</v>
      </c>
      <c r="D979" s="38" t="s">
        <v>266</v>
      </c>
    </row>
    <row r="980" spans="1:4" x14ac:dyDescent="0.25">
      <c r="A980" s="42">
        <v>73129.13</v>
      </c>
      <c r="B980" s="39" t="s">
        <v>2754</v>
      </c>
      <c r="C980" s="40">
        <v>5</v>
      </c>
      <c r="D980" s="38" t="s">
        <v>266</v>
      </c>
    </row>
    <row r="981" spans="1:4" x14ac:dyDescent="0.25">
      <c r="A981" s="42">
        <v>73129.16</v>
      </c>
      <c r="B981" s="39" t="s">
        <v>2755</v>
      </c>
      <c r="C981" s="40">
        <v>5</v>
      </c>
      <c r="D981" s="38" t="s">
        <v>266</v>
      </c>
    </row>
    <row r="982" spans="1:4" x14ac:dyDescent="0.25">
      <c r="A982" s="41">
        <v>73133</v>
      </c>
      <c r="B982" s="39" t="s">
        <v>2756</v>
      </c>
      <c r="C982" s="40">
        <v>4</v>
      </c>
      <c r="D982" s="38" t="s">
        <v>266</v>
      </c>
    </row>
    <row r="983" spans="1:4" x14ac:dyDescent="0.25">
      <c r="A983" s="41">
        <v>73153</v>
      </c>
      <c r="B983" s="39" t="s">
        <v>2757</v>
      </c>
      <c r="C983" s="40">
        <v>4</v>
      </c>
      <c r="D983" s="38" t="s">
        <v>266</v>
      </c>
    </row>
    <row r="984" spans="1:4" x14ac:dyDescent="0.25">
      <c r="A984" s="41">
        <v>73200</v>
      </c>
      <c r="B984" s="39" t="s">
        <v>2758</v>
      </c>
      <c r="C984" s="40">
        <v>3</v>
      </c>
      <c r="D984" s="38" t="s">
        <v>266</v>
      </c>
    </row>
    <row r="985" spans="1:4" x14ac:dyDescent="0.25">
      <c r="A985" s="41">
        <v>73213</v>
      </c>
      <c r="B985" s="39" t="s">
        <v>2759</v>
      </c>
      <c r="C985" s="40">
        <v>4</v>
      </c>
      <c r="D985" s="38" t="s">
        <v>266</v>
      </c>
    </row>
    <row r="986" spans="1:4" x14ac:dyDescent="0.25">
      <c r="A986" s="41">
        <v>73216</v>
      </c>
      <c r="B986" s="39" t="s">
        <v>2760</v>
      </c>
      <c r="C986" s="40">
        <v>4</v>
      </c>
      <c r="D986" s="38" t="s">
        <v>266</v>
      </c>
    </row>
    <row r="987" spans="1:4" x14ac:dyDescent="0.25">
      <c r="A987" s="41">
        <v>73219</v>
      </c>
      <c r="B987" s="39" t="s">
        <v>2761</v>
      </c>
      <c r="C987" s="40">
        <v>4</v>
      </c>
      <c r="D987" s="38" t="s">
        <v>266</v>
      </c>
    </row>
    <row r="988" spans="1:4" x14ac:dyDescent="0.25">
      <c r="A988" s="41">
        <v>73223</v>
      </c>
      <c r="B988" s="39" t="s">
        <v>2762</v>
      </c>
      <c r="C988" s="40">
        <v>4</v>
      </c>
      <c r="D988" s="38" t="s">
        <v>266</v>
      </c>
    </row>
    <row r="989" spans="1:4" x14ac:dyDescent="0.25">
      <c r="A989" s="41">
        <v>73226</v>
      </c>
      <c r="B989" s="39" t="s">
        <v>2763</v>
      </c>
      <c r="C989" s="40">
        <v>4</v>
      </c>
      <c r="D989" s="38" t="s">
        <v>266</v>
      </c>
    </row>
    <row r="990" spans="1:4" x14ac:dyDescent="0.25">
      <c r="A990" s="41">
        <v>73229</v>
      </c>
      <c r="B990" s="39" t="s">
        <v>2764</v>
      </c>
      <c r="C990" s="40">
        <v>4</v>
      </c>
      <c r="D990" s="38" t="s">
        <v>266</v>
      </c>
    </row>
    <row r="991" spans="1:4" x14ac:dyDescent="0.25">
      <c r="A991" s="41">
        <v>73300</v>
      </c>
      <c r="B991" s="39" t="s">
        <v>2765</v>
      </c>
      <c r="C991" s="40">
        <v>3</v>
      </c>
      <c r="D991" s="38" t="s">
        <v>266</v>
      </c>
    </row>
    <row r="992" spans="1:4" x14ac:dyDescent="0.25">
      <c r="A992" s="41">
        <v>73313</v>
      </c>
      <c r="B992" s="39" t="s">
        <v>2766</v>
      </c>
      <c r="C992" s="40">
        <v>4</v>
      </c>
      <c r="D992" s="38" t="s">
        <v>266</v>
      </c>
    </row>
    <row r="993" spans="1:4" x14ac:dyDescent="0.25">
      <c r="A993" s="41">
        <v>73316</v>
      </c>
      <c r="B993" s="39" t="s">
        <v>2767</v>
      </c>
      <c r="C993" s="40">
        <v>4</v>
      </c>
      <c r="D993" s="38" t="s">
        <v>266</v>
      </c>
    </row>
    <row r="994" spans="1:4" x14ac:dyDescent="0.25">
      <c r="A994" s="41">
        <v>73363</v>
      </c>
      <c r="B994" s="39" t="s">
        <v>2768</v>
      </c>
      <c r="C994" s="40">
        <v>4</v>
      </c>
      <c r="D994" s="38" t="s">
        <v>266</v>
      </c>
    </row>
    <row r="995" spans="1:4" x14ac:dyDescent="0.25">
      <c r="A995" s="41">
        <v>74000</v>
      </c>
      <c r="B995" s="39" t="s">
        <v>2769</v>
      </c>
      <c r="C995" s="40">
        <v>3</v>
      </c>
      <c r="D995" s="38" t="s">
        <v>266</v>
      </c>
    </row>
    <row r="996" spans="1:4" x14ac:dyDescent="0.25">
      <c r="A996" s="41">
        <v>74100</v>
      </c>
      <c r="B996" s="39" t="s">
        <v>2770</v>
      </c>
      <c r="C996" s="40">
        <v>3</v>
      </c>
      <c r="D996" s="38" t="s">
        <v>266</v>
      </c>
    </row>
    <row r="997" spans="1:4" x14ac:dyDescent="0.25">
      <c r="A997" s="41">
        <v>74113</v>
      </c>
      <c r="B997" s="39" t="s">
        <v>2771</v>
      </c>
      <c r="C997" s="40">
        <v>4</v>
      </c>
      <c r="D997" s="38" t="s">
        <v>266</v>
      </c>
    </row>
    <row r="998" spans="1:4" x14ac:dyDescent="0.25">
      <c r="A998" s="41">
        <v>74123</v>
      </c>
      <c r="B998" s="39" t="s">
        <v>2772</v>
      </c>
      <c r="C998" s="40">
        <v>4</v>
      </c>
      <c r="D998" s="38" t="s">
        <v>266</v>
      </c>
    </row>
    <row r="999" spans="1:4" x14ac:dyDescent="0.25">
      <c r="A999" s="41">
        <v>74133</v>
      </c>
      <c r="B999" s="39" t="s">
        <v>2773</v>
      </c>
      <c r="C999" s="40">
        <v>4</v>
      </c>
      <c r="D999" s="38" t="s">
        <v>266</v>
      </c>
    </row>
    <row r="1000" spans="1:4" x14ac:dyDescent="0.25">
      <c r="A1000" s="41">
        <v>74143</v>
      </c>
      <c r="B1000" s="39" t="s">
        <v>2774</v>
      </c>
      <c r="C1000" s="40">
        <v>4</v>
      </c>
      <c r="D1000" s="38" t="s">
        <v>266</v>
      </c>
    </row>
    <row r="1001" spans="1:4" x14ac:dyDescent="0.25">
      <c r="A1001" s="41">
        <v>74163</v>
      </c>
      <c r="B1001" s="39" t="s">
        <v>2775</v>
      </c>
      <c r="C1001" s="40">
        <v>4</v>
      </c>
      <c r="D1001" s="38" t="s">
        <v>266</v>
      </c>
    </row>
    <row r="1002" spans="1:4" x14ac:dyDescent="0.25">
      <c r="A1002" s="41">
        <v>74200</v>
      </c>
      <c r="B1002" s="39" t="s">
        <v>2776</v>
      </c>
      <c r="C1002" s="40">
        <v>3</v>
      </c>
      <c r="D1002" s="38" t="s">
        <v>266</v>
      </c>
    </row>
    <row r="1003" spans="1:4" x14ac:dyDescent="0.25">
      <c r="A1003" s="41">
        <v>74213</v>
      </c>
      <c r="B1003" s="39" t="s">
        <v>2777</v>
      </c>
      <c r="C1003" s="40">
        <v>4</v>
      </c>
      <c r="D1003" s="38" t="s">
        <v>266</v>
      </c>
    </row>
    <row r="1004" spans="1:4" x14ac:dyDescent="0.25">
      <c r="A1004" s="42">
        <v>74213.13</v>
      </c>
      <c r="B1004" s="39" t="s">
        <v>2778</v>
      </c>
      <c r="C1004" s="40">
        <v>5</v>
      </c>
      <c r="D1004" s="38" t="s">
        <v>266</v>
      </c>
    </row>
    <row r="1005" spans="1:4" x14ac:dyDescent="0.25">
      <c r="A1005" s="42">
        <v>74213.16</v>
      </c>
      <c r="B1005" s="39" t="s">
        <v>2779</v>
      </c>
      <c r="C1005" s="40">
        <v>5</v>
      </c>
      <c r="D1005" s="38" t="s">
        <v>266</v>
      </c>
    </row>
    <row r="1006" spans="1:4" x14ac:dyDescent="0.25">
      <c r="A1006" s="42">
        <v>74213.19</v>
      </c>
      <c r="B1006" s="39" t="s">
        <v>2780</v>
      </c>
      <c r="C1006" s="40">
        <v>5</v>
      </c>
      <c r="D1006" s="38" t="s">
        <v>266</v>
      </c>
    </row>
    <row r="1007" spans="1:4" x14ac:dyDescent="0.25">
      <c r="A1007" s="42">
        <v>74213.23</v>
      </c>
      <c r="B1007" s="39" t="s">
        <v>2781</v>
      </c>
      <c r="C1007" s="40">
        <v>5</v>
      </c>
      <c r="D1007" s="38" t="s">
        <v>266</v>
      </c>
    </row>
    <row r="1008" spans="1:4" x14ac:dyDescent="0.25">
      <c r="A1008" s="41">
        <v>74223</v>
      </c>
      <c r="B1008" s="39" t="s">
        <v>2782</v>
      </c>
      <c r="C1008" s="40">
        <v>4</v>
      </c>
      <c r="D1008" s="38" t="s">
        <v>266</v>
      </c>
    </row>
    <row r="1009" spans="1:4" x14ac:dyDescent="0.25">
      <c r="A1009" s="41">
        <v>74229</v>
      </c>
      <c r="B1009" s="39" t="s">
        <v>2783</v>
      </c>
      <c r="C1009" s="40">
        <v>4</v>
      </c>
      <c r="D1009" s="38" t="s">
        <v>266</v>
      </c>
    </row>
    <row r="1010" spans="1:4" x14ac:dyDescent="0.25">
      <c r="A1010" s="41">
        <v>74233</v>
      </c>
      <c r="B1010" s="39" t="s">
        <v>2784</v>
      </c>
      <c r="C1010" s="40">
        <v>4</v>
      </c>
      <c r="D1010" s="38" t="s">
        <v>266</v>
      </c>
    </row>
    <row r="1011" spans="1:4" x14ac:dyDescent="0.25">
      <c r="A1011" s="41">
        <v>74243</v>
      </c>
      <c r="B1011" s="39" t="s">
        <v>2785</v>
      </c>
      <c r="C1011" s="40">
        <v>4</v>
      </c>
      <c r="D1011" s="38" t="s">
        <v>266</v>
      </c>
    </row>
    <row r="1012" spans="1:4" x14ac:dyDescent="0.25">
      <c r="A1012" s="41">
        <v>74263</v>
      </c>
      <c r="B1012" s="39" t="s">
        <v>2786</v>
      </c>
      <c r="C1012" s="40">
        <v>4</v>
      </c>
      <c r="D1012" s="38" t="s">
        <v>266</v>
      </c>
    </row>
    <row r="1013" spans="1:4" x14ac:dyDescent="0.25">
      <c r="A1013" s="41">
        <v>74293</v>
      </c>
      <c r="B1013" s="39" t="s">
        <v>2787</v>
      </c>
      <c r="C1013" s="40">
        <v>4</v>
      </c>
      <c r="D1013" s="38" t="s">
        <v>266</v>
      </c>
    </row>
    <row r="1014" spans="1:4" x14ac:dyDescent="0.25">
      <c r="A1014" s="41">
        <v>74400</v>
      </c>
      <c r="B1014" s="39" t="s">
        <v>2788</v>
      </c>
      <c r="C1014" s="40">
        <v>3</v>
      </c>
      <c r="D1014" s="38" t="s">
        <v>266</v>
      </c>
    </row>
    <row r="1015" spans="1:4" x14ac:dyDescent="0.25">
      <c r="A1015" s="41">
        <v>74413</v>
      </c>
      <c r="B1015" s="39" t="s">
        <v>2789</v>
      </c>
      <c r="C1015" s="40">
        <v>4</v>
      </c>
      <c r="D1015" s="38" t="s">
        <v>266</v>
      </c>
    </row>
    <row r="1016" spans="1:4" x14ac:dyDescent="0.25">
      <c r="A1016" s="41">
        <v>74416</v>
      </c>
      <c r="B1016" s="39" t="s">
        <v>2790</v>
      </c>
      <c r="C1016" s="40">
        <v>4</v>
      </c>
      <c r="D1016" s="38" t="s">
        <v>266</v>
      </c>
    </row>
    <row r="1017" spans="1:4" x14ac:dyDescent="0.25">
      <c r="A1017" s="41">
        <v>74419</v>
      </c>
      <c r="B1017" s="39" t="s">
        <v>2791</v>
      </c>
      <c r="C1017" s="40">
        <v>4</v>
      </c>
      <c r="D1017" s="38" t="s">
        <v>266</v>
      </c>
    </row>
    <row r="1018" spans="1:4" x14ac:dyDescent="0.25">
      <c r="A1018" s="41">
        <v>74423</v>
      </c>
      <c r="B1018" s="39" t="s">
        <v>2792</v>
      </c>
      <c r="C1018" s="40">
        <v>4</v>
      </c>
      <c r="D1018" s="38" t="s">
        <v>266</v>
      </c>
    </row>
    <row r="1019" spans="1:4" x14ac:dyDescent="0.25">
      <c r="A1019" s="41">
        <v>74433</v>
      </c>
      <c r="B1019" s="39" t="s">
        <v>2793</v>
      </c>
      <c r="C1019" s="40">
        <v>4</v>
      </c>
      <c r="D1019" s="38" t="s">
        <v>266</v>
      </c>
    </row>
    <row r="1020" spans="1:4" x14ac:dyDescent="0.25">
      <c r="A1020" s="41">
        <v>74453</v>
      </c>
      <c r="B1020" s="39" t="s">
        <v>2794</v>
      </c>
      <c r="C1020" s="40">
        <v>4</v>
      </c>
      <c r="D1020" s="38" t="s">
        <v>266</v>
      </c>
    </row>
    <row r="1021" spans="1:4" x14ac:dyDescent="0.25">
      <c r="A1021" s="41">
        <v>74456</v>
      </c>
      <c r="B1021" s="39" t="s">
        <v>2795</v>
      </c>
      <c r="C1021" s="40">
        <v>4</v>
      </c>
      <c r="D1021" s="38" t="s">
        <v>266</v>
      </c>
    </row>
    <row r="1022" spans="1:4" x14ac:dyDescent="0.25">
      <c r="A1022" s="41">
        <v>74463</v>
      </c>
      <c r="B1022" s="39" t="s">
        <v>2796</v>
      </c>
      <c r="C1022" s="40">
        <v>4</v>
      </c>
      <c r="D1022" s="38" t="s">
        <v>266</v>
      </c>
    </row>
    <row r="1023" spans="1:4" x14ac:dyDescent="0.25">
      <c r="A1023" s="41">
        <v>74600</v>
      </c>
      <c r="B1023" s="39" t="s">
        <v>2797</v>
      </c>
      <c r="C1023" s="40">
        <v>3</v>
      </c>
      <c r="D1023" s="38" t="s">
        <v>266</v>
      </c>
    </row>
    <row r="1024" spans="1:4" x14ac:dyDescent="0.25">
      <c r="A1024" s="41">
        <v>74616</v>
      </c>
      <c r="B1024" s="39" t="s">
        <v>2798</v>
      </c>
      <c r="C1024" s="40">
        <v>4</v>
      </c>
      <c r="D1024" s="38" t="s">
        <v>266</v>
      </c>
    </row>
    <row r="1025" spans="1:4" x14ac:dyDescent="0.25">
      <c r="A1025" s="41">
        <v>74619</v>
      </c>
      <c r="B1025" s="39" t="s">
        <v>2799</v>
      </c>
      <c r="C1025" s="40">
        <v>4</v>
      </c>
      <c r="D1025" s="38" t="s">
        <v>266</v>
      </c>
    </row>
    <row r="1026" spans="1:4" x14ac:dyDescent="0.25">
      <c r="A1026" s="41">
        <v>74623</v>
      </c>
      <c r="B1026" s="39" t="s">
        <v>2800</v>
      </c>
      <c r="C1026" s="40">
        <v>4</v>
      </c>
      <c r="D1026" s="38" t="s">
        <v>266</v>
      </c>
    </row>
    <row r="1027" spans="1:4" x14ac:dyDescent="0.25">
      <c r="A1027" s="41">
        <v>74626</v>
      </c>
      <c r="B1027" s="39" t="s">
        <v>2801</v>
      </c>
      <c r="C1027" s="40">
        <v>4</v>
      </c>
      <c r="D1027" s="38" t="s">
        <v>266</v>
      </c>
    </row>
    <row r="1028" spans="1:4" x14ac:dyDescent="0.25">
      <c r="A1028" s="41">
        <v>74629</v>
      </c>
      <c r="B1028" s="39" t="s">
        <v>2802</v>
      </c>
      <c r="C1028" s="40">
        <v>4</v>
      </c>
      <c r="D1028" s="38" t="s">
        <v>266</v>
      </c>
    </row>
    <row r="1029" spans="1:4" x14ac:dyDescent="0.25">
      <c r="A1029" s="41">
        <v>74633</v>
      </c>
      <c r="B1029" s="39" t="s">
        <v>2803</v>
      </c>
      <c r="C1029" s="40">
        <v>4</v>
      </c>
      <c r="D1029" s="38" t="s">
        <v>266</v>
      </c>
    </row>
    <row r="1030" spans="1:4" x14ac:dyDescent="0.25">
      <c r="A1030" s="41">
        <v>74643</v>
      </c>
      <c r="B1030" s="39" t="s">
        <v>2804</v>
      </c>
      <c r="C1030" s="40">
        <v>4</v>
      </c>
      <c r="D1030" s="38" t="s">
        <v>266</v>
      </c>
    </row>
    <row r="1031" spans="1:4" x14ac:dyDescent="0.25">
      <c r="A1031" s="41">
        <v>74646</v>
      </c>
      <c r="B1031" s="39" t="s">
        <v>2805</v>
      </c>
      <c r="C1031" s="40">
        <v>4</v>
      </c>
      <c r="D1031" s="38" t="s">
        <v>266</v>
      </c>
    </row>
    <row r="1032" spans="1:4" x14ac:dyDescent="0.25">
      <c r="A1032" s="41">
        <v>74663</v>
      </c>
      <c r="B1032" s="39" t="s">
        <v>2806</v>
      </c>
      <c r="C1032" s="40">
        <v>4</v>
      </c>
      <c r="D1032" s="38" t="s">
        <v>266</v>
      </c>
    </row>
    <row r="1033" spans="1:4" x14ac:dyDescent="0.25">
      <c r="A1033" s="41">
        <v>75000</v>
      </c>
      <c r="B1033" s="39" t="s">
        <v>2807</v>
      </c>
      <c r="C1033" s="40">
        <v>3</v>
      </c>
      <c r="D1033" s="38" t="s">
        <v>266</v>
      </c>
    </row>
    <row r="1034" spans="1:4" x14ac:dyDescent="0.25">
      <c r="A1034" s="41">
        <v>75100</v>
      </c>
      <c r="B1034" s="39" t="s">
        <v>2808</v>
      </c>
      <c r="C1034" s="40">
        <v>3</v>
      </c>
      <c r="D1034" s="38" t="s">
        <v>266</v>
      </c>
    </row>
    <row r="1035" spans="1:4" x14ac:dyDescent="0.25">
      <c r="A1035" s="41">
        <v>75113</v>
      </c>
      <c r="B1035" s="39" t="s">
        <v>2809</v>
      </c>
      <c r="C1035" s="40">
        <v>4</v>
      </c>
      <c r="D1035" s="38" t="s">
        <v>266</v>
      </c>
    </row>
    <row r="1036" spans="1:4" x14ac:dyDescent="0.25">
      <c r="A1036" s="42">
        <v>75113.13</v>
      </c>
      <c r="B1036" s="39" t="s">
        <v>2810</v>
      </c>
      <c r="C1036" s="40">
        <v>5</v>
      </c>
      <c r="D1036" s="38" t="s">
        <v>266</v>
      </c>
    </row>
    <row r="1037" spans="1:4" x14ac:dyDescent="0.25">
      <c r="A1037" s="41">
        <v>75116</v>
      </c>
      <c r="B1037" s="39" t="s">
        <v>2811</v>
      </c>
      <c r="C1037" s="40">
        <v>4</v>
      </c>
      <c r="D1037" s="38" t="s">
        <v>266</v>
      </c>
    </row>
    <row r="1038" spans="1:4" x14ac:dyDescent="0.25">
      <c r="A1038" s="41">
        <v>75123</v>
      </c>
      <c r="B1038" s="39" t="s">
        <v>2812</v>
      </c>
      <c r="C1038" s="40">
        <v>4</v>
      </c>
      <c r="D1038" s="38" t="s">
        <v>266</v>
      </c>
    </row>
    <row r="1039" spans="1:4" x14ac:dyDescent="0.25">
      <c r="A1039" s="41">
        <v>75200</v>
      </c>
      <c r="B1039" s="39" t="s">
        <v>2813</v>
      </c>
      <c r="C1039" s="40">
        <v>3</v>
      </c>
      <c r="D1039" s="38" t="s">
        <v>266</v>
      </c>
    </row>
    <row r="1040" spans="1:4" x14ac:dyDescent="0.25">
      <c r="A1040" s="41">
        <v>75213</v>
      </c>
      <c r="B1040" s="39" t="s">
        <v>2814</v>
      </c>
      <c r="C1040" s="40">
        <v>4</v>
      </c>
      <c r="D1040" s="38" t="s">
        <v>266</v>
      </c>
    </row>
    <row r="1041" spans="1:4" x14ac:dyDescent="0.25">
      <c r="A1041" s="42">
        <v>75213.11</v>
      </c>
      <c r="B1041" s="39" t="s">
        <v>2815</v>
      </c>
      <c r="C1041" s="40">
        <v>5</v>
      </c>
      <c r="D1041" s="38" t="s">
        <v>266</v>
      </c>
    </row>
    <row r="1042" spans="1:4" x14ac:dyDescent="0.25">
      <c r="A1042" s="42">
        <v>75213.13</v>
      </c>
      <c r="B1042" s="39" t="s">
        <v>2816</v>
      </c>
      <c r="C1042" s="40">
        <v>5</v>
      </c>
      <c r="D1042" s="38" t="s">
        <v>266</v>
      </c>
    </row>
    <row r="1043" spans="1:4" x14ac:dyDescent="0.25">
      <c r="A1043" s="42">
        <v>75213.14</v>
      </c>
      <c r="B1043" s="39" t="s">
        <v>2817</v>
      </c>
      <c r="C1043" s="40">
        <v>5</v>
      </c>
      <c r="D1043" s="38" t="s">
        <v>266</v>
      </c>
    </row>
    <row r="1044" spans="1:4" x14ac:dyDescent="0.25">
      <c r="A1044" s="41">
        <v>75216</v>
      </c>
      <c r="B1044" s="39" t="s">
        <v>2818</v>
      </c>
      <c r="C1044" s="40">
        <v>4</v>
      </c>
      <c r="D1044" s="38" t="s">
        <v>266</v>
      </c>
    </row>
    <row r="1045" spans="1:4" x14ac:dyDescent="0.25">
      <c r="A1045" s="42">
        <v>75216.11</v>
      </c>
      <c r="B1045" s="39" t="s">
        <v>2819</v>
      </c>
      <c r="C1045" s="40">
        <v>5</v>
      </c>
      <c r="D1045" s="38" t="s">
        <v>266</v>
      </c>
    </row>
    <row r="1046" spans="1:4" x14ac:dyDescent="0.25">
      <c r="A1046" s="42">
        <v>75216.12</v>
      </c>
      <c r="B1046" s="39" t="s">
        <v>2820</v>
      </c>
      <c r="C1046" s="40">
        <v>5</v>
      </c>
      <c r="D1046" s="38" t="s">
        <v>266</v>
      </c>
    </row>
    <row r="1047" spans="1:4" x14ac:dyDescent="0.25">
      <c r="A1047" s="42">
        <v>75216.13</v>
      </c>
      <c r="B1047" s="39" t="s">
        <v>2821</v>
      </c>
      <c r="C1047" s="40">
        <v>5</v>
      </c>
      <c r="D1047" s="38" t="s">
        <v>266</v>
      </c>
    </row>
    <row r="1048" spans="1:4" x14ac:dyDescent="0.25">
      <c r="A1048" s="42">
        <v>75216.14</v>
      </c>
      <c r="B1048" s="39" t="s">
        <v>2822</v>
      </c>
      <c r="C1048" s="40">
        <v>5</v>
      </c>
      <c r="D1048" s="38" t="s">
        <v>266</v>
      </c>
    </row>
    <row r="1049" spans="1:4" x14ac:dyDescent="0.25">
      <c r="A1049" s="41">
        <v>75300</v>
      </c>
      <c r="B1049" s="39" t="s">
        <v>2823</v>
      </c>
      <c r="C1049" s="40">
        <v>3</v>
      </c>
      <c r="D1049" s="38" t="s">
        <v>266</v>
      </c>
    </row>
    <row r="1050" spans="1:4" x14ac:dyDescent="0.25">
      <c r="A1050" s="41">
        <v>75313</v>
      </c>
      <c r="B1050" s="39" t="s">
        <v>2824</v>
      </c>
      <c r="C1050" s="40">
        <v>4</v>
      </c>
      <c r="D1050" s="38" t="s">
        <v>266</v>
      </c>
    </row>
    <row r="1051" spans="1:4" x14ac:dyDescent="0.25">
      <c r="A1051" s="41">
        <v>75316</v>
      </c>
      <c r="B1051" s="39" t="s">
        <v>2825</v>
      </c>
      <c r="C1051" s="40">
        <v>4</v>
      </c>
      <c r="D1051" s="38" t="s">
        <v>266</v>
      </c>
    </row>
    <row r="1052" spans="1:4" x14ac:dyDescent="0.25">
      <c r="A1052" s="41">
        <v>75323</v>
      </c>
      <c r="B1052" s="39" t="s">
        <v>2826</v>
      </c>
      <c r="C1052" s="40">
        <v>4</v>
      </c>
      <c r="D1052" s="38" t="s">
        <v>266</v>
      </c>
    </row>
    <row r="1053" spans="1:4" x14ac:dyDescent="0.25">
      <c r="A1053" s="41">
        <v>75329</v>
      </c>
      <c r="B1053" s="39" t="s">
        <v>2827</v>
      </c>
      <c r="C1053" s="40">
        <v>4</v>
      </c>
      <c r="D1053" s="38" t="s">
        <v>266</v>
      </c>
    </row>
    <row r="1054" spans="1:4" x14ac:dyDescent="0.25">
      <c r="A1054" s="41">
        <v>75400</v>
      </c>
      <c r="B1054" s="39" t="s">
        <v>2828</v>
      </c>
      <c r="C1054" s="40">
        <v>3</v>
      </c>
      <c r="D1054" s="38" t="s">
        <v>266</v>
      </c>
    </row>
    <row r="1055" spans="1:4" x14ac:dyDescent="0.25">
      <c r="A1055" s="41">
        <v>75413</v>
      </c>
      <c r="B1055" s="39" t="s">
        <v>2829</v>
      </c>
      <c r="C1055" s="40">
        <v>4</v>
      </c>
      <c r="D1055" s="38" t="s">
        <v>266</v>
      </c>
    </row>
    <row r="1056" spans="1:4" x14ac:dyDescent="0.25">
      <c r="A1056" s="41">
        <v>75416</v>
      </c>
      <c r="B1056" s="39" t="s">
        <v>2830</v>
      </c>
      <c r="C1056" s="40">
        <v>4</v>
      </c>
      <c r="D1056" s="38" t="s">
        <v>266</v>
      </c>
    </row>
    <row r="1057" spans="1:4" x14ac:dyDescent="0.25">
      <c r="A1057" s="41">
        <v>75419</v>
      </c>
      <c r="B1057" s="39" t="s">
        <v>2831</v>
      </c>
      <c r="C1057" s="40">
        <v>4</v>
      </c>
      <c r="D1057" s="38" t="s">
        <v>266</v>
      </c>
    </row>
    <row r="1058" spans="1:4" x14ac:dyDescent="0.25">
      <c r="A1058" s="41">
        <v>75423</v>
      </c>
      <c r="B1058" s="39" t="s">
        <v>2832</v>
      </c>
      <c r="C1058" s="40">
        <v>4</v>
      </c>
      <c r="D1058" s="38" t="s">
        <v>266</v>
      </c>
    </row>
    <row r="1059" spans="1:4" x14ac:dyDescent="0.25">
      <c r="A1059" s="41">
        <v>75426</v>
      </c>
      <c r="B1059" s="39" t="s">
        <v>2833</v>
      </c>
      <c r="C1059" s="40">
        <v>4</v>
      </c>
      <c r="D1059" s="38" t="s">
        <v>266</v>
      </c>
    </row>
    <row r="1060" spans="1:4" x14ac:dyDescent="0.25">
      <c r="A1060" s="41">
        <v>75500</v>
      </c>
      <c r="B1060" s="39" t="s">
        <v>2834</v>
      </c>
      <c r="C1060" s="40">
        <v>3</v>
      </c>
      <c r="D1060" s="38" t="s">
        <v>266</v>
      </c>
    </row>
    <row r="1061" spans="1:4" x14ac:dyDescent="0.25">
      <c r="A1061" s="41">
        <v>75551</v>
      </c>
      <c r="B1061" s="39" t="s">
        <v>2835</v>
      </c>
      <c r="C1061" s="40">
        <v>4</v>
      </c>
      <c r="D1061" s="38" t="s">
        <v>266</v>
      </c>
    </row>
    <row r="1062" spans="1:4" x14ac:dyDescent="0.25">
      <c r="A1062" s="41">
        <v>75552</v>
      </c>
      <c r="B1062" s="39" t="s">
        <v>2836</v>
      </c>
      <c r="C1062" s="40">
        <v>4</v>
      </c>
      <c r="D1062" s="38" t="s">
        <v>266</v>
      </c>
    </row>
    <row r="1063" spans="1:4" x14ac:dyDescent="0.25">
      <c r="A1063" s="41">
        <v>75553</v>
      </c>
      <c r="B1063" s="39" t="s">
        <v>2837</v>
      </c>
      <c r="C1063" s="40">
        <v>4</v>
      </c>
      <c r="D1063" s="38" t="s">
        <v>266</v>
      </c>
    </row>
    <row r="1064" spans="1:4" x14ac:dyDescent="0.25">
      <c r="A1064" s="41">
        <v>75554</v>
      </c>
      <c r="B1064" s="39" t="s">
        <v>2838</v>
      </c>
      <c r="C1064" s="40">
        <v>4</v>
      </c>
      <c r="D1064" s="38" t="s">
        <v>266</v>
      </c>
    </row>
    <row r="1065" spans="1:4" x14ac:dyDescent="0.25">
      <c r="A1065" s="41">
        <v>75556</v>
      </c>
      <c r="B1065" s="39" t="s">
        <v>2839</v>
      </c>
      <c r="C1065" s="40">
        <v>4</v>
      </c>
      <c r="D1065" s="38" t="s">
        <v>266</v>
      </c>
    </row>
    <row r="1066" spans="1:4" x14ac:dyDescent="0.25">
      <c r="A1066" s="42">
        <v>75556.13</v>
      </c>
      <c r="B1066" s="39" t="s">
        <v>2840</v>
      </c>
      <c r="C1066" s="40">
        <v>5</v>
      </c>
      <c r="D1066" s="38" t="s">
        <v>266</v>
      </c>
    </row>
    <row r="1067" spans="1:4" x14ac:dyDescent="0.25">
      <c r="A1067" s="41">
        <v>75563</v>
      </c>
      <c r="B1067" s="39" t="s">
        <v>2841</v>
      </c>
      <c r="C1067" s="40">
        <v>4</v>
      </c>
      <c r="D1067" s="38" t="s">
        <v>266</v>
      </c>
    </row>
    <row r="1068" spans="1:4" x14ac:dyDescent="0.25">
      <c r="A1068" s="41">
        <v>75600</v>
      </c>
      <c r="B1068" s="39" t="s">
        <v>2842</v>
      </c>
      <c r="C1068" s="40">
        <v>3</v>
      </c>
      <c r="D1068" s="38" t="s">
        <v>266</v>
      </c>
    </row>
    <row r="1069" spans="1:4" x14ac:dyDescent="0.25">
      <c r="A1069" s="41">
        <v>75700</v>
      </c>
      <c r="B1069" s="39" t="s">
        <v>2843</v>
      </c>
      <c r="C1069" s="40">
        <v>3</v>
      </c>
      <c r="D1069" s="38" t="s">
        <v>266</v>
      </c>
    </row>
    <row r="1070" spans="1:4" x14ac:dyDescent="0.25">
      <c r="A1070" s="41">
        <v>75713</v>
      </c>
      <c r="B1070" s="39" t="s">
        <v>2844</v>
      </c>
      <c r="C1070" s="40">
        <v>4</v>
      </c>
      <c r="D1070" s="38" t="s">
        <v>266</v>
      </c>
    </row>
    <row r="1071" spans="1:4" x14ac:dyDescent="0.25">
      <c r="A1071" s="41">
        <v>75800</v>
      </c>
      <c r="B1071" s="39" t="s">
        <v>2845</v>
      </c>
      <c r="C1071" s="40">
        <v>3</v>
      </c>
      <c r="D1071" s="38" t="s">
        <v>266</v>
      </c>
    </row>
    <row r="1072" spans="1:4" x14ac:dyDescent="0.25">
      <c r="A1072" s="41">
        <v>76000</v>
      </c>
      <c r="B1072" s="39" t="s">
        <v>2846</v>
      </c>
      <c r="C1072" s="40">
        <v>3</v>
      </c>
      <c r="D1072" s="38" t="s">
        <v>266</v>
      </c>
    </row>
    <row r="1073" spans="1:4" x14ac:dyDescent="0.25">
      <c r="A1073" s="41">
        <v>76100</v>
      </c>
      <c r="B1073" s="39" t="s">
        <v>2847</v>
      </c>
      <c r="C1073" s="40">
        <v>3</v>
      </c>
      <c r="D1073" s="38" t="s">
        <v>266</v>
      </c>
    </row>
    <row r="1074" spans="1:4" x14ac:dyDescent="0.25">
      <c r="A1074" s="41">
        <v>76113</v>
      </c>
      <c r="B1074" s="39" t="s">
        <v>2848</v>
      </c>
      <c r="C1074" s="40">
        <v>4</v>
      </c>
      <c r="D1074" s="38" t="s">
        <v>266</v>
      </c>
    </row>
    <row r="1075" spans="1:4" x14ac:dyDescent="0.25">
      <c r="A1075" s="41">
        <v>76116</v>
      </c>
      <c r="B1075" s="39" t="s">
        <v>2849</v>
      </c>
      <c r="C1075" s="40">
        <v>4</v>
      </c>
      <c r="D1075" s="38" t="s">
        <v>266</v>
      </c>
    </row>
    <row r="1076" spans="1:4" x14ac:dyDescent="0.25">
      <c r="A1076" s="41">
        <v>76119</v>
      </c>
      <c r="B1076" s="39" t="s">
        <v>2850</v>
      </c>
      <c r="C1076" s="40">
        <v>4</v>
      </c>
      <c r="D1076" s="38" t="s">
        <v>266</v>
      </c>
    </row>
    <row r="1077" spans="1:4" x14ac:dyDescent="0.25">
      <c r="A1077" s="41">
        <v>76200</v>
      </c>
      <c r="B1077" s="39" t="s">
        <v>2851</v>
      </c>
      <c r="C1077" s="40">
        <v>3</v>
      </c>
      <c r="D1077" s="38" t="s">
        <v>266</v>
      </c>
    </row>
    <row r="1078" spans="1:4" x14ac:dyDescent="0.25">
      <c r="A1078" s="41">
        <v>76300</v>
      </c>
      <c r="B1078" s="39" t="s">
        <v>2852</v>
      </c>
      <c r="C1078" s="40">
        <v>3</v>
      </c>
      <c r="D1078" s="38" t="s">
        <v>266</v>
      </c>
    </row>
    <row r="1079" spans="1:4" x14ac:dyDescent="0.25">
      <c r="A1079" s="41">
        <v>76400</v>
      </c>
      <c r="B1079" s="39" t="s">
        <v>2853</v>
      </c>
      <c r="C1079" s="40">
        <v>3</v>
      </c>
      <c r="D1079" s="38" t="s">
        <v>266</v>
      </c>
    </row>
    <row r="1080" spans="1:4" x14ac:dyDescent="0.25">
      <c r="A1080" s="41">
        <v>76413</v>
      </c>
      <c r="B1080" s="39" t="s">
        <v>2854</v>
      </c>
      <c r="C1080" s="40">
        <v>4</v>
      </c>
      <c r="D1080" s="38" t="s">
        <v>266</v>
      </c>
    </row>
    <row r="1081" spans="1:4" x14ac:dyDescent="0.25">
      <c r="A1081" s="41">
        <v>76416</v>
      </c>
      <c r="B1081" s="39" t="s">
        <v>2855</v>
      </c>
      <c r="C1081" s="40">
        <v>4</v>
      </c>
      <c r="D1081" s="38" t="s">
        <v>266</v>
      </c>
    </row>
    <row r="1082" spans="1:4" x14ac:dyDescent="0.25">
      <c r="A1082" s="41">
        <v>76419</v>
      </c>
      <c r="B1082" s="39" t="s">
        <v>2856</v>
      </c>
      <c r="C1082" s="40">
        <v>4</v>
      </c>
      <c r="D1082" s="38" t="s">
        <v>266</v>
      </c>
    </row>
    <row r="1083" spans="1:4" x14ac:dyDescent="0.25">
      <c r="A1083" s="41">
        <v>76500</v>
      </c>
      <c r="B1083" s="39" t="s">
        <v>2857</v>
      </c>
      <c r="C1083" s="40">
        <v>3</v>
      </c>
      <c r="D1083" s="38" t="s">
        <v>266</v>
      </c>
    </row>
    <row r="1084" spans="1:4" x14ac:dyDescent="0.25">
      <c r="A1084" s="41">
        <v>76513</v>
      </c>
      <c r="B1084" s="39" t="s">
        <v>2858</v>
      </c>
      <c r="C1084" s="40">
        <v>4</v>
      </c>
      <c r="D1084" s="38" t="s">
        <v>266</v>
      </c>
    </row>
    <row r="1085" spans="1:4" x14ac:dyDescent="0.25">
      <c r="A1085" s="41">
        <v>76516</v>
      </c>
      <c r="B1085" s="39" t="s">
        <v>2859</v>
      </c>
      <c r="C1085" s="40">
        <v>4</v>
      </c>
      <c r="D1085" s="38" t="s">
        <v>266</v>
      </c>
    </row>
    <row r="1086" spans="1:4" x14ac:dyDescent="0.25">
      <c r="A1086" s="41">
        <v>76519</v>
      </c>
      <c r="B1086" s="39" t="s">
        <v>2860</v>
      </c>
      <c r="C1086" s="40">
        <v>4</v>
      </c>
      <c r="D1086" s="38" t="s">
        <v>266</v>
      </c>
    </row>
    <row r="1087" spans="1:4" x14ac:dyDescent="0.25">
      <c r="A1087" s="41">
        <v>76523</v>
      </c>
      <c r="B1087" s="39" t="s">
        <v>2861</v>
      </c>
      <c r="C1087" s="40">
        <v>4</v>
      </c>
      <c r="D1087" s="38" t="s">
        <v>266</v>
      </c>
    </row>
    <row r="1088" spans="1:4" x14ac:dyDescent="0.25">
      <c r="A1088" s="41">
        <v>76526</v>
      </c>
      <c r="B1088" s="39" t="s">
        <v>2862</v>
      </c>
      <c r="C1088" s="40">
        <v>4</v>
      </c>
      <c r="D1088" s="38" t="s">
        <v>266</v>
      </c>
    </row>
    <row r="1089" spans="1:4" x14ac:dyDescent="0.25">
      <c r="A1089" s="41">
        <v>77000</v>
      </c>
      <c r="B1089" s="39" t="s">
        <v>2863</v>
      </c>
      <c r="C1089" s="40">
        <v>3</v>
      </c>
      <c r="D1089" s="38" t="s">
        <v>266</v>
      </c>
    </row>
    <row r="1090" spans="1:4" x14ac:dyDescent="0.25">
      <c r="A1090" s="41">
        <v>77100</v>
      </c>
      <c r="B1090" s="39" t="s">
        <v>661</v>
      </c>
      <c r="C1090" s="40">
        <v>3</v>
      </c>
      <c r="D1090" s="38" t="s">
        <v>266</v>
      </c>
    </row>
    <row r="1091" spans="1:4" x14ac:dyDescent="0.25">
      <c r="A1091" s="41">
        <v>77113</v>
      </c>
      <c r="B1091" s="39" t="s">
        <v>2864</v>
      </c>
      <c r="C1091" s="40">
        <v>4</v>
      </c>
      <c r="D1091" s="38" t="s">
        <v>266</v>
      </c>
    </row>
    <row r="1092" spans="1:4" x14ac:dyDescent="0.25">
      <c r="A1092" s="41">
        <v>77116</v>
      </c>
      <c r="B1092" s="39" t="s">
        <v>2865</v>
      </c>
      <c r="C1092" s="40">
        <v>4</v>
      </c>
      <c r="D1092" s="38" t="s">
        <v>266</v>
      </c>
    </row>
    <row r="1093" spans="1:4" x14ac:dyDescent="0.25">
      <c r="A1093" s="41">
        <v>77119</v>
      </c>
      <c r="B1093" s="39" t="s">
        <v>2866</v>
      </c>
      <c r="C1093" s="40">
        <v>4</v>
      </c>
      <c r="D1093" s="38" t="s">
        <v>266</v>
      </c>
    </row>
    <row r="1094" spans="1:4" x14ac:dyDescent="0.25">
      <c r="A1094" s="41">
        <v>77123</v>
      </c>
      <c r="B1094" s="39" t="s">
        <v>2867</v>
      </c>
      <c r="C1094" s="40">
        <v>4</v>
      </c>
      <c r="D1094" s="38" t="s">
        <v>266</v>
      </c>
    </row>
    <row r="1095" spans="1:4" x14ac:dyDescent="0.25">
      <c r="A1095" s="42">
        <v>77123.13</v>
      </c>
      <c r="B1095" s="39" t="s">
        <v>2868</v>
      </c>
      <c r="C1095" s="40">
        <v>5</v>
      </c>
      <c r="D1095" s="38" t="s">
        <v>266</v>
      </c>
    </row>
    <row r="1096" spans="1:4" x14ac:dyDescent="0.25">
      <c r="A1096" s="41">
        <v>77126</v>
      </c>
      <c r="B1096" s="39" t="s">
        <v>2869</v>
      </c>
      <c r="C1096" s="40">
        <v>4</v>
      </c>
      <c r="D1096" s="38" t="s">
        <v>266</v>
      </c>
    </row>
    <row r="1097" spans="1:4" x14ac:dyDescent="0.25">
      <c r="A1097" s="41">
        <v>77129</v>
      </c>
      <c r="B1097" s="39" t="s">
        <v>2870</v>
      </c>
      <c r="C1097" s="40">
        <v>4</v>
      </c>
      <c r="D1097" s="38" t="s">
        <v>266</v>
      </c>
    </row>
    <row r="1098" spans="1:4" x14ac:dyDescent="0.25">
      <c r="A1098" s="41">
        <v>77133</v>
      </c>
      <c r="B1098" s="39" t="s">
        <v>2871</v>
      </c>
      <c r="C1098" s="40">
        <v>4</v>
      </c>
      <c r="D1098" s="38" t="s">
        <v>266</v>
      </c>
    </row>
    <row r="1099" spans="1:4" x14ac:dyDescent="0.25">
      <c r="A1099" s="41">
        <v>77200</v>
      </c>
      <c r="B1099" s="39" t="s">
        <v>659</v>
      </c>
      <c r="C1099" s="40">
        <v>3</v>
      </c>
      <c r="D1099" s="39" t="s">
        <v>658</v>
      </c>
    </row>
    <row r="1100" spans="1:4" x14ac:dyDescent="0.25">
      <c r="A1100" s="41">
        <v>77213</v>
      </c>
      <c r="B1100" s="39" t="s">
        <v>2872</v>
      </c>
      <c r="C1100" s="40">
        <v>4</v>
      </c>
      <c r="D1100" s="38" t="s">
        <v>266</v>
      </c>
    </row>
    <row r="1101" spans="1:4" x14ac:dyDescent="0.25">
      <c r="A1101" s="41">
        <v>77223</v>
      </c>
      <c r="B1101" s="39" t="s">
        <v>2873</v>
      </c>
      <c r="C1101" s="40">
        <v>4</v>
      </c>
      <c r="D1101" s="38" t="s">
        <v>266</v>
      </c>
    </row>
    <row r="1102" spans="1:4" x14ac:dyDescent="0.25">
      <c r="A1102" s="41">
        <v>77226</v>
      </c>
      <c r="B1102" s="39" t="s">
        <v>2874</v>
      </c>
      <c r="C1102" s="40">
        <v>4</v>
      </c>
      <c r="D1102" s="38" t="s">
        <v>266</v>
      </c>
    </row>
    <row r="1103" spans="1:4" x14ac:dyDescent="0.25">
      <c r="A1103" s="41">
        <v>77233</v>
      </c>
      <c r="B1103" s="39" t="s">
        <v>2875</v>
      </c>
      <c r="C1103" s="40">
        <v>4</v>
      </c>
      <c r="D1103" s="38" t="s">
        <v>266</v>
      </c>
    </row>
    <row r="1104" spans="1:4" x14ac:dyDescent="0.25">
      <c r="A1104" s="41">
        <v>77236</v>
      </c>
      <c r="B1104" s="39" t="s">
        <v>2876</v>
      </c>
      <c r="C1104" s="40">
        <v>4</v>
      </c>
      <c r="D1104" s="38" t="s">
        <v>266</v>
      </c>
    </row>
    <row r="1105" spans="1:4" x14ac:dyDescent="0.25">
      <c r="A1105" s="41">
        <v>77243</v>
      </c>
      <c r="B1105" s="39" t="s">
        <v>2877</v>
      </c>
      <c r="C1105" s="40">
        <v>4</v>
      </c>
      <c r="D1105" s="38" t="s">
        <v>266</v>
      </c>
    </row>
    <row r="1106" spans="1:4" x14ac:dyDescent="0.25">
      <c r="A1106" s="41">
        <v>77246</v>
      </c>
      <c r="B1106" s="39" t="s">
        <v>2878</v>
      </c>
      <c r="C1106" s="40">
        <v>4</v>
      </c>
      <c r="D1106" s="38" t="s">
        <v>266</v>
      </c>
    </row>
    <row r="1107" spans="1:4" x14ac:dyDescent="0.25">
      <c r="A1107" s="41">
        <v>77253</v>
      </c>
      <c r="B1107" s="39" t="s">
        <v>2879</v>
      </c>
      <c r="C1107" s="40">
        <v>4</v>
      </c>
      <c r="D1107" s="38" t="s">
        <v>266</v>
      </c>
    </row>
    <row r="1108" spans="1:4" x14ac:dyDescent="0.25">
      <c r="A1108" s="41">
        <v>77263</v>
      </c>
      <c r="B1108" s="39" t="s">
        <v>2880</v>
      </c>
      <c r="C1108" s="40">
        <v>4</v>
      </c>
      <c r="D1108" s="38" t="s">
        <v>266</v>
      </c>
    </row>
    <row r="1109" spans="1:4" x14ac:dyDescent="0.25">
      <c r="A1109" s="41">
        <v>77600</v>
      </c>
      <c r="B1109" s="39" t="s">
        <v>2881</v>
      </c>
      <c r="C1109" s="40">
        <v>3</v>
      </c>
      <c r="D1109" s="38" t="s">
        <v>266</v>
      </c>
    </row>
    <row r="1110" spans="1:4" x14ac:dyDescent="0.25">
      <c r="A1110" s="41">
        <v>77613</v>
      </c>
      <c r="B1110" s="39" t="s">
        <v>2882</v>
      </c>
      <c r="C1110" s="40">
        <v>4</v>
      </c>
      <c r="D1110" s="38" t="s">
        <v>266</v>
      </c>
    </row>
    <row r="1111" spans="1:4" x14ac:dyDescent="0.25">
      <c r="A1111" s="41">
        <v>77616</v>
      </c>
      <c r="B1111" s="39" t="s">
        <v>2883</v>
      </c>
      <c r="C1111" s="40">
        <v>4</v>
      </c>
      <c r="D1111" s="38" t="s">
        <v>266</v>
      </c>
    </row>
    <row r="1112" spans="1:4" x14ac:dyDescent="0.25">
      <c r="A1112" s="41">
        <v>77700</v>
      </c>
      <c r="B1112" s="39" t="s">
        <v>2884</v>
      </c>
      <c r="C1112" s="40">
        <v>3</v>
      </c>
      <c r="D1112" s="38" t="s">
        <v>266</v>
      </c>
    </row>
    <row r="1113" spans="1:4" x14ac:dyDescent="0.25">
      <c r="A1113" s="41">
        <v>78000</v>
      </c>
      <c r="B1113" s="39" t="s">
        <v>2885</v>
      </c>
      <c r="C1113" s="40">
        <v>3</v>
      </c>
      <c r="D1113" s="38" t="s">
        <v>266</v>
      </c>
    </row>
    <row r="1114" spans="1:4" x14ac:dyDescent="0.25">
      <c r="A1114" s="41">
        <v>78100</v>
      </c>
      <c r="B1114" s="39" t="s">
        <v>2886</v>
      </c>
      <c r="C1114" s="40">
        <v>3</v>
      </c>
      <c r="D1114" s="38" t="s">
        <v>266</v>
      </c>
    </row>
    <row r="1115" spans="1:4" x14ac:dyDescent="0.25">
      <c r="A1115" s="41">
        <v>78113</v>
      </c>
      <c r="B1115" s="39" t="s">
        <v>2887</v>
      </c>
      <c r="C1115" s="40">
        <v>4</v>
      </c>
      <c r="D1115" s="38" t="s">
        <v>266</v>
      </c>
    </row>
    <row r="1116" spans="1:4" x14ac:dyDescent="0.25">
      <c r="A1116" s="41">
        <v>78116</v>
      </c>
      <c r="B1116" s="39" t="s">
        <v>2888</v>
      </c>
      <c r="C1116" s="40">
        <v>4</v>
      </c>
      <c r="D1116" s="38" t="s">
        <v>266</v>
      </c>
    </row>
    <row r="1117" spans="1:4" x14ac:dyDescent="0.25">
      <c r="A1117" s="41">
        <v>78119</v>
      </c>
      <c r="B1117" s="39" t="s">
        <v>2889</v>
      </c>
      <c r="C1117" s="40">
        <v>4</v>
      </c>
      <c r="D1117" s="38" t="s">
        <v>266</v>
      </c>
    </row>
    <row r="1118" spans="1:4" x14ac:dyDescent="0.25">
      <c r="A1118" s="41">
        <v>78123</v>
      </c>
      <c r="B1118" s="39" t="s">
        <v>2890</v>
      </c>
      <c r="C1118" s="40">
        <v>4</v>
      </c>
      <c r="D1118" s="38" t="s">
        <v>266</v>
      </c>
    </row>
    <row r="1119" spans="1:4" x14ac:dyDescent="0.25">
      <c r="A1119" s="41">
        <v>78126</v>
      </c>
      <c r="B1119" s="39" t="s">
        <v>2891</v>
      </c>
      <c r="C1119" s="40">
        <v>4</v>
      </c>
      <c r="D1119" s="38" t="s">
        <v>266</v>
      </c>
    </row>
    <row r="1120" spans="1:4" x14ac:dyDescent="0.25">
      <c r="A1120" s="41">
        <v>78129</v>
      </c>
      <c r="B1120" s="39" t="s">
        <v>2892</v>
      </c>
      <c r="C1120" s="40">
        <v>4</v>
      </c>
      <c r="D1120" s="38" t="s">
        <v>266</v>
      </c>
    </row>
    <row r="1121" spans="1:4" x14ac:dyDescent="0.25">
      <c r="A1121" s="41">
        <v>78133</v>
      </c>
      <c r="B1121" s="39" t="s">
        <v>2893</v>
      </c>
      <c r="C1121" s="40">
        <v>4</v>
      </c>
      <c r="D1121" s="38" t="s">
        <v>266</v>
      </c>
    </row>
    <row r="1122" spans="1:4" x14ac:dyDescent="0.25">
      <c r="A1122" s="41">
        <v>78200</v>
      </c>
      <c r="B1122" s="39" t="s">
        <v>2894</v>
      </c>
      <c r="C1122" s="40">
        <v>3</v>
      </c>
      <c r="D1122" s="38" t="s">
        <v>266</v>
      </c>
    </row>
    <row r="1123" spans="1:4" x14ac:dyDescent="0.25">
      <c r="A1123" s="41">
        <v>78213</v>
      </c>
      <c r="B1123" s="39" t="s">
        <v>2895</v>
      </c>
      <c r="C1123" s="40">
        <v>4</v>
      </c>
      <c r="D1123" s="38" t="s">
        <v>266</v>
      </c>
    </row>
    <row r="1124" spans="1:4" x14ac:dyDescent="0.25">
      <c r="A1124" s="41">
        <v>78216</v>
      </c>
      <c r="B1124" s="39" t="s">
        <v>2896</v>
      </c>
      <c r="C1124" s="40">
        <v>4</v>
      </c>
      <c r="D1124" s="38" t="s">
        <v>266</v>
      </c>
    </row>
    <row r="1125" spans="1:4" x14ac:dyDescent="0.25">
      <c r="A1125" s="41">
        <v>78400</v>
      </c>
      <c r="B1125" s="39" t="s">
        <v>2897</v>
      </c>
      <c r="C1125" s="40">
        <v>3</v>
      </c>
      <c r="D1125" s="38" t="s">
        <v>266</v>
      </c>
    </row>
    <row r="1126" spans="1:4" x14ac:dyDescent="0.25">
      <c r="A1126" s="41">
        <v>78413</v>
      </c>
      <c r="B1126" s="39" t="s">
        <v>2898</v>
      </c>
      <c r="C1126" s="40">
        <v>4</v>
      </c>
      <c r="D1126" s="38" t="s">
        <v>266</v>
      </c>
    </row>
    <row r="1127" spans="1:4" x14ac:dyDescent="0.25">
      <c r="A1127" s="42">
        <v>78413.13</v>
      </c>
      <c r="B1127" s="39" t="s">
        <v>2899</v>
      </c>
      <c r="C1127" s="40">
        <v>5</v>
      </c>
      <c r="D1127" s="38" t="s">
        <v>266</v>
      </c>
    </row>
    <row r="1128" spans="1:4" x14ac:dyDescent="0.25">
      <c r="A1128" s="42">
        <v>78413.16</v>
      </c>
      <c r="B1128" s="39" t="s">
        <v>2900</v>
      </c>
      <c r="C1128" s="40">
        <v>5</v>
      </c>
      <c r="D1128" s="38" t="s">
        <v>266</v>
      </c>
    </row>
    <row r="1129" spans="1:4" x14ac:dyDescent="0.25">
      <c r="A1129" s="41">
        <v>78443</v>
      </c>
      <c r="B1129" s="39" t="s">
        <v>2901</v>
      </c>
      <c r="C1129" s="40">
        <v>4</v>
      </c>
      <c r="D1129" s="38" t="s">
        <v>266</v>
      </c>
    </row>
    <row r="1130" spans="1:4" x14ac:dyDescent="0.25">
      <c r="A1130" s="41">
        <v>78453</v>
      </c>
      <c r="B1130" s="39" t="s">
        <v>2902</v>
      </c>
      <c r="C1130" s="40">
        <v>4</v>
      </c>
      <c r="D1130" s="38" t="s">
        <v>266</v>
      </c>
    </row>
    <row r="1131" spans="1:4" x14ac:dyDescent="0.25">
      <c r="A1131" s="41">
        <v>78600</v>
      </c>
      <c r="B1131" s="39" t="s">
        <v>2903</v>
      </c>
      <c r="C1131" s="40">
        <v>3</v>
      </c>
      <c r="D1131" s="38" t="s">
        <v>266</v>
      </c>
    </row>
    <row r="1132" spans="1:4" x14ac:dyDescent="0.25">
      <c r="A1132" s="41">
        <v>78700</v>
      </c>
      <c r="B1132" s="39" t="s">
        <v>2904</v>
      </c>
      <c r="C1132" s="40">
        <v>3</v>
      </c>
      <c r="D1132" s="38" t="s">
        <v>266</v>
      </c>
    </row>
    <row r="1133" spans="1:4" x14ac:dyDescent="0.25">
      <c r="A1133" s="41">
        <v>79000</v>
      </c>
      <c r="B1133" s="39" t="s">
        <v>2905</v>
      </c>
      <c r="C1133" s="40">
        <v>3</v>
      </c>
      <c r="D1133" s="38" t="s">
        <v>266</v>
      </c>
    </row>
    <row r="1134" spans="1:4" x14ac:dyDescent="0.25">
      <c r="A1134" s="41">
        <v>79100</v>
      </c>
      <c r="B1134" s="39" t="s">
        <v>2906</v>
      </c>
      <c r="C1134" s="40">
        <v>3</v>
      </c>
      <c r="D1134" s="38" t="s">
        <v>266</v>
      </c>
    </row>
    <row r="1135" spans="1:4" x14ac:dyDescent="0.25">
      <c r="A1135" s="41">
        <v>79113</v>
      </c>
      <c r="B1135" s="39" t="s">
        <v>2907</v>
      </c>
      <c r="C1135" s="40">
        <v>4</v>
      </c>
      <c r="D1135" s="38" t="s">
        <v>266</v>
      </c>
    </row>
    <row r="1136" spans="1:4" x14ac:dyDescent="0.25">
      <c r="A1136" s="41">
        <v>79116</v>
      </c>
      <c r="B1136" s="39" t="s">
        <v>2908</v>
      </c>
      <c r="C1136" s="40">
        <v>4</v>
      </c>
      <c r="D1136" s="38" t="s">
        <v>266</v>
      </c>
    </row>
    <row r="1137" spans="1:4" x14ac:dyDescent="0.25">
      <c r="A1137" s="41">
        <v>79123</v>
      </c>
      <c r="B1137" s="39" t="s">
        <v>2909</v>
      </c>
      <c r="C1137" s="40">
        <v>4</v>
      </c>
      <c r="D1137" s="38" t="s">
        <v>266</v>
      </c>
    </row>
    <row r="1138" spans="1:4" x14ac:dyDescent="0.25">
      <c r="A1138" s="41">
        <v>79126</v>
      </c>
      <c r="B1138" s="39" t="s">
        <v>2910</v>
      </c>
      <c r="C1138" s="40">
        <v>4</v>
      </c>
      <c r="D1138" s="38" t="s">
        <v>266</v>
      </c>
    </row>
    <row r="1139" spans="1:4" x14ac:dyDescent="0.25">
      <c r="A1139" s="41">
        <v>79200</v>
      </c>
      <c r="B1139" s="39" t="s">
        <v>2911</v>
      </c>
      <c r="C1139" s="40">
        <v>3</v>
      </c>
      <c r="D1139" s="38" t="s">
        <v>266</v>
      </c>
    </row>
    <row r="1140" spans="1:4" x14ac:dyDescent="0.25">
      <c r="A1140" s="41">
        <v>79213</v>
      </c>
      <c r="B1140" s="39" t="s">
        <v>2912</v>
      </c>
      <c r="C1140" s="40">
        <v>4</v>
      </c>
      <c r="D1140" s="38" t="s">
        <v>266</v>
      </c>
    </row>
    <row r="1141" spans="1:4" x14ac:dyDescent="0.25">
      <c r="A1141" s="41">
        <v>79216</v>
      </c>
      <c r="B1141" s="39" t="s">
        <v>2913</v>
      </c>
      <c r="C1141" s="40">
        <v>4</v>
      </c>
      <c r="D1141" s="38" t="s">
        <v>266</v>
      </c>
    </row>
    <row r="1142" spans="1:4" x14ac:dyDescent="0.25">
      <c r="A1142" s="41">
        <v>79219</v>
      </c>
      <c r="B1142" s="39" t="s">
        <v>2914</v>
      </c>
      <c r="C1142" s="40">
        <v>4</v>
      </c>
      <c r="D1142" s="38" t="s">
        <v>266</v>
      </c>
    </row>
    <row r="1143" spans="1:4" x14ac:dyDescent="0.25">
      <c r="A1143" s="41">
        <v>79500</v>
      </c>
      <c r="B1143" s="39" t="s">
        <v>2915</v>
      </c>
      <c r="C1143" s="40">
        <v>3</v>
      </c>
      <c r="D1143" s="38" t="s">
        <v>266</v>
      </c>
    </row>
    <row r="1144" spans="1:4" x14ac:dyDescent="0.25">
      <c r="A1144" s="41">
        <v>79513</v>
      </c>
      <c r="B1144" s="39" t="s">
        <v>2916</v>
      </c>
      <c r="C1144" s="40">
        <v>4</v>
      </c>
      <c r="D1144" s="38" t="s">
        <v>266</v>
      </c>
    </row>
    <row r="1145" spans="1:4" x14ac:dyDescent="0.25">
      <c r="A1145" s="41">
        <v>79553</v>
      </c>
      <c r="B1145" s="39" t="s">
        <v>2917</v>
      </c>
      <c r="C1145" s="40">
        <v>4</v>
      </c>
      <c r="D1145" s="38" t="s">
        <v>266</v>
      </c>
    </row>
    <row r="1146" spans="1:4" x14ac:dyDescent="0.25">
      <c r="A1146" s="41">
        <v>79563</v>
      </c>
      <c r="B1146" s="39" t="s">
        <v>2918</v>
      </c>
      <c r="C1146" s="40">
        <v>4</v>
      </c>
      <c r="D1146" s="38" t="s">
        <v>266</v>
      </c>
    </row>
    <row r="1147" spans="1:4" x14ac:dyDescent="0.25">
      <c r="A1147" s="41">
        <v>80000</v>
      </c>
      <c r="B1147" s="39" t="s">
        <v>2919</v>
      </c>
      <c r="C1147" s="40">
        <v>2</v>
      </c>
      <c r="D1147" s="38" t="s">
        <v>266</v>
      </c>
    </row>
    <row r="1148" spans="1:4" x14ac:dyDescent="0.25">
      <c r="A1148" s="41">
        <v>84423</v>
      </c>
      <c r="B1148" s="39" t="s">
        <v>2920</v>
      </c>
      <c r="C1148" s="40">
        <v>4</v>
      </c>
      <c r="D1148" s="38" t="s">
        <v>266</v>
      </c>
    </row>
    <row r="1149" spans="1:4" x14ac:dyDescent="0.25">
      <c r="A1149" s="42">
        <v>84426.19</v>
      </c>
      <c r="B1149" s="39" t="s">
        <v>2921</v>
      </c>
      <c r="C1149" s="40">
        <v>5</v>
      </c>
      <c r="D1149" s="38" t="s">
        <v>266</v>
      </c>
    </row>
    <row r="1150" spans="1:4" x14ac:dyDescent="0.25">
      <c r="A1150" s="41">
        <v>88723</v>
      </c>
      <c r="B1150" s="39" t="s">
        <v>2922</v>
      </c>
      <c r="C1150" s="40">
        <v>4</v>
      </c>
      <c r="D1150" s="38" t="s">
        <v>266</v>
      </c>
    </row>
    <row r="1151" spans="1:4" x14ac:dyDescent="0.25">
      <c r="A1151" s="42">
        <v>88723.13</v>
      </c>
      <c r="B1151" s="39" t="s">
        <v>2923</v>
      </c>
      <c r="C1151" s="40">
        <v>5</v>
      </c>
      <c r="D1151" s="38" t="s">
        <v>266</v>
      </c>
    </row>
    <row r="1152" spans="1:4" x14ac:dyDescent="0.25">
      <c r="A1152" s="42">
        <v>88723.16</v>
      </c>
      <c r="B1152" s="39" t="s">
        <v>2924</v>
      </c>
      <c r="C1152" s="40">
        <v>5</v>
      </c>
      <c r="D1152" s="38" t="s">
        <v>266</v>
      </c>
    </row>
    <row r="1153" spans="1:4" x14ac:dyDescent="0.25">
      <c r="A1153" s="41">
        <v>80100</v>
      </c>
      <c r="B1153" s="39" t="s">
        <v>2925</v>
      </c>
      <c r="C1153" s="40">
        <v>3</v>
      </c>
      <c r="D1153" s="38" t="s">
        <v>266</v>
      </c>
    </row>
    <row r="1154" spans="1:4" x14ac:dyDescent="0.25">
      <c r="A1154" s="41">
        <v>80110</v>
      </c>
      <c r="B1154" s="39" t="s">
        <v>2926</v>
      </c>
      <c r="C1154" s="40">
        <v>4</v>
      </c>
      <c r="D1154" s="38" t="s">
        <v>266</v>
      </c>
    </row>
    <row r="1155" spans="1:4" x14ac:dyDescent="0.25">
      <c r="A1155" s="41">
        <v>80111</v>
      </c>
      <c r="B1155" s="39" t="s">
        <v>2927</v>
      </c>
      <c r="C1155" s="40">
        <v>4</v>
      </c>
      <c r="D1155" s="38" t="s">
        <v>266</v>
      </c>
    </row>
    <row r="1156" spans="1:4" x14ac:dyDescent="0.25">
      <c r="A1156" s="41">
        <v>80114</v>
      </c>
      <c r="B1156" s="39" t="s">
        <v>2928</v>
      </c>
      <c r="C1156" s="40">
        <v>4</v>
      </c>
      <c r="D1156" s="38" t="s">
        <v>266</v>
      </c>
    </row>
    <row r="1157" spans="1:4" x14ac:dyDescent="0.25">
      <c r="A1157" s="41">
        <v>80115</v>
      </c>
      <c r="B1157" s="39" t="s">
        <v>2929</v>
      </c>
      <c r="C1157" s="40">
        <v>4</v>
      </c>
      <c r="D1157" s="38" t="s">
        <v>266</v>
      </c>
    </row>
    <row r="1158" spans="1:4" x14ac:dyDescent="0.25">
      <c r="A1158" s="41">
        <v>80116</v>
      </c>
      <c r="B1158" s="39" t="s">
        <v>2930</v>
      </c>
      <c r="C1158" s="40">
        <v>4</v>
      </c>
      <c r="D1158" s="38" t="s">
        <v>266</v>
      </c>
    </row>
    <row r="1159" spans="1:4" x14ac:dyDescent="0.25">
      <c r="A1159" s="41">
        <v>80117</v>
      </c>
      <c r="B1159" s="39" t="s">
        <v>2931</v>
      </c>
      <c r="C1159" s="40">
        <v>4</v>
      </c>
      <c r="D1159" s="38" t="s">
        <v>266</v>
      </c>
    </row>
    <row r="1160" spans="1:4" x14ac:dyDescent="0.25">
      <c r="A1160" s="41">
        <v>80130</v>
      </c>
      <c r="B1160" s="39" t="s">
        <v>2932</v>
      </c>
      <c r="C1160" s="40">
        <v>4</v>
      </c>
      <c r="D1160" s="38" t="s">
        <v>266</v>
      </c>
    </row>
    <row r="1161" spans="1:4" x14ac:dyDescent="0.25">
      <c r="A1161" s="41">
        <v>80132</v>
      </c>
      <c r="B1161" s="39" t="s">
        <v>2933</v>
      </c>
      <c r="C1161" s="40">
        <v>4</v>
      </c>
      <c r="D1161" s="38" t="s">
        <v>266</v>
      </c>
    </row>
    <row r="1162" spans="1:4" x14ac:dyDescent="0.25">
      <c r="A1162" s="41">
        <v>80133</v>
      </c>
      <c r="B1162" s="39" t="s">
        <v>2934</v>
      </c>
      <c r="C1162" s="40">
        <v>4</v>
      </c>
      <c r="D1162" s="38" t="s">
        <v>266</v>
      </c>
    </row>
    <row r="1163" spans="1:4" x14ac:dyDescent="0.25">
      <c r="A1163" s="41">
        <v>80134</v>
      </c>
      <c r="B1163" s="39" t="s">
        <v>2935</v>
      </c>
      <c r="C1163" s="40">
        <v>4</v>
      </c>
      <c r="D1163" s="38" t="s">
        <v>266</v>
      </c>
    </row>
    <row r="1164" spans="1:4" x14ac:dyDescent="0.25">
      <c r="A1164" s="41">
        <v>80135</v>
      </c>
      <c r="B1164" s="39" t="s">
        <v>2936</v>
      </c>
      <c r="C1164" s="40">
        <v>4</v>
      </c>
      <c r="D1164" s="38" t="s">
        <v>266</v>
      </c>
    </row>
    <row r="1165" spans="1:4" x14ac:dyDescent="0.25">
      <c r="A1165" s="41">
        <v>80136</v>
      </c>
      <c r="B1165" s="39" t="s">
        <v>2937</v>
      </c>
      <c r="C1165" s="40">
        <v>4</v>
      </c>
      <c r="D1165" s="38" t="s">
        <v>266</v>
      </c>
    </row>
    <row r="1166" spans="1:4" x14ac:dyDescent="0.25">
      <c r="A1166" s="41">
        <v>80139</v>
      </c>
      <c r="B1166" s="39" t="s">
        <v>2938</v>
      </c>
      <c r="C1166" s="40">
        <v>4</v>
      </c>
      <c r="D1166" s="38" t="s">
        <v>266</v>
      </c>
    </row>
    <row r="1167" spans="1:4" x14ac:dyDescent="0.25">
      <c r="A1167" s="41">
        <v>80140</v>
      </c>
      <c r="B1167" s="39" t="s">
        <v>2939</v>
      </c>
      <c r="C1167" s="40">
        <v>4</v>
      </c>
      <c r="D1167" s="38" t="s">
        <v>266</v>
      </c>
    </row>
    <row r="1168" spans="1:4" x14ac:dyDescent="0.25">
      <c r="A1168" s="41">
        <v>80141</v>
      </c>
      <c r="B1168" s="39" t="s">
        <v>2940</v>
      </c>
      <c r="C1168" s="40">
        <v>4</v>
      </c>
      <c r="D1168" s="38" t="s">
        <v>266</v>
      </c>
    </row>
    <row r="1169" spans="1:4" x14ac:dyDescent="0.25">
      <c r="A1169" s="41">
        <v>80142</v>
      </c>
      <c r="B1169" s="39" t="s">
        <v>2941</v>
      </c>
      <c r="C1169" s="40">
        <v>4</v>
      </c>
      <c r="D1169" s="38" t="s">
        <v>266</v>
      </c>
    </row>
    <row r="1170" spans="1:4" x14ac:dyDescent="0.25">
      <c r="A1170" s="41">
        <v>80144</v>
      </c>
      <c r="B1170" s="39" t="s">
        <v>2942</v>
      </c>
      <c r="C1170" s="40">
        <v>4</v>
      </c>
      <c r="D1170" s="38" t="s">
        <v>266</v>
      </c>
    </row>
    <row r="1171" spans="1:4" x14ac:dyDescent="0.25">
      <c r="A1171" s="41">
        <v>80150</v>
      </c>
      <c r="B1171" s="39" t="s">
        <v>2943</v>
      </c>
      <c r="C1171" s="40">
        <v>4</v>
      </c>
      <c r="D1171" s="38" t="s">
        <v>266</v>
      </c>
    </row>
    <row r="1172" spans="1:4" x14ac:dyDescent="0.25">
      <c r="A1172" s="41">
        <v>80151</v>
      </c>
      <c r="B1172" s="39" t="s">
        <v>2944</v>
      </c>
      <c r="C1172" s="40">
        <v>4</v>
      </c>
      <c r="D1172" s="38" t="s">
        <v>266</v>
      </c>
    </row>
    <row r="1173" spans="1:4" x14ac:dyDescent="0.25">
      <c r="A1173" s="41">
        <v>80152</v>
      </c>
      <c r="B1173" s="39" t="s">
        <v>2945</v>
      </c>
      <c r="C1173" s="40">
        <v>4</v>
      </c>
      <c r="D1173" s="38" t="s">
        <v>266</v>
      </c>
    </row>
    <row r="1174" spans="1:4" x14ac:dyDescent="0.25">
      <c r="A1174" s="42">
        <v>80152.61</v>
      </c>
      <c r="B1174" s="39" t="s">
        <v>2946</v>
      </c>
      <c r="C1174" s="40">
        <v>5</v>
      </c>
      <c r="D1174" s="38" t="s">
        <v>266</v>
      </c>
    </row>
    <row r="1175" spans="1:4" x14ac:dyDescent="0.25">
      <c r="A1175" s="42">
        <v>80152.710000000006</v>
      </c>
      <c r="B1175" s="39" t="s">
        <v>2947</v>
      </c>
      <c r="C1175" s="40">
        <v>5</v>
      </c>
      <c r="D1175" s="38" t="s">
        <v>266</v>
      </c>
    </row>
    <row r="1176" spans="1:4" x14ac:dyDescent="0.25">
      <c r="A1176" s="42">
        <v>80152.81</v>
      </c>
      <c r="B1176" s="39" t="s">
        <v>2948</v>
      </c>
      <c r="C1176" s="40">
        <v>5</v>
      </c>
      <c r="D1176" s="38" t="s">
        <v>266</v>
      </c>
    </row>
    <row r="1177" spans="1:4" x14ac:dyDescent="0.25">
      <c r="A1177" s="42">
        <v>80152.91</v>
      </c>
      <c r="B1177" s="39" t="s">
        <v>2949</v>
      </c>
      <c r="C1177" s="40">
        <v>5</v>
      </c>
      <c r="D1177" s="38" t="s">
        <v>266</v>
      </c>
    </row>
    <row r="1178" spans="1:4" x14ac:dyDescent="0.25">
      <c r="A1178" s="42">
        <v>80152.929999999993</v>
      </c>
      <c r="B1178" s="39" t="s">
        <v>2950</v>
      </c>
      <c r="C1178" s="40">
        <v>5</v>
      </c>
      <c r="D1178" s="38" t="s">
        <v>266</v>
      </c>
    </row>
    <row r="1179" spans="1:4" x14ac:dyDescent="0.25">
      <c r="A1179" s="41">
        <v>80153</v>
      </c>
      <c r="B1179" s="39" t="s">
        <v>2951</v>
      </c>
      <c r="C1179" s="40">
        <v>4</v>
      </c>
      <c r="D1179" s="38" t="s">
        <v>266</v>
      </c>
    </row>
    <row r="1180" spans="1:4" x14ac:dyDescent="0.25">
      <c r="A1180" s="41">
        <v>80154</v>
      </c>
      <c r="B1180" s="39" t="s">
        <v>2952</v>
      </c>
      <c r="C1180" s="40">
        <v>4</v>
      </c>
      <c r="D1180" s="38" t="s">
        <v>266</v>
      </c>
    </row>
    <row r="1181" spans="1:4" x14ac:dyDescent="0.25">
      <c r="A1181" s="41">
        <v>80156</v>
      </c>
      <c r="B1181" s="39" t="s">
        <v>2953</v>
      </c>
      <c r="C1181" s="40">
        <v>4</v>
      </c>
      <c r="D1181" s="38" t="s">
        <v>266</v>
      </c>
    </row>
    <row r="1182" spans="1:4" x14ac:dyDescent="0.25">
      <c r="A1182" s="41">
        <v>80160</v>
      </c>
      <c r="B1182" s="39" t="s">
        <v>2954</v>
      </c>
      <c r="C1182" s="40">
        <v>4</v>
      </c>
      <c r="D1182" s="38" t="s">
        <v>266</v>
      </c>
    </row>
    <row r="1183" spans="1:4" x14ac:dyDescent="0.25">
      <c r="A1183" s="41">
        <v>80161</v>
      </c>
      <c r="B1183" s="39" t="s">
        <v>2955</v>
      </c>
      <c r="C1183" s="40">
        <v>4</v>
      </c>
      <c r="D1183" s="38" t="s">
        <v>266</v>
      </c>
    </row>
    <row r="1184" spans="1:4" x14ac:dyDescent="0.25">
      <c r="A1184" s="41">
        <v>80162</v>
      </c>
      <c r="B1184" s="39" t="s">
        <v>2956</v>
      </c>
      <c r="C1184" s="40">
        <v>4</v>
      </c>
      <c r="D1184" s="38" t="s">
        <v>266</v>
      </c>
    </row>
    <row r="1185" spans="1:4" x14ac:dyDescent="0.25">
      <c r="A1185" s="41">
        <v>80163</v>
      </c>
      <c r="B1185" s="39" t="s">
        <v>2957</v>
      </c>
      <c r="C1185" s="40">
        <v>4</v>
      </c>
      <c r="D1185" s="38" t="s">
        <v>266</v>
      </c>
    </row>
    <row r="1186" spans="1:4" x14ac:dyDescent="0.25">
      <c r="A1186" s="41">
        <v>80164</v>
      </c>
      <c r="B1186" s="39" t="s">
        <v>2958</v>
      </c>
      <c r="C1186" s="40">
        <v>4</v>
      </c>
      <c r="D1186" s="38" t="s">
        <v>266</v>
      </c>
    </row>
    <row r="1187" spans="1:4" x14ac:dyDescent="0.25">
      <c r="A1187" s="41">
        <v>80170</v>
      </c>
      <c r="B1187" s="39" t="s">
        <v>2959</v>
      </c>
      <c r="C1187" s="40">
        <v>4</v>
      </c>
      <c r="D1187" s="38" t="s">
        <v>266</v>
      </c>
    </row>
    <row r="1188" spans="1:4" x14ac:dyDescent="0.25">
      <c r="A1188" s="41">
        <v>80171</v>
      </c>
      <c r="B1188" s="39" t="s">
        <v>2960</v>
      </c>
      <c r="C1188" s="40">
        <v>4</v>
      </c>
      <c r="D1188" s="38" t="s">
        <v>266</v>
      </c>
    </row>
    <row r="1189" spans="1:4" x14ac:dyDescent="0.25">
      <c r="A1189" s="41">
        <v>80174</v>
      </c>
      <c r="B1189" s="39" t="s">
        <v>2961</v>
      </c>
      <c r="C1189" s="40">
        <v>4</v>
      </c>
      <c r="D1189" s="38" t="s">
        <v>266</v>
      </c>
    </row>
    <row r="1190" spans="1:4" x14ac:dyDescent="0.25">
      <c r="A1190" s="41">
        <v>80175</v>
      </c>
      <c r="B1190" s="39" t="s">
        <v>2962</v>
      </c>
      <c r="C1190" s="40">
        <v>4</v>
      </c>
      <c r="D1190" s="38" t="s">
        <v>266</v>
      </c>
    </row>
    <row r="1191" spans="1:4" x14ac:dyDescent="0.25">
      <c r="A1191" s="41">
        <v>80180</v>
      </c>
      <c r="B1191" s="39" t="s">
        <v>2963</v>
      </c>
      <c r="C1191" s="40">
        <v>4</v>
      </c>
      <c r="D1191" s="38" t="s">
        <v>266</v>
      </c>
    </row>
    <row r="1192" spans="1:4" x14ac:dyDescent="0.25">
      <c r="A1192" s="41">
        <v>80181</v>
      </c>
      <c r="B1192" s="39" t="s">
        <v>2964</v>
      </c>
      <c r="C1192" s="40">
        <v>4</v>
      </c>
      <c r="D1192" s="38" t="s">
        <v>266</v>
      </c>
    </row>
    <row r="1193" spans="1:4" x14ac:dyDescent="0.25">
      <c r="A1193" s="41">
        <v>80184</v>
      </c>
      <c r="B1193" s="39" t="s">
        <v>2965</v>
      </c>
      <c r="C1193" s="40">
        <v>4</v>
      </c>
      <c r="D1193" s="38" t="s">
        <v>266</v>
      </c>
    </row>
    <row r="1194" spans="1:4" x14ac:dyDescent="0.25">
      <c r="A1194" s="41">
        <v>80188</v>
      </c>
      <c r="B1194" s="39" t="s">
        <v>2966</v>
      </c>
      <c r="C1194" s="40">
        <v>4</v>
      </c>
      <c r="D1194" s="38" t="s">
        <v>266</v>
      </c>
    </row>
    <row r="1195" spans="1:4" x14ac:dyDescent="0.25">
      <c r="A1195" s="41">
        <v>80190</v>
      </c>
      <c r="B1195" s="39" t="s">
        <v>2967</v>
      </c>
      <c r="C1195" s="40">
        <v>4</v>
      </c>
      <c r="D1195" s="38" t="s">
        <v>266</v>
      </c>
    </row>
    <row r="1196" spans="1:4" x14ac:dyDescent="0.25">
      <c r="A1196" s="41">
        <v>80191</v>
      </c>
      <c r="B1196" s="39" t="s">
        <v>2968</v>
      </c>
      <c r="C1196" s="40">
        <v>4</v>
      </c>
      <c r="D1196" s="38" t="s">
        <v>266</v>
      </c>
    </row>
    <row r="1197" spans="1:4" x14ac:dyDescent="0.25">
      <c r="A1197" s="41">
        <v>80192</v>
      </c>
      <c r="B1197" s="39" t="s">
        <v>2969</v>
      </c>
      <c r="C1197" s="40">
        <v>4</v>
      </c>
      <c r="D1197" s="38" t="s">
        <v>266</v>
      </c>
    </row>
    <row r="1198" spans="1:4" x14ac:dyDescent="0.25">
      <c r="A1198" s="41">
        <v>80195</v>
      </c>
      <c r="B1198" s="39" t="s">
        <v>2970</v>
      </c>
      <c r="C1198" s="40">
        <v>4</v>
      </c>
      <c r="D1198" s="38" t="s">
        <v>266</v>
      </c>
    </row>
    <row r="1199" spans="1:4" x14ac:dyDescent="0.25">
      <c r="A1199" s="41">
        <v>80500</v>
      </c>
      <c r="B1199" s="39" t="s">
        <v>2971</v>
      </c>
      <c r="C1199" s="40">
        <v>3</v>
      </c>
      <c r="D1199" s="38" t="s">
        <v>266</v>
      </c>
    </row>
    <row r="1200" spans="1:4" x14ac:dyDescent="0.25">
      <c r="A1200" s="41">
        <v>80800</v>
      </c>
      <c r="B1200" s="39" t="s">
        <v>2972</v>
      </c>
      <c r="C1200" s="40">
        <v>3</v>
      </c>
      <c r="D1200" s="38" t="s">
        <v>266</v>
      </c>
    </row>
    <row r="1201" spans="1:4" x14ac:dyDescent="0.25">
      <c r="A1201" s="41">
        <v>81000</v>
      </c>
      <c r="B1201" s="39" t="s">
        <v>2973</v>
      </c>
      <c r="C1201" s="40">
        <v>3</v>
      </c>
      <c r="D1201" s="38" t="s">
        <v>611</v>
      </c>
    </row>
    <row r="1202" spans="1:4" x14ac:dyDescent="0.25">
      <c r="A1202" s="41">
        <v>81100</v>
      </c>
      <c r="B1202" s="39" t="s">
        <v>2974</v>
      </c>
      <c r="C1202" s="40">
        <v>3</v>
      </c>
      <c r="D1202" s="38" t="s">
        <v>266</v>
      </c>
    </row>
    <row r="1203" spans="1:4" x14ac:dyDescent="0.25">
      <c r="A1203" s="41">
        <v>81113</v>
      </c>
      <c r="B1203" s="39" t="s">
        <v>2975</v>
      </c>
      <c r="C1203" s="40">
        <v>4</v>
      </c>
      <c r="D1203" s="38" t="s">
        <v>266</v>
      </c>
    </row>
    <row r="1204" spans="1:4" x14ac:dyDescent="0.25">
      <c r="A1204" s="42">
        <v>81113.13</v>
      </c>
      <c r="B1204" s="39" t="s">
        <v>2976</v>
      </c>
      <c r="C1204" s="40">
        <v>5</v>
      </c>
      <c r="D1204" s="38" t="s">
        <v>266</v>
      </c>
    </row>
    <row r="1205" spans="1:4" x14ac:dyDescent="0.25">
      <c r="A1205" s="42">
        <v>81113.16</v>
      </c>
      <c r="B1205" s="39" t="s">
        <v>2977</v>
      </c>
      <c r="C1205" s="40">
        <v>5</v>
      </c>
      <c r="D1205" s="38" t="s">
        <v>266</v>
      </c>
    </row>
    <row r="1206" spans="1:4" x14ac:dyDescent="0.25">
      <c r="A1206" s="41">
        <v>81116</v>
      </c>
      <c r="B1206" s="39" t="s">
        <v>2978</v>
      </c>
      <c r="C1206" s="40">
        <v>4</v>
      </c>
      <c r="D1206" s="38" t="s">
        <v>266</v>
      </c>
    </row>
    <row r="1207" spans="1:4" x14ac:dyDescent="0.25">
      <c r="A1207" s="41">
        <v>81119</v>
      </c>
      <c r="B1207" s="39" t="s">
        <v>2979</v>
      </c>
      <c r="C1207" s="40">
        <v>4</v>
      </c>
      <c r="D1207" s="38" t="s">
        <v>266</v>
      </c>
    </row>
    <row r="1208" spans="1:4" x14ac:dyDescent="0.25">
      <c r="A1208" s="41">
        <v>81123</v>
      </c>
      <c r="B1208" s="39" t="s">
        <v>2980</v>
      </c>
      <c r="C1208" s="40">
        <v>4</v>
      </c>
      <c r="D1208" s="38" t="s">
        <v>266</v>
      </c>
    </row>
    <row r="1209" spans="1:4" x14ac:dyDescent="0.25">
      <c r="A1209" s="41">
        <v>81163</v>
      </c>
      <c r="B1209" s="39" t="s">
        <v>2981</v>
      </c>
      <c r="C1209" s="40">
        <v>4</v>
      </c>
      <c r="D1209" s="38" t="s">
        <v>266</v>
      </c>
    </row>
    <row r="1210" spans="1:4" x14ac:dyDescent="0.25">
      <c r="A1210" s="42">
        <v>81163.13</v>
      </c>
      <c r="B1210" s="39" t="s">
        <v>2982</v>
      </c>
      <c r="C1210" s="40">
        <v>5</v>
      </c>
      <c r="D1210" s="38" t="s">
        <v>266</v>
      </c>
    </row>
    <row r="1211" spans="1:4" x14ac:dyDescent="0.25">
      <c r="A1211" s="42">
        <v>81163.23</v>
      </c>
      <c r="B1211" s="39" t="s">
        <v>2983</v>
      </c>
      <c r="C1211" s="40">
        <v>5</v>
      </c>
      <c r="D1211" s="38" t="s">
        <v>266</v>
      </c>
    </row>
    <row r="1212" spans="1:4" x14ac:dyDescent="0.25">
      <c r="A1212" s="41">
        <v>81166</v>
      </c>
      <c r="B1212" s="39" t="s">
        <v>2984</v>
      </c>
      <c r="C1212" s="40">
        <v>4</v>
      </c>
      <c r="D1212" s="38" t="s">
        <v>266</v>
      </c>
    </row>
    <row r="1213" spans="1:4" x14ac:dyDescent="0.25">
      <c r="A1213" s="42">
        <v>81166.13</v>
      </c>
      <c r="B1213" s="39" t="s">
        <v>2985</v>
      </c>
      <c r="C1213" s="40">
        <v>5</v>
      </c>
      <c r="D1213" s="38" t="s">
        <v>266</v>
      </c>
    </row>
    <row r="1214" spans="1:4" x14ac:dyDescent="0.25">
      <c r="A1214" s="42">
        <v>81166.23</v>
      </c>
      <c r="B1214" s="39" t="s">
        <v>2986</v>
      </c>
      <c r="C1214" s="40">
        <v>5</v>
      </c>
      <c r="D1214" s="38" t="s">
        <v>266</v>
      </c>
    </row>
    <row r="1215" spans="1:4" x14ac:dyDescent="0.25">
      <c r="A1215" s="41">
        <v>81169</v>
      </c>
      <c r="B1215" s="39" t="s">
        <v>2987</v>
      </c>
      <c r="C1215" s="40">
        <v>4</v>
      </c>
      <c r="D1215" s="38" t="s">
        <v>266</v>
      </c>
    </row>
    <row r="1216" spans="1:4" x14ac:dyDescent="0.25">
      <c r="A1216" s="42">
        <v>81169.13</v>
      </c>
      <c r="B1216" s="39" t="s">
        <v>2988</v>
      </c>
      <c r="C1216" s="40">
        <v>5</v>
      </c>
      <c r="D1216" s="38" t="s">
        <v>266</v>
      </c>
    </row>
    <row r="1217" spans="1:4" x14ac:dyDescent="0.25">
      <c r="A1217" s="42">
        <v>81169.23</v>
      </c>
      <c r="B1217" s="39" t="s">
        <v>2989</v>
      </c>
      <c r="C1217" s="40">
        <v>5</v>
      </c>
      <c r="D1217" s="38" t="s">
        <v>266</v>
      </c>
    </row>
    <row r="1218" spans="1:4" x14ac:dyDescent="0.25">
      <c r="A1218" s="41">
        <v>81173</v>
      </c>
      <c r="B1218" s="39" t="s">
        <v>2990</v>
      </c>
      <c r="C1218" s="40">
        <v>4</v>
      </c>
      <c r="D1218" s="38" t="s">
        <v>266</v>
      </c>
    </row>
    <row r="1219" spans="1:4" x14ac:dyDescent="0.25">
      <c r="A1219" s="41">
        <v>81174</v>
      </c>
      <c r="B1219" s="39" t="s">
        <v>2991</v>
      </c>
      <c r="C1219" s="40">
        <v>4</v>
      </c>
      <c r="D1219" s="38" t="s">
        <v>266</v>
      </c>
    </row>
    <row r="1220" spans="1:4" x14ac:dyDescent="0.25">
      <c r="A1220" s="41">
        <v>81200</v>
      </c>
      <c r="B1220" s="39" t="s">
        <v>2992</v>
      </c>
      <c r="C1220" s="40">
        <v>3</v>
      </c>
      <c r="D1220" s="38" t="s">
        <v>266</v>
      </c>
    </row>
    <row r="1221" spans="1:4" x14ac:dyDescent="0.25">
      <c r="A1221" s="41">
        <v>81213</v>
      </c>
      <c r="B1221" s="39" t="s">
        <v>2993</v>
      </c>
      <c r="C1221" s="40">
        <v>4</v>
      </c>
      <c r="D1221" s="38" t="s">
        <v>266</v>
      </c>
    </row>
    <row r="1222" spans="1:4" x14ac:dyDescent="0.25">
      <c r="A1222" s="42">
        <v>81213.13</v>
      </c>
      <c r="B1222" s="39" t="s">
        <v>2994</v>
      </c>
      <c r="C1222" s="40">
        <v>5</v>
      </c>
      <c r="D1222" s="38" t="s">
        <v>266</v>
      </c>
    </row>
    <row r="1223" spans="1:4" x14ac:dyDescent="0.25">
      <c r="A1223" s="42">
        <v>81213.53</v>
      </c>
      <c r="B1223" s="39" t="s">
        <v>2995</v>
      </c>
      <c r="C1223" s="40">
        <v>5</v>
      </c>
      <c r="D1223" s="38" t="s">
        <v>266</v>
      </c>
    </row>
    <row r="1224" spans="1:4" x14ac:dyDescent="0.25">
      <c r="A1224" s="41">
        <v>81216</v>
      </c>
      <c r="B1224" s="39" t="s">
        <v>2996</v>
      </c>
      <c r="C1224" s="40">
        <v>4</v>
      </c>
      <c r="D1224" s="38" t="s">
        <v>266</v>
      </c>
    </row>
    <row r="1225" spans="1:4" x14ac:dyDescent="0.25">
      <c r="A1225" s="41">
        <v>81219</v>
      </c>
      <c r="B1225" s="39" t="s">
        <v>2997</v>
      </c>
      <c r="C1225" s="40">
        <v>4</v>
      </c>
      <c r="D1225" s="38" t="s">
        <v>266</v>
      </c>
    </row>
    <row r="1226" spans="1:4" x14ac:dyDescent="0.25">
      <c r="A1226" s="41">
        <v>81223</v>
      </c>
      <c r="B1226" s="39" t="s">
        <v>2998</v>
      </c>
      <c r="C1226" s="40">
        <v>4</v>
      </c>
      <c r="D1226" s="38" t="s">
        <v>266</v>
      </c>
    </row>
    <row r="1227" spans="1:4" x14ac:dyDescent="0.25">
      <c r="A1227" s="41">
        <v>81300</v>
      </c>
      <c r="B1227" s="39" t="s">
        <v>2999</v>
      </c>
      <c r="C1227" s="40">
        <v>3</v>
      </c>
      <c r="D1227" s="38" t="s">
        <v>266</v>
      </c>
    </row>
    <row r="1228" spans="1:4" x14ac:dyDescent="0.25">
      <c r="A1228" s="41">
        <v>81313</v>
      </c>
      <c r="B1228" s="39" t="s">
        <v>3000</v>
      </c>
      <c r="C1228" s="40">
        <v>4</v>
      </c>
      <c r="D1228" s="38" t="s">
        <v>266</v>
      </c>
    </row>
    <row r="1229" spans="1:4" x14ac:dyDescent="0.25">
      <c r="A1229" s="42">
        <v>81313.13</v>
      </c>
      <c r="B1229" s="39" t="s">
        <v>3001</v>
      </c>
      <c r="C1229" s="40">
        <v>5</v>
      </c>
      <c r="D1229" s="38" t="s">
        <v>266</v>
      </c>
    </row>
    <row r="1230" spans="1:4" x14ac:dyDescent="0.25">
      <c r="A1230" s="42">
        <v>81313.53</v>
      </c>
      <c r="B1230" s="39" t="s">
        <v>3002</v>
      </c>
      <c r="C1230" s="40">
        <v>5</v>
      </c>
      <c r="D1230" s="38" t="s">
        <v>266</v>
      </c>
    </row>
    <row r="1231" spans="1:4" x14ac:dyDescent="0.25">
      <c r="A1231" s="41">
        <v>81316</v>
      </c>
      <c r="B1231" s="39" t="s">
        <v>3003</v>
      </c>
      <c r="C1231" s="40">
        <v>4</v>
      </c>
      <c r="D1231" s="38" t="s">
        <v>266</v>
      </c>
    </row>
    <row r="1232" spans="1:4" x14ac:dyDescent="0.25">
      <c r="A1232" s="41">
        <v>81319</v>
      </c>
      <c r="B1232" s="39" t="s">
        <v>3004</v>
      </c>
      <c r="C1232" s="40">
        <v>4</v>
      </c>
      <c r="D1232" s="38" t="s">
        <v>266</v>
      </c>
    </row>
    <row r="1233" spans="1:4" x14ac:dyDescent="0.25">
      <c r="A1233" s="41">
        <v>81323</v>
      </c>
      <c r="B1233" s="39" t="s">
        <v>3005</v>
      </c>
      <c r="C1233" s="40">
        <v>4</v>
      </c>
      <c r="D1233" s="38" t="s">
        <v>266</v>
      </c>
    </row>
    <row r="1234" spans="1:4" x14ac:dyDescent="0.25">
      <c r="A1234" s="41">
        <v>81373</v>
      </c>
      <c r="B1234" s="39" t="s">
        <v>3006</v>
      </c>
      <c r="C1234" s="40">
        <v>4</v>
      </c>
      <c r="D1234" s="38" t="s">
        <v>266</v>
      </c>
    </row>
    <row r="1235" spans="1:4" x14ac:dyDescent="0.25">
      <c r="A1235" s="41">
        <v>81376</v>
      </c>
      <c r="B1235" s="39" t="s">
        <v>3007</v>
      </c>
      <c r="C1235" s="40">
        <v>4</v>
      </c>
      <c r="D1235" s="38" t="s">
        <v>266</v>
      </c>
    </row>
    <row r="1236" spans="1:4" x14ac:dyDescent="0.25">
      <c r="A1236" s="41">
        <v>81400</v>
      </c>
      <c r="B1236" s="39" t="s">
        <v>3008</v>
      </c>
      <c r="C1236" s="40">
        <v>3</v>
      </c>
      <c r="D1236" s="38" t="s">
        <v>266</v>
      </c>
    </row>
    <row r="1237" spans="1:4" x14ac:dyDescent="0.25">
      <c r="A1237" s="41">
        <v>81413</v>
      </c>
      <c r="B1237" s="39" t="s">
        <v>3009</v>
      </c>
      <c r="C1237" s="40">
        <v>4</v>
      </c>
      <c r="D1237" s="38" t="s">
        <v>266</v>
      </c>
    </row>
    <row r="1238" spans="1:4" x14ac:dyDescent="0.25">
      <c r="A1238" s="41">
        <v>81416</v>
      </c>
      <c r="B1238" s="39" t="s">
        <v>3010</v>
      </c>
      <c r="C1238" s="40">
        <v>4</v>
      </c>
      <c r="D1238" s="38" t="s">
        <v>266</v>
      </c>
    </row>
    <row r="1239" spans="1:4" x14ac:dyDescent="0.25">
      <c r="A1239" s="41">
        <v>81423</v>
      </c>
      <c r="B1239" s="39" t="s">
        <v>3011</v>
      </c>
      <c r="C1239" s="40">
        <v>4</v>
      </c>
      <c r="D1239" s="38" t="s">
        <v>266</v>
      </c>
    </row>
    <row r="1240" spans="1:4" x14ac:dyDescent="0.25">
      <c r="A1240" s="42">
        <v>81423.13</v>
      </c>
      <c r="B1240" s="39" t="s">
        <v>3012</v>
      </c>
      <c r="C1240" s="40">
        <v>5</v>
      </c>
      <c r="D1240" s="38" t="s">
        <v>266</v>
      </c>
    </row>
    <row r="1241" spans="1:4" x14ac:dyDescent="0.25">
      <c r="A1241" s="42">
        <v>81423.16</v>
      </c>
      <c r="B1241" s="39" t="s">
        <v>3013</v>
      </c>
      <c r="C1241" s="40">
        <v>5</v>
      </c>
      <c r="D1241" s="38" t="s">
        <v>266</v>
      </c>
    </row>
    <row r="1242" spans="1:4" x14ac:dyDescent="0.25">
      <c r="A1242" s="42">
        <v>81423.19</v>
      </c>
      <c r="B1242" s="39" t="s">
        <v>3014</v>
      </c>
      <c r="C1242" s="40">
        <v>5</v>
      </c>
      <c r="D1242" s="38" t="s">
        <v>266</v>
      </c>
    </row>
    <row r="1243" spans="1:4" x14ac:dyDescent="0.25">
      <c r="A1243" s="41">
        <v>81429</v>
      </c>
      <c r="B1243" s="39" t="s">
        <v>3015</v>
      </c>
      <c r="C1243" s="40">
        <v>4</v>
      </c>
      <c r="D1243" s="38" t="s">
        <v>266</v>
      </c>
    </row>
    <row r="1244" spans="1:4" x14ac:dyDescent="0.25">
      <c r="A1244" s="41">
        <v>81433</v>
      </c>
      <c r="B1244" s="39" t="s">
        <v>3016</v>
      </c>
      <c r="C1244" s="40">
        <v>4</v>
      </c>
      <c r="D1244" s="38" t="s">
        <v>266</v>
      </c>
    </row>
    <row r="1245" spans="1:4" x14ac:dyDescent="0.25">
      <c r="A1245" s="41">
        <v>81466</v>
      </c>
      <c r="B1245" s="39" t="s">
        <v>3017</v>
      </c>
      <c r="C1245" s="40">
        <v>4</v>
      </c>
      <c r="D1245" s="38" t="s">
        <v>266</v>
      </c>
    </row>
    <row r="1246" spans="1:4" x14ac:dyDescent="0.25">
      <c r="A1246" s="41">
        <v>81469</v>
      </c>
      <c r="B1246" s="39" t="s">
        <v>3018</v>
      </c>
      <c r="C1246" s="40">
        <v>4</v>
      </c>
      <c r="D1246" s="38" t="s">
        <v>266</v>
      </c>
    </row>
    <row r="1247" spans="1:4" x14ac:dyDescent="0.25">
      <c r="A1247" s="41">
        <v>81473</v>
      </c>
      <c r="B1247" s="39" t="s">
        <v>3019</v>
      </c>
      <c r="C1247" s="40">
        <v>4</v>
      </c>
      <c r="D1247" s="38" t="s">
        <v>266</v>
      </c>
    </row>
    <row r="1248" spans="1:4" x14ac:dyDescent="0.25">
      <c r="A1248" s="41">
        <v>81476</v>
      </c>
      <c r="B1248" s="39" t="s">
        <v>3020</v>
      </c>
      <c r="C1248" s="40">
        <v>4</v>
      </c>
      <c r="D1248" s="38" t="s">
        <v>266</v>
      </c>
    </row>
    <row r="1249" spans="1:4" x14ac:dyDescent="0.25">
      <c r="A1249" s="41">
        <v>81500</v>
      </c>
      <c r="B1249" s="39" t="s">
        <v>3021</v>
      </c>
      <c r="C1249" s="40">
        <v>3</v>
      </c>
      <c r="D1249" s="38" t="s">
        <v>266</v>
      </c>
    </row>
    <row r="1250" spans="1:4" x14ac:dyDescent="0.25">
      <c r="A1250" s="41">
        <v>81513</v>
      </c>
      <c r="B1250" s="39" t="s">
        <v>3022</v>
      </c>
      <c r="C1250" s="40">
        <v>4</v>
      </c>
      <c r="D1250" s="38" t="s">
        <v>266</v>
      </c>
    </row>
    <row r="1251" spans="1:4" x14ac:dyDescent="0.25">
      <c r="A1251" s="41">
        <v>81516</v>
      </c>
      <c r="B1251" s="39" t="s">
        <v>3023</v>
      </c>
      <c r="C1251" s="40">
        <v>4</v>
      </c>
      <c r="D1251" s="38" t="s">
        <v>266</v>
      </c>
    </row>
    <row r="1252" spans="1:4" x14ac:dyDescent="0.25">
      <c r="A1252" s="41">
        <v>81566</v>
      </c>
      <c r="B1252" s="39" t="s">
        <v>3024</v>
      </c>
      <c r="C1252" s="40">
        <v>4</v>
      </c>
      <c r="D1252" s="38" t="s">
        <v>266</v>
      </c>
    </row>
    <row r="1253" spans="1:4" x14ac:dyDescent="0.25">
      <c r="A1253" s="41">
        <v>81569</v>
      </c>
      <c r="B1253" s="39" t="s">
        <v>3025</v>
      </c>
      <c r="C1253" s="40">
        <v>4</v>
      </c>
      <c r="D1253" s="38" t="s">
        <v>266</v>
      </c>
    </row>
    <row r="1254" spans="1:4" x14ac:dyDescent="0.25">
      <c r="A1254" s="41">
        <v>81573</v>
      </c>
      <c r="B1254" s="39" t="s">
        <v>3026</v>
      </c>
      <c r="C1254" s="40">
        <v>4</v>
      </c>
      <c r="D1254" s="38" t="s">
        <v>266</v>
      </c>
    </row>
    <row r="1255" spans="1:4" x14ac:dyDescent="0.25">
      <c r="A1255" s="41">
        <v>81576</v>
      </c>
      <c r="B1255" s="39" t="s">
        <v>3027</v>
      </c>
      <c r="C1255" s="40">
        <v>4</v>
      </c>
      <c r="D1255" s="38" t="s">
        <v>266</v>
      </c>
    </row>
    <row r="1256" spans="1:4" x14ac:dyDescent="0.25">
      <c r="A1256" s="41">
        <v>81600</v>
      </c>
      <c r="B1256" s="39" t="s">
        <v>3028</v>
      </c>
      <c r="C1256" s="40">
        <v>3</v>
      </c>
      <c r="D1256" s="38" t="s">
        <v>266</v>
      </c>
    </row>
    <row r="1257" spans="1:4" x14ac:dyDescent="0.25">
      <c r="A1257" s="41">
        <v>81613</v>
      </c>
      <c r="B1257" s="39" t="s">
        <v>3029</v>
      </c>
      <c r="C1257" s="40">
        <v>4</v>
      </c>
      <c r="D1257" s="38" t="s">
        <v>266</v>
      </c>
    </row>
    <row r="1258" spans="1:4" x14ac:dyDescent="0.25">
      <c r="A1258" s="41">
        <v>81673</v>
      </c>
      <c r="B1258" s="39" t="s">
        <v>3030</v>
      </c>
      <c r="C1258" s="40">
        <v>4</v>
      </c>
      <c r="D1258" s="38" t="s">
        <v>266</v>
      </c>
    </row>
    <row r="1259" spans="1:4" x14ac:dyDescent="0.25">
      <c r="A1259" s="41">
        <v>81676</v>
      </c>
      <c r="B1259" s="39" t="s">
        <v>3031</v>
      </c>
      <c r="C1259" s="40">
        <v>4</v>
      </c>
      <c r="D1259" s="38" t="s">
        <v>266</v>
      </c>
    </row>
    <row r="1260" spans="1:4" x14ac:dyDescent="0.25">
      <c r="A1260" s="41">
        <v>81700</v>
      </c>
      <c r="B1260" s="39" t="s">
        <v>3032</v>
      </c>
      <c r="C1260" s="40">
        <v>3</v>
      </c>
      <c r="D1260" s="38" t="s">
        <v>266</v>
      </c>
    </row>
    <row r="1261" spans="1:4" x14ac:dyDescent="0.25">
      <c r="A1261" s="41">
        <v>81713</v>
      </c>
      <c r="B1261" s="39" t="s">
        <v>3033</v>
      </c>
      <c r="C1261" s="40">
        <v>4</v>
      </c>
      <c r="D1261" s="38" t="s">
        <v>266</v>
      </c>
    </row>
    <row r="1262" spans="1:4" x14ac:dyDescent="0.25">
      <c r="A1262" s="41">
        <v>81723</v>
      </c>
      <c r="B1262" s="39" t="s">
        <v>3034</v>
      </c>
      <c r="C1262" s="40">
        <v>4</v>
      </c>
      <c r="D1262" s="38" t="s">
        <v>266</v>
      </c>
    </row>
    <row r="1263" spans="1:4" x14ac:dyDescent="0.25">
      <c r="A1263" s="41">
        <v>81733</v>
      </c>
      <c r="B1263" s="39" t="s">
        <v>3035</v>
      </c>
      <c r="C1263" s="40">
        <v>4</v>
      </c>
      <c r="D1263" s="38" t="s">
        <v>266</v>
      </c>
    </row>
    <row r="1264" spans="1:4" x14ac:dyDescent="0.25">
      <c r="A1264" s="41">
        <v>81743</v>
      </c>
      <c r="B1264" s="39" t="s">
        <v>3036</v>
      </c>
      <c r="C1264" s="40">
        <v>4</v>
      </c>
      <c r="D1264" s="38" t="s">
        <v>266</v>
      </c>
    </row>
    <row r="1265" spans="1:4" x14ac:dyDescent="0.25">
      <c r="A1265" s="41">
        <v>83000</v>
      </c>
      <c r="B1265" s="39" t="s">
        <v>3037</v>
      </c>
      <c r="C1265" s="40">
        <v>3</v>
      </c>
      <c r="D1265" s="38" t="s">
        <v>266</v>
      </c>
    </row>
    <row r="1266" spans="1:4" x14ac:dyDescent="0.25">
      <c r="A1266" s="41">
        <v>83100</v>
      </c>
      <c r="B1266" s="39" t="s">
        <v>3038</v>
      </c>
      <c r="C1266" s="40">
        <v>3</v>
      </c>
      <c r="D1266" s="38" t="s">
        <v>266</v>
      </c>
    </row>
    <row r="1267" spans="1:4" x14ac:dyDescent="0.25">
      <c r="A1267" s="41">
        <v>83113</v>
      </c>
      <c r="B1267" s="39" t="s">
        <v>3039</v>
      </c>
      <c r="C1267" s="40">
        <v>4</v>
      </c>
      <c r="D1267" s="38" t="s">
        <v>266</v>
      </c>
    </row>
    <row r="1268" spans="1:4" x14ac:dyDescent="0.25">
      <c r="A1268" s="42">
        <v>83113.53</v>
      </c>
      <c r="B1268" s="39" t="s">
        <v>3040</v>
      </c>
      <c r="C1268" s="40">
        <v>5</v>
      </c>
      <c r="D1268" s="38" t="s">
        <v>266</v>
      </c>
    </row>
    <row r="1269" spans="1:4" x14ac:dyDescent="0.25">
      <c r="A1269" s="41">
        <v>83116</v>
      </c>
      <c r="B1269" s="39" t="s">
        <v>3041</v>
      </c>
      <c r="C1269" s="40">
        <v>4</v>
      </c>
      <c r="D1269" s="38" t="s">
        <v>266</v>
      </c>
    </row>
    <row r="1270" spans="1:4" x14ac:dyDescent="0.25">
      <c r="A1270" s="41">
        <v>83200</v>
      </c>
      <c r="B1270" s="39" t="s">
        <v>3042</v>
      </c>
      <c r="C1270" s="40">
        <v>3</v>
      </c>
      <c r="D1270" s="38" t="s">
        <v>266</v>
      </c>
    </row>
    <row r="1271" spans="1:4" x14ac:dyDescent="0.25">
      <c r="A1271" s="41">
        <v>83213</v>
      </c>
      <c r="B1271" s="39" t="s">
        <v>3043</v>
      </c>
      <c r="C1271" s="40">
        <v>4</v>
      </c>
      <c r="D1271" s="38" t="s">
        <v>266</v>
      </c>
    </row>
    <row r="1272" spans="1:4" x14ac:dyDescent="0.25">
      <c r="A1272" s="41">
        <v>83216</v>
      </c>
      <c r="B1272" s="39" t="s">
        <v>3044</v>
      </c>
      <c r="C1272" s="40">
        <v>4</v>
      </c>
      <c r="D1272" s="38" t="s">
        <v>266</v>
      </c>
    </row>
    <row r="1273" spans="1:4" x14ac:dyDescent="0.25">
      <c r="A1273" s="41">
        <v>83219</v>
      </c>
      <c r="B1273" s="39" t="s">
        <v>3045</v>
      </c>
      <c r="C1273" s="40">
        <v>4</v>
      </c>
      <c r="D1273" s="38" t="s">
        <v>266</v>
      </c>
    </row>
    <row r="1274" spans="1:4" x14ac:dyDescent="0.25">
      <c r="A1274" s="41">
        <v>83300</v>
      </c>
      <c r="B1274" s="39" t="s">
        <v>3046</v>
      </c>
      <c r="C1274" s="40">
        <v>3</v>
      </c>
      <c r="D1274" s="38" t="s">
        <v>266</v>
      </c>
    </row>
    <row r="1275" spans="1:4" x14ac:dyDescent="0.25">
      <c r="A1275" s="41">
        <v>83313</v>
      </c>
      <c r="B1275" s="39" t="s">
        <v>3047</v>
      </c>
      <c r="C1275" s="40">
        <v>4</v>
      </c>
      <c r="D1275" s="38" t="s">
        <v>266</v>
      </c>
    </row>
    <row r="1276" spans="1:4" x14ac:dyDescent="0.25">
      <c r="A1276" s="41">
        <v>83316</v>
      </c>
      <c r="B1276" s="39" t="s">
        <v>3048</v>
      </c>
      <c r="C1276" s="40">
        <v>4</v>
      </c>
      <c r="D1276" s="38" t="s">
        <v>266</v>
      </c>
    </row>
    <row r="1277" spans="1:4" x14ac:dyDescent="0.25">
      <c r="A1277" s="41">
        <v>83323</v>
      </c>
      <c r="B1277" s="39" t="s">
        <v>3049</v>
      </c>
      <c r="C1277" s="40">
        <v>4</v>
      </c>
      <c r="D1277" s="38" t="s">
        <v>266</v>
      </c>
    </row>
    <row r="1278" spans="1:4" x14ac:dyDescent="0.25">
      <c r="A1278" s="42">
        <v>83323.13</v>
      </c>
      <c r="B1278" s="39" t="s">
        <v>3050</v>
      </c>
      <c r="C1278" s="40">
        <v>5</v>
      </c>
      <c r="D1278" s="38" t="s">
        <v>266</v>
      </c>
    </row>
    <row r="1279" spans="1:4" x14ac:dyDescent="0.25">
      <c r="A1279" s="41">
        <v>83326</v>
      </c>
      <c r="B1279" s="39" t="s">
        <v>3051</v>
      </c>
      <c r="C1279" s="40">
        <v>4</v>
      </c>
      <c r="D1279" s="38" t="s">
        <v>266</v>
      </c>
    </row>
    <row r="1280" spans="1:4" x14ac:dyDescent="0.25">
      <c r="A1280" s="41">
        <v>83333</v>
      </c>
      <c r="B1280" s="39" t="s">
        <v>3052</v>
      </c>
      <c r="C1280" s="40">
        <v>4</v>
      </c>
      <c r="D1280" s="38" t="s">
        <v>266</v>
      </c>
    </row>
    <row r="1281" spans="1:4" x14ac:dyDescent="0.25">
      <c r="A1281" s="41">
        <v>83336</v>
      </c>
      <c r="B1281" s="39" t="s">
        <v>3053</v>
      </c>
      <c r="C1281" s="40">
        <v>4</v>
      </c>
      <c r="D1281" s="38" t="s">
        <v>266</v>
      </c>
    </row>
    <row r="1282" spans="1:4" x14ac:dyDescent="0.25">
      <c r="A1282" s="41">
        <v>83343</v>
      </c>
      <c r="B1282" s="39" t="s">
        <v>3054</v>
      </c>
      <c r="C1282" s="40">
        <v>4</v>
      </c>
      <c r="D1282" s="38" t="s">
        <v>266</v>
      </c>
    </row>
    <row r="1283" spans="1:4" x14ac:dyDescent="0.25">
      <c r="A1283" s="41">
        <v>83400</v>
      </c>
      <c r="B1283" s="39" t="s">
        <v>3055</v>
      </c>
      <c r="C1283" s="40">
        <v>3</v>
      </c>
      <c r="D1283" s="38" t="s">
        <v>266</v>
      </c>
    </row>
    <row r="1284" spans="1:4" x14ac:dyDescent="0.25">
      <c r="A1284" s="41">
        <v>83413</v>
      </c>
      <c r="B1284" s="39" t="s">
        <v>3056</v>
      </c>
      <c r="C1284" s="40">
        <v>4</v>
      </c>
      <c r="D1284" s="38" t="s">
        <v>266</v>
      </c>
    </row>
    <row r="1285" spans="1:4" x14ac:dyDescent="0.25">
      <c r="A1285" s="41">
        <v>83416</v>
      </c>
      <c r="B1285" s="39" t="s">
        <v>3057</v>
      </c>
      <c r="C1285" s="40">
        <v>4</v>
      </c>
      <c r="D1285" s="38" t="s">
        <v>266</v>
      </c>
    </row>
    <row r="1286" spans="1:4" x14ac:dyDescent="0.25">
      <c r="A1286" s="41">
        <v>83419</v>
      </c>
      <c r="B1286" s="39" t="s">
        <v>3058</v>
      </c>
      <c r="C1286" s="40">
        <v>4</v>
      </c>
      <c r="D1286" s="38" t="s">
        <v>266</v>
      </c>
    </row>
    <row r="1287" spans="1:4" x14ac:dyDescent="0.25">
      <c r="A1287" s="41">
        <v>83433</v>
      </c>
      <c r="B1287" s="39" t="s">
        <v>3059</v>
      </c>
      <c r="C1287" s="40">
        <v>4</v>
      </c>
      <c r="D1287" s="38" t="s">
        <v>266</v>
      </c>
    </row>
    <row r="1288" spans="1:4" x14ac:dyDescent="0.25">
      <c r="A1288" s="41">
        <v>83436</v>
      </c>
      <c r="B1288" s="39" t="s">
        <v>3060</v>
      </c>
      <c r="C1288" s="40">
        <v>4</v>
      </c>
      <c r="D1288" s="38" t="s">
        <v>266</v>
      </c>
    </row>
    <row r="1289" spans="1:4" x14ac:dyDescent="0.25">
      <c r="A1289" s="41">
        <v>83446</v>
      </c>
      <c r="B1289" s="39" t="s">
        <v>3061</v>
      </c>
      <c r="C1289" s="40">
        <v>4</v>
      </c>
      <c r="D1289" s="38" t="s">
        <v>266</v>
      </c>
    </row>
    <row r="1290" spans="1:4" x14ac:dyDescent="0.25">
      <c r="A1290" s="41">
        <v>83449</v>
      </c>
      <c r="B1290" s="39" t="s">
        <v>3062</v>
      </c>
      <c r="C1290" s="40">
        <v>4</v>
      </c>
      <c r="D1290" s="38" t="s">
        <v>266</v>
      </c>
    </row>
    <row r="1291" spans="1:4" x14ac:dyDescent="0.25">
      <c r="A1291" s="42">
        <v>83449.13</v>
      </c>
      <c r="B1291" s="39" t="s">
        <v>3063</v>
      </c>
      <c r="C1291" s="40">
        <v>5</v>
      </c>
      <c r="D1291" s="38" t="s">
        <v>266</v>
      </c>
    </row>
    <row r="1292" spans="1:4" x14ac:dyDescent="0.25">
      <c r="A1292" s="41">
        <v>83453</v>
      </c>
      <c r="B1292" s="39" t="s">
        <v>3064</v>
      </c>
      <c r="C1292" s="40">
        <v>4</v>
      </c>
      <c r="D1292" s="38" t="s">
        <v>266</v>
      </c>
    </row>
    <row r="1293" spans="1:4" x14ac:dyDescent="0.25">
      <c r="A1293" s="41">
        <v>83456</v>
      </c>
      <c r="B1293" s="39" t="s">
        <v>3065</v>
      </c>
      <c r="C1293" s="40">
        <v>4</v>
      </c>
      <c r="D1293" s="38" t="s">
        <v>266</v>
      </c>
    </row>
    <row r="1294" spans="1:4" x14ac:dyDescent="0.25">
      <c r="A1294" s="41">
        <v>83458</v>
      </c>
      <c r="B1294" s="39" t="s">
        <v>3066</v>
      </c>
      <c r="C1294" s="40">
        <v>4</v>
      </c>
      <c r="D1294" s="38" t="s">
        <v>266</v>
      </c>
    </row>
    <row r="1295" spans="1:4" x14ac:dyDescent="0.25">
      <c r="A1295" s="41">
        <v>83459</v>
      </c>
      <c r="B1295" s="39" t="s">
        <v>3067</v>
      </c>
      <c r="C1295" s="40">
        <v>4</v>
      </c>
      <c r="D1295" s="38" t="s">
        <v>266</v>
      </c>
    </row>
    <row r="1296" spans="1:4" x14ac:dyDescent="0.25">
      <c r="A1296" s="41">
        <v>83463</v>
      </c>
      <c r="B1296" s="39" t="s">
        <v>3068</v>
      </c>
      <c r="C1296" s="40">
        <v>4</v>
      </c>
      <c r="D1296" s="38" t="s">
        <v>266</v>
      </c>
    </row>
    <row r="1297" spans="1:4" x14ac:dyDescent="0.25">
      <c r="A1297" s="42">
        <v>83463.13</v>
      </c>
      <c r="B1297" s="39" t="s">
        <v>3069</v>
      </c>
      <c r="C1297" s="40">
        <v>5</v>
      </c>
      <c r="D1297" s="38" t="s">
        <v>266</v>
      </c>
    </row>
    <row r="1298" spans="1:4" x14ac:dyDescent="0.25">
      <c r="A1298" s="42">
        <v>83463.16</v>
      </c>
      <c r="B1298" s="39" t="s">
        <v>3070</v>
      </c>
      <c r="C1298" s="40">
        <v>5</v>
      </c>
      <c r="D1298" s="38" t="s">
        <v>266</v>
      </c>
    </row>
    <row r="1299" spans="1:4" x14ac:dyDescent="0.25">
      <c r="A1299" s="42">
        <v>83463.33</v>
      </c>
      <c r="B1299" s="39" t="s">
        <v>3071</v>
      </c>
      <c r="C1299" s="40">
        <v>5</v>
      </c>
      <c r="D1299" s="38" t="s">
        <v>266</v>
      </c>
    </row>
    <row r="1300" spans="1:4" x14ac:dyDescent="0.25">
      <c r="A1300" s="41">
        <v>83473</v>
      </c>
      <c r="B1300" s="39" t="s">
        <v>3072</v>
      </c>
      <c r="C1300" s="40">
        <v>4</v>
      </c>
      <c r="D1300" s="38" t="s">
        <v>266</v>
      </c>
    </row>
    <row r="1301" spans="1:4" x14ac:dyDescent="0.25">
      <c r="A1301" s="41">
        <v>83500</v>
      </c>
      <c r="B1301" s="39" t="s">
        <v>3073</v>
      </c>
      <c r="C1301" s="40">
        <v>3</v>
      </c>
      <c r="D1301" s="38" t="s">
        <v>266</v>
      </c>
    </row>
    <row r="1302" spans="1:4" x14ac:dyDescent="0.25">
      <c r="A1302" s="41">
        <v>83513</v>
      </c>
      <c r="B1302" s="39" t="s">
        <v>3074</v>
      </c>
      <c r="C1302" s="40">
        <v>4</v>
      </c>
      <c r="D1302" s="38" t="s">
        <v>266</v>
      </c>
    </row>
    <row r="1303" spans="1:4" x14ac:dyDescent="0.25">
      <c r="A1303" s="42">
        <v>83513.13</v>
      </c>
      <c r="B1303" s="39" t="s">
        <v>3075</v>
      </c>
      <c r="C1303" s="40">
        <v>5</v>
      </c>
      <c r="D1303" s="38" t="s">
        <v>266</v>
      </c>
    </row>
    <row r="1304" spans="1:4" x14ac:dyDescent="0.25">
      <c r="A1304" s="42">
        <v>83513.23</v>
      </c>
      <c r="B1304" s="39" t="s">
        <v>3076</v>
      </c>
      <c r="C1304" s="40">
        <v>5</v>
      </c>
      <c r="D1304" s="38" t="s">
        <v>266</v>
      </c>
    </row>
    <row r="1305" spans="1:4" x14ac:dyDescent="0.25">
      <c r="A1305" s="42">
        <v>83513.33</v>
      </c>
      <c r="B1305" s="39" t="s">
        <v>3077</v>
      </c>
      <c r="C1305" s="40">
        <v>5</v>
      </c>
      <c r="D1305" s="38" t="s">
        <v>266</v>
      </c>
    </row>
    <row r="1306" spans="1:4" x14ac:dyDescent="0.25">
      <c r="A1306" s="41">
        <v>83516</v>
      </c>
      <c r="B1306" s="39" t="s">
        <v>3078</v>
      </c>
      <c r="C1306" s="40">
        <v>4</v>
      </c>
      <c r="D1306" s="38" t="s">
        <v>266</v>
      </c>
    </row>
    <row r="1307" spans="1:4" x14ac:dyDescent="0.25">
      <c r="A1307" s="42">
        <v>83516.13</v>
      </c>
      <c r="B1307" s="39" t="s">
        <v>3079</v>
      </c>
      <c r="C1307" s="40">
        <v>5</v>
      </c>
      <c r="D1307" s="38" t="s">
        <v>266</v>
      </c>
    </row>
    <row r="1308" spans="1:4" x14ac:dyDescent="0.25">
      <c r="A1308" s="41">
        <v>83600</v>
      </c>
      <c r="B1308" s="39" t="s">
        <v>3080</v>
      </c>
      <c r="C1308" s="40">
        <v>3</v>
      </c>
      <c r="D1308" s="38" t="s">
        <v>266</v>
      </c>
    </row>
    <row r="1309" spans="1:4" x14ac:dyDescent="0.25">
      <c r="A1309" s="41">
        <v>83613</v>
      </c>
      <c r="B1309" s="39" t="s">
        <v>3081</v>
      </c>
      <c r="C1309" s="40">
        <v>4</v>
      </c>
      <c r="D1309" s="38" t="s">
        <v>266</v>
      </c>
    </row>
    <row r="1310" spans="1:4" x14ac:dyDescent="0.25">
      <c r="A1310" s="41">
        <v>83616</v>
      </c>
      <c r="B1310" s="39" t="s">
        <v>3082</v>
      </c>
      <c r="C1310" s="40">
        <v>4</v>
      </c>
      <c r="D1310" s="38" t="s">
        <v>266</v>
      </c>
    </row>
    <row r="1311" spans="1:4" x14ac:dyDescent="0.25">
      <c r="A1311" s="41">
        <v>83619</v>
      </c>
      <c r="B1311" s="39" t="s">
        <v>3083</v>
      </c>
      <c r="C1311" s="40">
        <v>4</v>
      </c>
      <c r="D1311" s="38" t="s">
        <v>266</v>
      </c>
    </row>
    <row r="1312" spans="1:4" x14ac:dyDescent="0.25">
      <c r="A1312" s="41">
        <v>83623</v>
      </c>
      <c r="B1312" s="39" t="s">
        <v>3084</v>
      </c>
      <c r="C1312" s="40">
        <v>4</v>
      </c>
      <c r="D1312" s="38" t="s">
        <v>266</v>
      </c>
    </row>
    <row r="1313" spans="1:4" x14ac:dyDescent="0.25">
      <c r="A1313" s="41">
        <v>83800</v>
      </c>
      <c r="B1313" s="39" t="s">
        <v>3085</v>
      </c>
      <c r="C1313" s="40">
        <v>3</v>
      </c>
      <c r="D1313" s="38" t="s">
        <v>266</v>
      </c>
    </row>
    <row r="1314" spans="1:4" x14ac:dyDescent="0.25">
      <c r="A1314" s="41">
        <v>83813</v>
      </c>
      <c r="B1314" s="39" t="s">
        <v>3086</v>
      </c>
      <c r="C1314" s="40">
        <v>4</v>
      </c>
      <c r="D1314" s="38" t="s">
        <v>266</v>
      </c>
    </row>
    <row r="1315" spans="1:4" x14ac:dyDescent="0.25">
      <c r="A1315" s="41">
        <v>83816</v>
      </c>
      <c r="B1315" s="39" t="s">
        <v>3087</v>
      </c>
      <c r="C1315" s="40">
        <v>4</v>
      </c>
      <c r="D1315" s="38" t="s">
        <v>266</v>
      </c>
    </row>
    <row r="1316" spans="1:4" x14ac:dyDescent="0.25">
      <c r="A1316" s="41">
        <v>83819</v>
      </c>
      <c r="B1316" s="39" t="s">
        <v>3088</v>
      </c>
      <c r="C1316" s="40">
        <v>4</v>
      </c>
      <c r="D1316" s="38" t="s">
        <v>266</v>
      </c>
    </row>
    <row r="1317" spans="1:4" x14ac:dyDescent="0.25">
      <c r="A1317" s="41">
        <v>83900</v>
      </c>
      <c r="B1317" s="39" t="s">
        <v>3089</v>
      </c>
      <c r="C1317" s="40">
        <v>3</v>
      </c>
      <c r="D1317" s="38" t="s">
        <v>266</v>
      </c>
    </row>
    <row r="1318" spans="1:4" x14ac:dyDescent="0.25">
      <c r="A1318" s="41">
        <v>83913</v>
      </c>
      <c r="B1318" s="39" t="s">
        <v>3090</v>
      </c>
      <c r="C1318" s="40">
        <v>4</v>
      </c>
      <c r="D1318" s="38" t="s">
        <v>266</v>
      </c>
    </row>
    <row r="1319" spans="1:4" x14ac:dyDescent="0.25">
      <c r="A1319" s="41">
        <v>83919</v>
      </c>
      <c r="B1319" s="39" t="s">
        <v>3091</v>
      </c>
      <c r="C1319" s="40">
        <v>4</v>
      </c>
      <c r="D1319" s="38" t="s">
        <v>266</v>
      </c>
    </row>
    <row r="1320" spans="1:4" x14ac:dyDescent="0.25">
      <c r="A1320" s="41">
        <v>83953</v>
      </c>
      <c r="B1320" s="39" t="s">
        <v>3092</v>
      </c>
      <c r="C1320" s="40">
        <v>4</v>
      </c>
      <c r="D1320" s="38" t="s">
        <v>266</v>
      </c>
    </row>
    <row r="1321" spans="1:4" x14ac:dyDescent="0.25">
      <c r="A1321" s="41">
        <v>84000</v>
      </c>
      <c r="B1321" s="39" t="s">
        <v>3093</v>
      </c>
      <c r="C1321" s="40">
        <v>3</v>
      </c>
      <c r="D1321" s="38" t="s">
        <v>266</v>
      </c>
    </row>
    <row r="1322" spans="1:4" x14ac:dyDescent="0.25">
      <c r="A1322" s="41">
        <v>84100</v>
      </c>
      <c r="B1322" s="39" t="s">
        <v>3094</v>
      </c>
      <c r="C1322" s="40">
        <v>3</v>
      </c>
      <c r="D1322" s="38" t="s">
        <v>266</v>
      </c>
    </row>
    <row r="1323" spans="1:4" x14ac:dyDescent="0.25">
      <c r="A1323" s="41">
        <v>84113</v>
      </c>
      <c r="B1323" s="39" t="s">
        <v>3095</v>
      </c>
      <c r="C1323" s="40">
        <v>4</v>
      </c>
      <c r="D1323" s="38" t="s">
        <v>266</v>
      </c>
    </row>
    <row r="1324" spans="1:4" x14ac:dyDescent="0.25">
      <c r="A1324" s="41">
        <v>84116</v>
      </c>
      <c r="B1324" s="39" t="s">
        <v>3096</v>
      </c>
      <c r="C1324" s="40">
        <v>4</v>
      </c>
      <c r="D1324" s="38" t="s">
        <v>266</v>
      </c>
    </row>
    <row r="1325" spans="1:4" x14ac:dyDescent="0.25">
      <c r="A1325" s="41">
        <v>84119</v>
      </c>
      <c r="B1325" s="39" t="s">
        <v>3097</v>
      </c>
      <c r="C1325" s="40">
        <v>4</v>
      </c>
      <c r="D1325" s="38" t="s">
        <v>266</v>
      </c>
    </row>
    <row r="1326" spans="1:4" x14ac:dyDescent="0.25">
      <c r="A1326" s="41">
        <v>84123</v>
      </c>
      <c r="B1326" s="39" t="s">
        <v>3098</v>
      </c>
      <c r="C1326" s="40">
        <v>4</v>
      </c>
      <c r="D1326" s="38" t="s">
        <v>266</v>
      </c>
    </row>
    <row r="1327" spans="1:4" x14ac:dyDescent="0.25">
      <c r="A1327" s="41">
        <v>84126</v>
      </c>
      <c r="B1327" s="39" t="s">
        <v>3099</v>
      </c>
      <c r="C1327" s="40">
        <v>4</v>
      </c>
      <c r="D1327" s="38" t="s">
        <v>266</v>
      </c>
    </row>
    <row r="1328" spans="1:4" x14ac:dyDescent="0.25">
      <c r="A1328" s="41">
        <v>84200</v>
      </c>
      <c r="B1328" s="39" t="s">
        <v>3100</v>
      </c>
      <c r="C1328" s="40">
        <v>3</v>
      </c>
      <c r="D1328" s="38" t="s">
        <v>266</v>
      </c>
    </row>
    <row r="1329" spans="1:4" x14ac:dyDescent="0.25">
      <c r="A1329" s="41">
        <v>84226</v>
      </c>
      <c r="B1329" s="39" t="s">
        <v>3101</v>
      </c>
      <c r="C1329" s="40">
        <v>4</v>
      </c>
      <c r="D1329" s="38" t="s">
        <v>266</v>
      </c>
    </row>
    <row r="1330" spans="1:4" x14ac:dyDescent="0.25">
      <c r="A1330" s="41">
        <v>84229</v>
      </c>
      <c r="B1330" s="39" t="s">
        <v>3102</v>
      </c>
      <c r="C1330" s="40">
        <v>4</v>
      </c>
      <c r="D1330" s="38" t="s">
        <v>266</v>
      </c>
    </row>
    <row r="1331" spans="1:4" x14ac:dyDescent="0.25">
      <c r="A1331" s="42">
        <v>84229.13</v>
      </c>
      <c r="B1331" s="39" t="s">
        <v>3103</v>
      </c>
      <c r="C1331" s="40">
        <v>5</v>
      </c>
      <c r="D1331" s="38" t="s">
        <v>266</v>
      </c>
    </row>
    <row r="1332" spans="1:4" x14ac:dyDescent="0.25">
      <c r="A1332" s="42">
        <v>84229.23</v>
      </c>
      <c r="B1332" s="39" t="s">
        <v>3104</v>
      </c>
      <c r="C1332" s="40">
        <v>5</v>
      </c>
      <c r="D1332" s="38" t="s">
        <v>266</v>
      </c>
    </row>
    <row r="1333" spans="1:4" x14ac:dyDescent="0.25">
      <c r="A1333" s="42">
        <v>84229.33</v>
      </c>
      <c r="B1333" s="39" t="s">
        <v>3105</v>
      </c>
      <c r="C1333" s="40">
        <v>5</v>
      </c>
      <c r="D1333" s="38" t="s">
        <v>266</v>
      </c>
    </row>
    <row r="1334" spans="1:4" x14ac:dyDescent="0.25">
      <c r="A1334" s="41">
        <v>84233</v>
      </c>
      <c r="B1334" s="39" t="s">
        <v>3106</v>
      </c>
      <c r="C1334" s="40">
        <v>4</v>
      </c>
      <c r="D1334" s="38" t="s">
        <v>266</v>
      </c>
    </row>
    <row r="1335" spans="1:4" x14ac:dyDescent="0.25">
      <c r="A1335" s="42">
        <v>84233.13</v>
      </c>
      <c r="B1335" s="39" t="s">
        <v>3107</v>
      </c>
      <c r="C1335" s="40">
        <v>5</v>
      </c>
      <c r="D1335" s="38" t="s">
        <v>266</v>
      </c>
    </row>
    <row r="1336" spans="1:4" x14ac:dyDescent="0.25">
      <c r="A1336" s="41">
        <v>84236</v>
      </c>
      <c r="B1336" s="39" t="s">
        <v>3108</v>
      </c>
      <c r="C1336" s="40">
        <v>4</v>
      </c>
      <c r="D1336" s="38" t="s">
        <v>266</v>
      </c>
    </row>
    <row r="1337" spans="1:4" x14ac:dyDescent="0.25">
      <c r="A1337" s="41">
        <v>84239</v>
      </c>
      <c r="B1337" s="39" t="s">
        <v>3109</v>
      </c>
      <c r="C1337" s="40">
        <v>4</v>
      </c>
      <c r="D1337" s="38" t="s">
        <v>266</v>
      </c>
    </row>
    <row r="1338" spans="1:4" x14ac:dyDescent="0.25">
      <c r="A1338" s="41">
        <v>84243</v>
      </c>
      <c r="B1338" s="39" t="s">
        <v>3110</v>
      </c>
      <c r="C1338" s="40">
        <v>4</v>
      </c>
      <c r="D1338" s="38" t="s">
        <v>266</v>
      </c>
    </row>
    <row r="1339" spans="1:4" x14ac:dyDescent="0.25">
      <c r="A1339" s="41">
        <v>84300</v>
      </c>
      <c r="B1339" s="39" t="s">
        <v>3111</v>
      </c>
      <c r="C1339" s="40">
        <v>3</v>
      </c>
      <c r="D1339" s="38" t="s">
        <v>266</v>
      </c>
    </row>
    <row r="1340" spans="1:4" x14ac:dyDescent="0.25">
      <c r="A1340" s="41">
        <v>84311</v>
      </c>
      <c r="B1340" s="39" t="s">
        <v>3112</v>
      </c>
      <c r="C1340" s="40">
        <v>4</v>
      </c>
      <c r="D1340" s="38" t="s">
        <v>266</v>
      </c>
    </row>
    <row r="1341" spans="1:4" x14ac:dyDescent="0.25">
      <c r="A1341" s="41">
        <v>84313</v>
      </c>
      <c r="B1341" s="39" t="s">
        <v>3113</v>
      </c>
      <c r="C1341" s="40">
        <v>4</v>
      </c>
      <c r="D1341" s="38" t="s">
        <v>266</v>
      </c>
    </row>
    <row r="1342" spans="1:4" x14ac:dyDescent="0.25">
      <c r="A1342" s="41">
        <v>84316</v>
      </c>
      <c r="B1342" s="39" t="s">
        <v>3114</v>
      </c>
      <c r="C1342" s="40">
        <v>4</v>
      </c>
      <c r="D1342" s="38" t="s">
        <v>266</v>
      </c>
    </row>
    <row r="1343" spans="1:4" x14ac:dyDescent="0.25">
      <c r="A1343" s="41">
        <v>84319</v>
      </c>
      <c r="B1343" s="39" t="s">
        <v>3115</v>
      </c>
      <c r="C1343" s="40">
        <v>4</v>
      </c>
      <c r="D1343" s="38" t="s">
        <v>266</v>
      </c>
    </row>
    <row r="1344" spans="1:4" x14ac:dyDescent="0.25">
      <c r="A1344" s="41">
        <v>84323</v>
      </c>
      <c r="B1344" s="39" t="s">
        <v>3116</v>
      </c>
      <c r="C1344" s="40">
        <v>4</v>
      </c>
      <c r="D1344" s="38" t="s">
        <v>266</v>
      </c>
    </row>
    <row r="1345" spans="1:4" x14ac:dyDescent="0.25">
      <c r="A1345" s="41">
        <v>84326</v>
      </c>
      <c r="B1345" s="39" t="s">
        <v>3117</v>
      </c>
      <c r="C1345" s="40">
        <v>4</v>
      </c>
      <c r="D1345" s="38" t="s">
        <v>266</v>
      </c>
    </row>
    <row r="1346" spans="1:4" x14ac:dyDescent="0.25">
      <c r="A1346" s="41">
        <v>84327</v>
      </c>
      <c r="B1346" s="39" t="s">
        <v>3118</v>
      </c>
      <c r="C1346" s="40">
        <v>4</v>
      </c>
      <c r="D1346" s="38" t="s">
        <v>266</v>
      </c>
    </row>
    <row r="1347" spans="1:4" x14ac:dyDescent="0.25">
      <c r="A1347" s="41">
        <v>84329</v>
      </c>
      <c r="B1347" s="39" t="s">
        <v>3119</v>
      </c>
      <c r="C1347" s="40">
        <v>4</v>
      </c>
      <c r="D1347" s="38" t="s">
        <v>266</v>
      </c>
    </row>
    <row r="1348" spans="1:4" x14ac:dyDescent="0.25">
      <c r="A1348" s="41">
        <v>84400</v>
      </c>
      <c r="B1348" s="39" t="s">
        <v>3120</v>
      </c>
      <c r="C1348" s="40">
        <v>3</v>
      </c>
      <c r="D1348" s="38" t="s">
        <v>266</v>
      </c>
    </row>
    <row r="1349" spans="1:4" x14ac:dyDescent="0.25">
      <c r="A1349" s="41">
        <v>84411</v>
      </c>
      <c r="B1349" s="39" t="s">
        <v>3121</v>
      </c>
      <c r="C1349" s="40">
        <v>4</v>
      </c>
      <c r="D1349" s="38" t="s">
        <v>266</v>
      </c>
    </row>
    <row r="1350" spans="1:4" x14ac:dyDescent="0.25">
      <c r="A1350" s="41">
        <v>84413</v>
      </c>
      <c r="B1350" s="39" t="s">
        <v>3122</v>
      </c>
      <c r="C1350" s="40">
        <v>4</v>
      </c>
      <c r="D1350" s="38" t="s">
        <v>266</v>
      </c>
    </row>
    <row r="1351" spans="1:4" x14ac:dyDescent="0.25">
      <c r="A1351" s="41">
        <v>84416</v>
      </c>
      <c r="B1351" s="39" t="s">
        <v>3123</v>
      </c>
      <c r="C1351" s="40">
        <v>4</v>
      </c>
      <c r="D1351" s="38" t="s">
        <v>266</v>
      </c>
    </row>
    <row r="1352" spans="1:4" x14ac:dyDescent="0.25">
      <c r="A1352" s="41">
        <v>84418</v>
      </c>
      <c r="B1352" s="39" t="s">
        <v>3124</v>
      </c>
      <c r="C1352" s="40">
        <v>4</v>
      </c>
      <c r="D1352" s="38" t="s">
        <v>266</v>
      </c>
    </row>
    <row r="1353" spans="1:4" x14ac:dyDescent="0.25">
      <c r="A1353" s="41">
        <v>84419</v>
      </c>
      <c r="B1353" s="39" t="s">
        <v>3125</v>
      </c>
      <c r="C1353" s="40">
        <v>4</v>
      </c>
      <c r="D1353" s="38" t="s">
        <v>266</v>
      </c>
    </row>
    <row r="1354" spans="1:4" x14ac:dyDescent="0.25">
      <c r="A1354" s="41">
        <v>84426</v>
      </c>
      <c r="B1354" s="39" t="s">
        <v>3126</v>
      </c>
      <c r="C1354" s="40">
        <v>4</v>
      </c>
      <c r="D1354" s="38" t="s">
        <v>266</v>
      </c>
    </row>
    <row r="1355" spans="1:4" x14ac:dyDescent="0.25">
      <c r="A1355" s="41">
        <v>84433</v>
      </c>
      <c r="B1355" s="39" t="s">
        <v>3127</v>
      </c>
      <c r="C1355" s="40">
        <v>4</v>
      </c>
      <c r="D1355" s="38" t="s">
        <v>266</v>
      </c>
    </row>
    <row r="1356" spans="1:4" x14ac:dyDescent="0.25">
      <c r="A1356" s="41">
        <v>84500</v>
      </c>
      <c r="B1356" s="39" t="s">
        <v>3128</v>
      </c>
      <c r="C1356" s="40">
        <v>3</v>
      </c>
      <c r="D1356" s="38" t="s">
        <v>266</v>
      </c>
    </row>
    <row r="1357" spans="1:4" x14ac:dyDescent="0.25">
      <c r="A1357" s="41">
        <v>84513</v>
      </c>
      <c r="B1357" s="39" t="s">
        <v>3129</v>
      </c>
      <c r="C1357" s="40">
        <v>4</v>
      </c>
      <c r="D1357" s="38" t="s">
        <v>266</v>
      </c>
    </row>
    <row r="1358" spans="1:4" x14ac:dyDescent="0.25">
      <c r="A1358" s="41">
        <v>84523</v>
      </c>
      <c r="B1358" s="39" t="s">
        <v>3130</v>
      </c>
      <c r="C1358" s="40">
        <v>4</v>
      </c>
      <c r="D1358" s="38" t="s">
        <v>266</v>
      </c>
    </row>
    <row r="1359" spans="1:4" x14ac:dyDescent="0.25">
      <c r="A1359" s="41">
        <v>85000</v>
      </c>
      <c r="B1359" s="39" t="s">
        <v>3131</v>
      </c>
      <c r="C1359" s="40">
        <v>3</v>
      </c>
      <c r="D1359" s="38" t="s">
        <v>599</v>
      </c>
    </row>
    <row r="1360" spans="1:4" x14ac:dyDescent="0.25">
      <c r="A1360" s="41">
        <v>85100</v>
      </c>
      <c r="B1360" s="39" t="s">
        <v>3132</v>
      </c>
      <c r="C1360" s="40">
        <v>3</v>
      </c>
      <c r="D1360" s="38" t="s">
        <v>266</v>
      </c>
    </row>
    <row r="1361" spans="1:4" x14ac:dyDescent="0.25">
      <c r="A1361" s="41">
        <v>85113</v>
      </c>
      <c r="B1361" s="39" t="s">
        <v>3133</v>
      </c>
      <c r="C1361" s="40">
        <v>4</v>
      </c>
      <c r="D1361" s="38" t="s">
        <v>266</v>
      </c>
    </row>
    <row r="1362" spans="1:4" x14ac:dyDescent="0.25">
      <c r="A1362" s="41">
        <v>85116</v>
      </c>
      <c r="B1362" s="39" t="s">
        <v>3134</v>
      </c>
      <c r="C1362" s="40">
        <v>4</v>
      </c>
      <c r="D1362" s="38" t="s">
        <v>266</v>
      </c>
    </row>
    <row r="1363" spans="1:4" x14ac:dyDescent="0.25">
      <c r="A1363" s="41">
        <v>85119</v>
      </c>
      <c r="B1363" s="39" t="s">
        <v>3135</v>
      </c>
      <c r="C1363" s="40">
        <v>4</v>
      </c>
      <c r="D1363" s="38" t="s">
        <v>266</v>
      </c>
    </row>
    <row r="1364" spans="1:4" x14ac:dyDescent="0.25">
      <c r="A1364" s="41">
        <v>85123</v>
      </c>
      <c r="B1364" s="39" t="s">
        <v>3136</v>
      </c>
      <c r="C1364" s="40">
        <v>4</v>
      </c>
      <c r="D1364" s="38" t="s">
        <v>266</v>
      </c>
    </row>
    <row r="1365" spans="1:4" x14ac:dyDescent="0.25">
      <c r="A1365" s="41">
        <v>85166</v>
      </c>
      <c r="B1365" s="39" t="s">
        <v>3137</v>
      </c>
      <c r="C1365" s="40">
        <v>4</v>
      </c>
      <c r="D1365" s="38" t="s">
        <v>266</v>
      </c>
    </row>
    <row r="1366" spans="1:4" x14ac:dyDescent="0.25">
      <c r="A1366" s="41">
        <v>85169</v>
      </c>
      <c r="B1366" s="39" t="s">
        <v>3138</v>
      </c>
      <c r="C1366" s="40">
        <v>4</v>
      </c>
      <c r="D1366" s="38" t="s">
        <v>266</v>
      </c>
    </row>
    <row r="1367" spans="1:4" x14ac:dyDescent="0.25">
      <c r="A1367" s="41">
        <v>85200</v>
      </c>
      <c r="B1367" s="39" t="s">
        <v>3139</v>
      </c>
      <c r="C1367" s="40">
        <v>3</v>
      </c>
      <c r="D1367" s="38" t="s">
        <v>266</v>
      </c>
    </row>
    <row r="1368" spans="1:4" x14ac:dyDescent="0.25">
      <c r="A1368" s="41">
        <v>85213</v>
      </c>
      <c r="B1368" s="39" t="s">
        <v>3140</v>
      </c>
      <c r="C1368" s="40">
        <v>4</v>
      </c>
      <c r="D1368" s="38" t="s">
        <v>266</v>
      </c>
    </row>
    <row r="1369" spans="1:4" x14ac:dyDescent="0.25">
      <c r="A1369" s="41">
        <v>85216</v>
      </c>
      <c r="B1369" s="39" t="s">
        <v>3141</v>
      </c>
      <c r="C1369" s="40">
        <v>4</v>
      </c>
      <c r="D1369" s="38" t="s">
        <v>266</v>
      </c>
    </row>
    <row r="1370" spans="1:4" x14ac:dyDescent="0.25">
      <c r="A1370" s="41">
        <v>85266</v>
      </c>
      <c r="B1370" s="39" t="s">
        <v>3142</v>
      </c>
      <c r="C1370" s="40">
        <v>4</v>
      </c>
      <c r="D1370" s="38" t="s">
        <v>266</v>
      </c>
    </row>
    <row r="1371" spans="1:4" x14ac:dyDescent="0.25">
      <c r="A1371" s="41">
        <v>85269</v>
      </c>
      <c r="B1371" s="39" t="s">
        <v>3143</v>
      </c>
      <c r="C1371" s="40">
        <v>4</v>
      </c>
      <c r="D1371" s="38" t="s">
        <v>266</v>
      </c>
    </row>
    <row r="1372" spans="1:4" x14ac:dyDescent="0.25">
      <c r="A1372" s="41">
        <v>85300</v>
      </c>
      <c r="B1372" s="39" t="s">
        <v>3144</v>
      </c>
      <c r="C1372" s="40">
        <v>3</v>
      </c>
      <c r="D1372" s="38" t="s">
        <v>266</v>
      </c>
    </row>
    <row r="1373" spans="1:4" x14ac:dyDescent="0.25">
      <c r="A1373" s="41">
        <v>85313</v>
      </c>
      <c r="B1373" s="39" t="s">
        <v>3145</v>
      </c>
      <c r="C1373" s="40">
        <v>4</v>
      </c>
      <c r="D1373" s="38" t="s">
        <v>266</v>
      </c>
    </row>
    <row r="1374" spans="1:4" x14ac:dyDescent="0.25">
      <c r="A1374" s="41">
        <v>85366</v>
      </c>
      <c r="B1374" s="39" t="s">
        <v>3146</v>
      </c>
      <c r="C1374" s="40">
        <v>4</v>
      </c>
      <c r="D1374" s="38" t="s">
        <v>266</v>
      </c>
    </row>
    <row r="1375" spans="1:4" x14ac:dyDescent="0.25">
      <c r="A1375" s="41">
        <v>85369</v>
      </c>
      <c r="B1375" s="39" t="s">
        <v>3147</v>
      </c>
      <c r="C1375" s="40">
        <v>4</v>
      </c>
      <c r="D1375" s="38" t="s">
        <v>266</v>
      </c>
    </row>
    <row r="1376" spans="1:4" x14ac:dyDescent="0.25">
      <c r="A1376" s="41">
        <v>85400</v>
      </c>
      <c r="B1376" s="39" t="s">
        <v>3148</v>
      </c>
      <c r="C1376" s="40">
        <v>3</v>
      </c>
      <c r="D1376" s="38" t="s">
        <v>266</v>
      </c>
    </row>
    <row r="1377" spans="1:4" x14ac:dyDescent="0.25">
      <c r="A1377" s="41">
        <v>85413</v>
      </c>
      <c r="B1377" s="39" t="s">
        <v>3149</v>
      </c>
      <c r="C1377" s="40">
        <v>4</v>
      </c>
      <c r="D1377" s="38" t="s">
        <v>266</v>
      </c>
    </row>
    <row r="1378" spans="1:4" x14ac:dyDescent="0.25">
      <c r="A1378" s="41">
        <v>85466</v>
      </c>
      <c r="B1378" s="39" t="s">
        <v>3150</v>
      </c>
      <c r="C1378" s="40">
        <v>4</v>
      </c>
      <c r="D1378" s="38" t="s">
        <v>266</v>
      </c>
    </row>
    <row r="1379" spans="1:4" x14ac:dyDescent="0.25">
      <c r="A1379" s="41">
        <v>85469</v>
      </c>
      <c r="B1379" s="39" t="s">
        <v>3151</v>
      </c>
      <c r="C1379" s="40">
        <v>4</v>
      </c>
      <c r="D1379" s="38" t="s">
        <v>266</v>
      </c>
    </row>
    <row r="1380" spans="1:4" x14ac:dyDescent="0.25">
      <c r="A1380" s="41">
        <v>85500</v>
      </c>
      <c r="B1380" s="39" t="s">
        <v>3152</v>
      </c>
      <c r="C1380" s="40">
        <v>3</v>
      </c>
      <c r="D1380" s="38" t="s">
        <v>266</v>
      </c>
    </row>
    <row r="1381" spans="1:4" x14ac:dyDescent="0.25">
      <c r="A1381" s="41">
        <v>85600</v>
      </c>
      <c r="B1381" s="39" t="s">
        <v>3153</v>
      </c>
      <c r="C1381" s="40">
        <v>3</v>
      </c>
      <c r="D1381" s="38" t="s">
        <v>266</v>
      </c>
    </row>
    <row r="1382" spans="1:4" x14ac:dyDescent="0.25">
      <c r="A1382" s="41">
        <v>85619</v>
      </c>
      <c r="B1382" s="39" t="s">
        <v>3154</v>
      </c>
      <c r="C1382" s="40">
        <v>4</v>
      </c>
      <c r="D1382" s="38" t="s">
        <v>266</v>
      </c>
    </row>
    <row r="1383" spans="1:4" x14ac:dyDescent="0.25">
      <c r="A1383" s="41">
        <v>85646</v>
      </c>
      <c r="B1383" s="39" t="s">
        <v>3155</v>
      </c>
      <c r="C1383" s="40">
        <v>4</v>
      </c>
      <c r="D1383" s="38" t="s">
        <v>266</v>
      </c>
    </row>
    <row r="1384" spans="1:4" x14ac:dyDescent="0.25">
      <c r="A1384" s="41">
        <v>85649</v>
      </c>
      <c r="B1384" s="39" t="s">
        <v>3156</v>
      </c>
      <c r="C1384" s="40">
        <v>4</v>
      </c>
      <c r="D1384" s="38" t="s">
        <v>266</v>
      </c>
    </row>
    <row r="1385" spans="1:4" x14ac:dyDescent="0.25">
      <c r="A1385" s="41">
        <v>85653</v>
      </c>
      <c r="B1385" s="39" t="s">
        <v>3157</v>
      </c>
      <c r="C1385" s="40">
        <v>4</v>
      </c>
      <c r="D1385" s="38" t="s">
        <v>266</v>
      </c>
    </row>
    <row r="1386" spans="1:4" x14ac:dyDescent="0.25">
      <c r="A1386" s="41">
        <v>85656</v>
      </c>
      <c r="B1386" s="39" t="s">
        <v>3158</v>
      </c>
      <c r="C1386" s="40">
        <v>4</v>
      </c>
      <c r="D1386" s="38" t="s">
        <v>266</v>
      </c>
    </row>
    <row r="1387" spans="1:4" x14ac:dyDescent="0.25">
      <c r="A1387" s="41">
        <v>85659</v>
      </c>
      <c r="B1387" s="39" t="s">
        <v>3159</v>
      </c>
      <c r="C1387" s="40">
        <v>4</v>
      </c>
      <c r="D1387" s="38" t="s">
        <v>266</v>
      </c>
    </row>
    <row r="1388" spans="1:4" x14ac:dyDescent="0.25">
      <c r="A1388" s="41">
        <v>85663</v>
      </c>
      <c r="B1388" s="39" t="s">
        <v>3160</v>
      </c>
      <c r="C1388" s="40">
        <v>4</v>
      </c>
      <c r="D1388" s="38" t="s">
        <v>266</v>
      </c>
    </row>
    <row r="1389" spans="1:4" x14ac:dyDescent="0.25">
      <c r="A1389" s="41">
        <v>85666</v>
      </c>
      <c r="B1389" s="39" t="s">
        <v>3161</v>
      </c>
      <c r="C1389" s="40">
        <v>4</v>
      </c>
      <c r="D1389" s="38" t="s">
        <v>266</v>
      </c>
    </row>
    <row r="1390" spans="1:4" x14ac:dyDescent="0.25">
      <c r="A1390" s="41">
        <v>85673</v>
      </c>
      <c r="B1390" s="39" t="s">
        <v>3162</v>
      </c>
      <c r="C1390" s="40">
        <v>4</v>
      </c>
      <c r="D1390" s="38" t="s">
        <v>266</v>
      </c>
    </row>
    <row r="1391" spans="1:4" x14ac:dyDescent="0.25">
      <c r="A1391" s="41">
        <v>85688</v>
      </c>
      <c r="B1391" s="39" t="s">
        <v>3163</v>
      </c>
      <c r="C1391" s="40">
        <v>4</v>
      </c>
      <c r="D1391" s="38" t="s">
        <v>266</v>
      </c>
    </row>
    <row r="1392" spans="1:4" x14ac:dyDescent="0.25">
      <c r="A1392" s="41">
        <v>86000</v>
      </c>
      <c r="B1392" s="39" t="s">
        <v>677</v>
      </c>
      <c r="C1392" s="40">
        <v>3</v>
      </c>
      <c r="D1392" s="39" t="s">
        <v>676</v>
      </c>
    </row>
    <row r="1393" spans="1:4" x14ac:dyDescent="0.25">
      <c r="A1393" s="41">
        <v>86100</v>
      </c>
      <c r="B1393" s="39" t="s">
        <v>3164</v>
      </c>
      <c r="C1393" s="40">
        <v>3</v>
      </c>
      <c r="D1393" s="38" t="s">
        <v>676</v>
      </c>
    </row>
    <row r="1394" spans="1:4" x14ac:dyDescent="0.25">
      <c r="A1394" s="41">
        <v>86113</v>
      </c>
      <c r="B1394" s="39" t="s">
        <v>3165</v>
      </c>
      <c r="C1394" s="40">
        <v>4</v>
      </c>
      <c r="D1394" s="38" t="s">
        <v>266</v>
      </c>
    </row>
    <row r="1395" spans="1:4" x14ac:dyDescent="0.25">
      <c r="A1395" s="41">
        <v>86116</v>
      </c>
      <c r="B1395" s="39" t="s">
        <v>3166</v>
      </c>
      <c r="C1395" s="40">
        <v>4</v>
      </c>
      <c r="D1395" s="38" t="s">
        <v>266</v>
      </c>
    </row>
    <row r="1396" spans="1:4" x14ac:dyDescent="0.25">
      <c r="A1396" s="41">
        <v>86200</v>
      </c>
      <c r="B1396" s="39" t="s">
        <v>3167</v>
      </c>
      <c r="C1396" s="40">
        <v>3</v>
      </c>
      <c r="D1396" s="38" t="s">
        <v>676</v>
      </c>
    </row>
    <row r="1397" spans="1:4" x14ac:dyDescent="0.25">
      <c r="A1397" s="41">
        <v>86213</v>
      </c>
      <c r="B1397" s="39" t="s">
        <v>3168</v>
      </c>
      <c r="C1397" s="40">
        <v>4</v>
      </c>
      <c r="D1397" s="38" t="s">
        <v>266</v>
      </c>
    </row>
    <row r="1398" spans="1:4" x14ac:dyDescent="0.25">
      <c r="A1398" s="41">
        <v>86216</v>
      </c>
      <c r="B1398" s="39" t="s">
        <v>3169</v>
      </c>
      <c r="C1398" s="40">
        <v>4</v>
      </c>
      <c r="D1398" s="38" t="s">
        <v>266</v>
      </c>
    </row>
    <row r="1399" spans="1:4" x14ac:dyDescent="0.25">
      <c r="A1399" s="41">
        <v>86219</v>
      </c>
      <c r="B1399" s="39" t="s">
        <v>3170</v>
      </c>
      <c r="C1399" s="40">
        <v>4</v>
      </c>
      <c r="D1399" s="38" t="s">
        <v>266</v>
      </c>
    </row>
    <row r="1400" spans="1:4" x14ac:dyDescent="0.25">
      <c r="A1400" s="41">
        <v>86223</v>
      </c>
      <c r="B1400" s="39" t="s">
        <v>3171</v>
      </c>
      <c r="C1400" s="40">
        <v>4</v>
      </c>
      <c r="D1400" s="38" t="s">
        <v>266</v>
      </c>
    </row>
    <row r="1401" spans="1:4" x14ac:dyDescent="0.25">
      <c r="A1401" s="41">
        <v>86300</v>
      </c>
      <c r="B1401" s="39" t="s">
        <v>3172</v>
      </c>
      <c r="C1401" s="40">
        <v>3</v>
      </c>
      <c r="D1401" s="38" t="s">
        <v>266</v>
      </c>
    </row>
    <row r="1402" spans="1:4" x14ac:dyDescent="0.25">
      <c r="A1402" s="41">
        <v>86313</v>
      </c>
      <c r="B1402" s="39" t="s">
        <v>3173</v>
      </c>
      <c r="C1402" s="40">
        <v>4</v>
      </c>
      <c r="D1402" s="38" t="s">
        <v>266</v>
      </c>
    </row>
    <row r="1403" spans="1:4" x14ac:dyDescent="0.25">
      <c r="A1403" s="41">
        <v>86316</v>
      </c>
      <c r="B1403" s="39" t="s">
        <v>3174</v>
      </c>
      <c r="C1403" s="40">
        <v>4</v>
      </c>
      <c r="D1403" s="38" t="s">
        <v>266</v>
      </c>
    </row>
    <row r="1404" spans="1:4" x14ac:dyDescent="0.25">
      <c r="A1404" s="41">
        <v>86319</v>
      </c>
      <c r="B1404" s="39" t="s">
        <v>3175</v>
      </c>
      <c r="C1404" s="40">
        <v>4</v>
      </c>
      <c r="D1404" s="38" t="s">
        <v>266</v>
      </c>
    </row>
    <row r="1405" spans="1:4" x14ac:dyDescent="0.25">
      <c r="A1405" s="41">
        <v>86323</v>
      </c>
      <c r="B1405" s="39" t="s">
        <v>3176</v>
      </c>
      <c r="C1405" s="40">
        <v>4</v>
      </c>
      <c r="D1405" s="38" t="s">
        <v>266</v>
      </c>
    </row>
    <row r="1406" spans="1:4" x14ac:dyDescent="0.25">
      <c r="A1406" s="41">
        <v>86353</v>
      </c>
      <c r="B1406" s="39" t="s">
        <v>3177</v>
      </c>
      <c r="C1406" s="40">
        <v>4</v>
      </c>
      <c r="D1406" s="38" t="s">
        <v>266</v>
      </c>
    </row>
    <row r="1407" spans="1:4" x14ac:dyDescent="0.25">
      <c r="A1407" s="41">
        <v>86400</v>
      </c>
      <c r="B1407" s="39" t="s">
        <v>3178</v>
      </c>
      <c r="C1407" s="40">
        <v>3</v>
      </c>
      <c r="D1407" s="38" t="s">
        <v>266</v>
      </c>
    </row>
    <row r="1408" spans="1:4" x14ac:dyDescent="0.25">
      <c r="A1408" s="41">
        <v>86700</v>
      </c>
      <c r="B1408" s="39" t="s">
        <v>3179</v>
      </c>
      <c r="C1408" s="40">
        <v>3</v>
      </c>
      <c r="D1408" s="38" t="s">
        <v>266</v>
      </c>
    </row>
    <row r="1409" spans="1:4" x14ac:dyDescent="0.25">
      <c r="A1409" s="41">
        <v>87000</v>
      </c>
      <c r="B1409" s="39" t="s">
        <v>3180</v>
      </c>
      <c r="C1409" s="40">
        <v>3</v>
      </c>
      <c r="D1409" s="38" t="s">
        <v>266</v>
      </c>
    </row>
    <row r="1410" spans="1:4" x14ac:dyDescent="0.25">
      <c r="A1410" s="41">
        <v>87100</v>
      </c>
      <c r="B1410" s="39" t="s">
        <v>3181</v>
      </c>
      <c r="C1410" s="40">
        <v>3</v>
      </c>
      <c r="D1410" s="38" t="s">
        <v>266</v>
      </c>
    </row>
    <row r="1411" spans="1:4" x14ac:dyDescent="0.25">
      <c r="A1411" s="41">
        <v>87113</v>
      </c>
      <c r="B1411" s="39" t="s">
        <v>3182</v>
      </c>
      <c r="C1411" s="40">
        <v>4</v>
      </c>
      <c r="D1411" s="38" t="s">
        <v>266</v>
      </c>
    </row>
    <row r="1412" spans="1:4" x14ac:dyDescent="0.25">
      <c r="A1412" s="41">
        <v>87153</v>
      </c>
      <c r="B1412" s="39" t="s">
        <v>3183</v>
      </c>
      <c r="C1412" s="40">
        <v>4</v>
      </c>
      <c r="D1412" s="38" t="s">
        <v>266</v>
      </c>
    </row>
    <row r="1413" spans="1:4" x14ac:dyDescent="0.25">
      <c r="A1413" s="41">
        <v>87163</v>
      </c>
      <c r="B1413" s="39" t="s">
        <v>3184</v>
      </c>
      <c r="C1413" s="40">
        <v>4</v>
      </c>
      <c r="D1413" s="38" t="s">
        <v>266</v>
      </c>
    </row>
    <row r="1414" spans="1:4" x14ac:dyDescent="0.25">
      <c r="A1414" s="41">
        <v>87400</v>
      </c>
      <c r="B1414" s="39" t="s">
        <v>3185</v>
      </c>
      <c r="C1414" s="40">
        <v>3</v>
      </c>
      <c r="D1414" s="38" t="s">
        <v>266</v>
      </c>
    </row>
    <row r="1415" spans="1:4" x14ac:dyDescent="0.25">
      <c r="A1415" s="41">
        <v>87413</v>
      </c>
      <c r="B1415" s="39" t="s">
        <v>3186</v>
      </c>
      <c r="C1415" s="40">
        <v>4</v>
      </c>
      <c r="D1415" s="38" t="s">
        <v>266</v>
      </c>
    </row>
    <row r="1416" spans="1:4" x14ac:dyDescent="0.25">
      <c r="A1416" s="41">
        <v>87416</v>
      </c>
      <c r="B1416" s="39" t="s">
        <v>3187</v>
      </c>
      <c r="C1416" s="40">
        <v>4</v>
      </c>
      <c r="D1416" s="38" t="s">
        <v>266</v>
      </c>
    </row>
    <row r="1417" spans="1:4" x14ac:dyDescent="0.25">
      <c r="A1417" s="41">
        <v>87419</v>
      </c>
      <c r="B1417" s="39" t="s">
        <v>3188</v>
      </c>
      <c r="C1417" s="40">
        <v>4</v>
      </c>
      <c r="D1417" s="38" t="s">
        <v>266</v>
      </c>
    </row>
    <row r="1418" spans="1:4" x14ac:dyDescent="0.25">
      <c r="A1418" s="41">
        <v>87500</v>
      </c>
      <c r="B1418" s="39" t="s">
        <v>3189</v>
      </c>
      <c r="C1418" s="40">
        <v>3</v>
      </c>
      <c r="D1418" s="38" t="s">
        <v>266</v>
      </c>
    </row>
    <row r="1419" spans="1:4" x14ac:dyDescent="0.25">
      <c r="A1419" s="41">
        <v>87513</v>
      </c>
      <c r="B1419" s="39" t="s">
        <v>3190</v>
      </c>
      <c r="C1419" s="40">
        <v>4</v>
      </c>
      <c r="D1419" s="38" t="s">
        <v>266</v>
      </c>
    </row>
    <row r="1420" spans="1:4" x14ac:dyDescent="0.25">
      <c r="A1420" s="41">
        <v>87516</v>
      </c>
      <c r="B1420" s="39" t="s">
        <v>3191</v>
      </c>
      <c r="C1420" s="40">
        <v>4</v>
      </c>
      <c r="D1420" s="38" t="s">
        <v>266</v>
      </c>
    </row>
    <row r="1421" spans="1:4" x14ac:dyDescent="0.25">
      <c r="A1421" s="41">
        <v>87800</v>
      </c>
      <c r="B1421" s="39" t="s">
        <v>3192</v>
      </c>
      <c r="C1421" s="40">
        <v>3</v>
      </c>
      <c r="D1421" s="38" t="s">
        <v>266</v>
      </c>
    </row>
    <row r="1422" spans="1:4" x14ac:dyDescent="0.25">
      <c r="A1422" s="41">
        <v>87900</v>
      </c>
      <c r="B1422" s="39" t="s">
        <v>3193</v>
      </c>
      <c r="C1422" s="40">
        <v>3</v>
      </c>
      <c r="D1422" s="38" t="s">
        <v>266</v>
      </c>
    </row>
    <row r="1423" spans="1:4" x14ac:dyDescent="0.25">
      <c r="A1423" s="41">
        <v>87913</v>
      </c>
      <c r="B1423" s="39" t="s">
        <v>3194</v>
      </c>
      <c r="C1423" s="40">
        <v>4</v>
      </c>
      <c r="D1423" s="38" t="s">
        <v>266</v>
      </c>
    </row>
    <row r="1424" spans="1:4" x14ac:dyDescent="0.25">
      <c r="A1424" s="41">
        <v>88000</v>
      </c>
      <c r="B1424" s="39" t="s">
        <v>3195</v>
      </c>
      <c r="C1424" s="40">
        <v>3</v>
      </c>
      <c r="D1424" s="38" t="s">
        <v>266</v>
      </c>
    </row>
    <row r="1425" spans="1:4" x14ac:dyDescent="0.25">
      <c r="A1425" s="41">
        <v>88100</v>
      </c>
      <c r="B1425" s="39" t="s">
        <v>3196</v>
      </c>
      <c r="C1425" s="40">
        <v>3</v>
      </c>
      <c r="D1425" s="38" t="s">
        <v>266</v>
      </c>
    </row>
    <row r="1426" spans="1:4" x14ac:dyDescent="0.25">
      <c r="A1426" s="41">
        <v>88113</v>
      </c>
      <c r="B1426" s="39" t="s">
        <v>3197</v>
      </c>
      <c r="C1426" s="40">
        <v>4</v>
      </c>
      <c r="D1426" s="38" t="s">
        <v>266</v>
      </c>
    </row>
    <row r="1427" spans="1:4" x14ac:dyDescent="0.25">
      <c r="A1427" s="41">
        <v>88300</v>
      </c>
      <c r="B1427" s="39" t="s">
        <v>3198</v>
      </c>
      <c r="C1427" s="40">
        <v>3</v>
      </c>
      <c r="D1427" s="38" t="s">
        <v>266</v>
      </c>
    </row>
    <row r="1428" spans="1:4" x14ac:dyDescent="0.25">
      <c r="A1428" s="41">
        <v>88313</v>
      </c>
      <c r="B1428" s="39" t="s">
        <v>3199</v>
      </c>
      <c r="C1428" s="40">
        <v>4</v>
      </c>
      <c r="D1428" s="38" t="s">
        <v>266</v>
      </c>
    </row>
    <row r="1429" spans="1:4" x14ac:dyDescent="0.25">
      <c r="A1429" s="41">
        <v>88316</v>
      </c>
      <c r="B1429" s="39" t="s">
        <v>3200</v>
      </c>
      <c r="C1429" s="40">
        <v>4</v>
      </c>
      <c r="D1429" s="38" t="s">
        <v>266</v>
      </c>
    </row>
    <row r="1430" spans="1:4" x14ac:dyDescent="0.25">
      <c r="A1430" s="41">
        <v>88400</v>
      </c>
      <c r="B1430" s="39" t="s">
        <v>3201</v>
      </c>
      <c r="C1430" s="40">
        <v>3</v>
      </c>
      <c r="D1430" s="38" t="s">
        <v>266</v>
      </c>
    </row>
    <row r="1431" spans="1:4" x14ac:dyDescent="0.25">
      <c r="A1431" s="41">
        <v>88413</v>
      </c>
      <c r="B1431" s="39" t="s">
        <v>3202</v>
      </c>
      <c r="C1431" s="40">
        <v>4</v>
      </c>
      <c r="D1431" s="38" t="s">
        <v>266</v>
      </c>
    </row>
    <row r="1432" spans="1:4" x14ac:dyDescent="0.25">
      <c r="A1432" s="41">
        <v>88500</v>
      </c>
      <c r="B1432" s="39" t="s">
        <v>3203</v>
      </c>
      <c r="C1432" s="40">
        <v>3</v>
      </c>
      <c r="D1432" s="38" t="s">
        <v>266</v>
      </c>
    </row>
    <row r="1433" spans="1:4" x14ac:dyDescent="0.25">
      <c r="A1433" s="41">
        <v>88700</v>
      </c>
      <c r="B1433" s="39" t="s">
        <v>3204</v>
      </c>
      <c r="C1433" s="40">
        <v>3</v>
      </c>
      <c r="D1433" s="38" t="s">
        <v>266</v>
      </c>
    </row>
    <row r="1434" spans="1:4" x14ac:dyDescent="0.25">
      <c r="A1434" s="41">
        <v>88713</v>
      </c>
      <c r="B1434" s="39" t="s">
        <v>3205</v>
      </c>
      <c r="C1434" s="40">
        <v>4</v>
      </c>
      <c r="D1434" s="38" t="s">
        <v>266</v>
      </c>
    </row>
    <row r="1435" spans="1:4" x14ac:dyDescent="0.25">
      <c r="A1435" s="41">
        <v>88733</v>
      </c>
      <c r="B1435" s="39" t="s">
        <v>3206</v>
      </c>
      <c r="C1435" s="40">
        <v>4</v>
      </c>
      <c r="D1435" s="38" t="s">
        <v>266</v>
      </c>
    </row>
    <row r="1436" spans="1:4" x14ac:dyDescent="0.25">
      <c r="A1436" s="41">
        <v>88800</v>
      </c>
      <c r="B1436" s="39" t="s">
        <v>3207</v>
      </c>
      <c r="C1436" s="40">
        <v>3</v>
      </c>
      <c r="D1436" s="38" t="s">
        <v>266</v>
      </c>
    </row>
    <row r="1437" spans="1:4" x14ac:dyDescent="0.25">
      <c r="A1437" s="41">
        <v>88813</v>
      </c>
      <c r="B1437" s="39" t="s">
        <v>3208</v>
      </c>
      <c r="C1437" s="40">
        <v>4</v>
      </c>
      <c r="D1437" s="38" t="s">
        <v>266</v>
      </c>
    </row>
    <row r="1438" spans="1:4" x14ac:dyDescent="0.25">
      <c r="A1438" s="41">
        <v>88819</v>
      </c>
      <c r="B1438" s="39" t="s">
        <v>3209</v>
      </c>
      <c r="C1438" s="40">
        <v>4</v>
      </c>
      <c r="D1438" s="38" t="s">
        <v>266</v>
      </c>
    </row>
    <row r="1439" spans="1:4" x14ac:dyDescent="0.25">
      <c r="A1439" s="41">
        <v>88823</v>
      </c>
      <c r="B1439" s="39" t="s">
        <v>3210</v>
      </c>
      <c r="C1439" s="40">
        <v>4</v>
      </c>
      <c r="D1439" s="38" t="s">
        <v>266</v>
      </c>
    </row>
    <row r="1440" spans="1:4" x14ac:dyDescent="0.25">
      <c r="A1440" s="41">
        <v>88833</v>
      </c>
      <c r="B1440" s="39" t="s">
        <v>3211</v>
      </c>
      <c r="C1440" s="40">
        <v>4</v>
      </c>
      <c r="D1440" s="38" t="s">
        <v>266</v>
      </c>
    </row>
    <row r="1441" spans="1:4" x14ac:dyDescent="0.25">
      <c r="A1441" s="41">
        <v>88836</v>
      </c>
      <c r="B1441" s="39" t="s">
        <v>3212</v>
      </c>
      <c r="C1441" s="40">
        <v>4</v>
      </c>
      <c r="D1441" s="38" t="s">
        <v>266</v>
      </c>
    </row>
    <row r="1442" spans="1:4" x14ac:dyDescent="0.25">
      <c r="A1442" s="42">
        <v>88836.160000000003</v>
      </c>
      <c r="B1442" s="39" t="s">
        <v>3213</v>
      </c>
      <c r="C1442" s="40">
        <v>5</v>
      </c>
      <c r="D1442" s="38" t="s">
        <v>266</v>
      </c>
    </row>
    <row r="1443" spans="1:4" x14ac:dyDescent="0.25">
      <c r="A1443" s="41">
        <v>88839</v>
      </c>
      <c r="B1443" s="39" t="s">
        <v>3214</v>
      </c>
      <c r="C1443" s="40">
        <v>4</v>
      </c>
      <c r="D1443" s="38" t="s">
        <v>266</v>
      </c>
    </row>
    <row r="1444" spans="1:4" x14ac:dyDescent="0.25">
      <c r="A1444" s="41">
        <v>88849</v>
      </c>
      <c r="B1444" s="39" t="s">
        <v>3215</v>
      </c>
      <c r="C1444" s="40">
        <v>4</v>
      </c>
      <c r="D1444" s="38" t="s">
        <v>266</v>
      </c>
    </row>
    <row r="1445" spans="1:4" x14ac:dyDescent="0.25">
      <c r="A1445" s="41">
        <v>88853</v>
      </c>
      <c r="B1445" s="39" t="s">
        <v>3216</v>
      </c>
      <c r="C1445" s="40">
        <v>4</v>
      </c>
      <c r="D1445" s="38" t="s">
        <v>266</v>
      </c>
    </row>
    <row r="1446" spans="1:4" x14ac:dyDescent="0.25">
      <c r="A1446" s="41">
        <v>88856</v>
      </c>
      <c r="B1446" s="39" t="s">
        <v>3217</v>
      </c>
      <c r="C1446" s="40">
        <v>4</v>
      </c>
      <c r="D1446" s="38" t="s">
        <v>266</v>
      </c>
    </row>
    <row r="1447" spans="1:4" x14ac:dyDescent="0.25">
      <c r="A1447" s="41">
        <v>89000</v>
      </c>
      <c r="B1447" s="39" t="s">
        <v>3218</v>
      </c>
      <c r="C1447" s="40">
        <v>3</v>
      </c>
      <c r="D1447" s="38" t="s">
        <v>624</v>
      </c>
    </row>
    <row r="1448" spans="1:4" x14ac:dyDescent="0.25">
      <c r="A1448" s="41">
        <v>89100</v>
      </c>
      <c r="B1448" s="39" t="s">
        <v>3219</v>
      </c>
      <c r="C1448" s="40">
        <v>3</v>
      </c>
      <c r="D1448" s="38" t="s">
        <v>626</v>
      </c>
    </row>
    <row r="1449" spans="1:4" x14ac:dyDescent="0.25">
      <c r="A1449" s="41">
        <v>89113</v>
      </c>
      <c r="B1449" s="39" t="s">
        <v>3220</v>
      </c>
      <c r="C1449" s="40">
        <v>4</v>
      </c>
      <c r="D1449" s="38" t="s">
        <v>266</v>
      </c>
    </row>
    <row r="1450" spans="1:4" x14ac:dyDescent="0.25">
      <c r="A1450" s="41">
        <v>89116</v>
      </c>
      <c r="B1450" s="39" t="s">
        <v>3221</v>
      </c>
      <c r="C1450" s="40">
        <v>4</v>
      </c>
      <c r="D1450" s="38" t="s">
        <v>266</v>
      </c>
    </row>
    <row r="1451" spans="1:4" x14ac:dyDescent="0.25">
      <c r="A1451" s="41">
        <v>89119</v>
      </c>
      <c r="B1451" s="39" t="s">
        <v>3222</v>
      </c>
      <c r="C1451" s="40">
        <v>4</v>
      </c>
      <c r="D1451" s="38" t="s">
        <v>266</v>
      </c>
    </row>
    <row r="1452" spans="1:4" x14ac:dyDescent="0.25">
      <c r="A1452" s="41">
        <v>89126</v>
      </c>
      <c r="B1452" s="39" t="s">
        <v>3223</v>
      </c>
      <c r="C1452" s="40">
        <v>4</v>
      </c>
      <c r="D1452" s="38" t="s">
        <v>266</v>
      </c>
    </row>
    <row r="1453" spans="1:4" x14ac:dyDescent="0.25">
      <c r="A1453" s="41">
        <v>89200</v>
      </c>
      <c r="B1453" s="39" t="s">
        <v>3224</v>
      </c>
      <c r="C1453" s="40">
        <v>3</v>
      </c>
      <c r="D1453" s="38" t="s">
        <v>266</v>
      </c>
    </row>
    <row r="1454" spans="1:4" x14ac:dyDescent="0.25">
      <c r="A1454" s="41">
        <v>89500</v>
      </c>
      <c r="B1454" s="39" t="s">
        <v>3225</v>
      </c>
      <c r="C1454" s="40">
        <v>3</v>
      </c>
      <c r="D1454" s="38" t="s">
        <v>628</v>
      </c>
    </row>
    <row r="1455" spans="1:4" x14ac:dyDescent="0.25">
      <c r="A1455" s="41">
        <v>89513</v>
      </c>
      <c r="B1455" s="39" t="s">
        <v>3226</v>
      </c>
      <c r="C1455" s="40">
        <v>4</v>
      </c>
      <c r="D1455" s="38" t="s">
        <v>266</v>
      </c>
    </row>
    <row r="1456" spans="1:4" x14ac:dyDescent="0.25">
      <c r="A1456" s="41">
        <v>89516</v>
      </c>
      <c r="B1456" s="39" t="s">
        <v>3227</v>
      </c>
      <c r="C1456" s="40">
        <v>4</v>
      </c>
      <c r="D1456" s="38" t="s">
        <v>266</v>
      </c>
    </row>
    <row r="1457" spans="1:4" x14ac:dyDescent="0.25">
      <c r="A1457" s="41">
        <v>89533</v>
      </c>
      <c r="B1457" s="39" t="s">
        <v>3228</v>
      </c>
      <c r="C1457" s="40">
        <v>4</v>
      </c>
      <c r="D1457" s="38" t="s">
        <v>266</v>
      </c>
    </row>
    <row r="1458" spans="1:4" x14ac:dyDescent="0.25">
      <c r="A1458" s="41">
        <v>89543</v>
      </c>
      <c r="B1458" s="39" t="s">
        <v>3229</v>
      </c>
      <c r="C1458" s="40">
        <v>4</v>
      </c>
      <c r="D1458" s="38" t="s">
        <v>266</v>
      </c>
    </row>
    <row r="1459" spans="1:4" x14ac:dyDescent="0.25">
      <c r="A1459" s="41">
        <v>90000</v>
      </c>
      <c r="B1459" s="39" t="s">
        <v>3230</v>
      </c>
      <c r="C1459" s="40">
        <v>2</v>
      </c>
      <c r="D1459" s="38" t="s">
        <v>266</v>
      </c>
    </row>
    <row r="1460" spans="1:4" x14ac:dyDescent="0.25">
      <c r="A1460" s="41">
        <v>90100</v>
      </c>
      <c r="B1460" s="39" t="s">
        <v>3231</v>
      </c>
      <c r="C1460" s="40">
        <v>3</v>
      </c>
      <c r="D1460" s="38" t="s">
        <v>266</v>
      </c>
    </row>
    <row r="1461" spans="1:4" x14ac:dyDescent="0.25">
      <c r="A1461" s="41">
        <v>90120</v>
      </c>
      <c r="B1461" s="39" t="s">
        <v>3232</v>
      </c>
      <c r="C1461" s="40">
        <v>4</v>
      </c>
      <c r="D1461" s="38" t="s">
        <v>266</v>
      </c>
    </row>
    <row r="1462" spans="1:4" x14ac:dyDescent="0.25">
      <c r="A1462" s="42">
        <v>90120.91</v>
      </c>
      <c r="B1462" s="39" t="s">
        <v>3233</v>
      </c>
      <c r="C1462" s="40">
        <v>5</v>
      </c>
      <c r="D1462" s="38" t="s">
        <v>266</v>
      </c>
    </row>
    <row r="1463" spans="1:4" x14ac:dyDescent="0.25">
      <c r="A1463" s="41">
        <v>90130</v>
      </c>
      <c r="B1463" s="39" t="s">
        <v>3234</v>
      </c>
      <c r="C1463" s="40">
        <v>4</v>
      </c>
      <c r="D1463" s="38" t="s">
        <v>266</v>
      </c>
    </row>
    <row r="1464" spans="1:4" x14ac:dyDescent="0.25">
      <c r="A1464" s="42">
        <v>90130.91</v>
      </c>
      <c r="B1464" s="39" t="s">
        <v>3235</v>
      </c>
      <c r="C1464" s="40">
        <v>5</v>
      </c>
      <c r="D1464" s="38" t="s">
        <v>266</v>
      </c>
    </row>
    <row r="1465" spans="1:4" x14ac:dyDescent="0.25">
      <c r="A1465" s="41">
        <v>90150</v>
      </c>
      <c r="B1465" s="39" t="s">
        <v>3236</v>
      </c>
      <c r="C1465" s="40">
        <v>4</v>
      </c>
      <c r="D1465" s="38" t="s">
        <v>266</v>
      </c>
    </row>
    <row r="1466" spans="1:4" x14ac:dyDescent="0.25">
      <c r="A1466" s="42">
        <v>90150.91</v>
      </c>
      <c r="B1466" s="39" t="s">
        <v>3237</v>
      </c>
      <c r="C1466" s="40">
        <v>5</v>
      </c>
      <c r="D1466" s="38" t="s">
        <v>266</v>
      </c>
    </row>
    <row r="1467" spans="1:4" x14ac:dyDescent="0.25">
      <c r="A1467" s="41">
        <v>90160</v>
      </c>
      <c r="B1467" s="39" t="s">
        <v>3238</v>
      </c>
      <c r="C1467" s="40">
        <v>4</v>
      </c>
      <c r="D1467" s="38" t="s">
        <v>266</v>
      </c>
    </row>
    <row r="1468" spans="1:4" x14ac:dyDescent="0.25">
      <c r="A1468" s="42">
        <v>90160.91</v>
      </c>
      <c r="B1468" s="39" t="s">
        <v>3239</v>
      </c>
      <c r="C1468" s="40">
        <v>5</v>
      </c>
      <c r="D1468" s="38" t="s">
        <v>266</v>
      </c>
    </row>
    <row r="1469" spans="1:4" x14ac:dyDescent="0.25">
      <c r="A1469" s="41">
        <v>90170</v>
      </c>
      <c r="B1469" s="39" t="s">
        <v>3240</v>
      </c>
      <c r="C1469" s="40">
        <v>4</v>
      </c>
      <c r="D1469" s="38" t="s">
        <v>266</v>
      </c>
    </row>
    <row r="1470" spans="1:4" x14ac:dyDescent="0.25">
      <c r="A1470" s="42">
        <v>90170.91</v>
      </c>
      <c r="B1470" s="39" t="s">
        <v>3241</v>
      </c>
      <c r="C1470" s="40">
        <v>5</v>
      </c>
      <c r="D1470" s="38" t="s">
        <v>266</v>
      </c>
    </row>
    <row r="1471" spans="1:4" x14ac:dyDescent="0.25">
      <c r="A1471" s="41">
        <v>90180</v>
      </c>
      <c r="B1471" s="39" t="s">
        <v>3242</v>
      </c>
      <c r="C1471" s="40">
        <v>4</v>
      </c>
      <c r="D1471" s="38" t="s">
        <v>266</v>
      </c>
    </row>
    <row r="1472" spans="1:4" x14ac:dyDescent="0.25">
      <c r="A1472" s="41">
        <v>90190</v>
      </c>
      <c r="B1472" s="39" t="s">
        <v>3243</v>
      </c>
      <c r="C1472" s="40">
        <v>4</v>
      </c>
      <c r="D1472" s="38" t="s">
        <v>266</v>
      </c>
    </row>
    <row r="1473" spans="1:4" x14ac:dyDescent="0.25">
      <c r="A1473" s="42">
        <v>90190.51</v>
      </c>
      <c r="B1473" s="39" t="s">
        <v>3244</v>
      </c>
      <c r="C1473" s="40">
        <v>5</v>
      </c>
      <c r="D1473" s="38" t="s">
        <v>266</v>
      </c>
    </row>
    <row r="1474" spans="1:4" x14ac:dyDescent="0.25">
      <c r="A1474" s="42">
        <v>90190.52</v>
      </c>
      <c r="B1474" s="39" t="s">
        <v>3245</v>
      </c>
      <c r="C1474" s="40">
        <v>5</v>
      </c>
      <c r="D1474" s="38" t="s">
        <v>266</v>
      </c>
    </row>
    <row r="1475" spans="1:4" x14ac:dyDescent="0.25">
      <c r="A1475" s="42">
        <v>90190.53</v>
      </c>
      <c r="B1475" s="39" t="s">
        <v>3246</v>
      </c>
      <c r="C1475" s="40">
        <v>5</v>
      </c>
      <c r="D1475" s="38" t="s">
        <v>266</v>
      </c>
    </row>
    <row r="1476" spans="1:4" x14ac:dyDescent="0.25">
      <c r="A1476" s="42">
        <v>90190.61</v>
      </c>
      <c r="B1476" s="39" t="s">
        <v>3247</v>
      </c>
      <c r="C1476" s="40">
        <v>5</v>
      </c>
      <c r="D1476" s="38" t="s">
        <v>266</v>
      </c>
    </row>
    <row r="1477" spans="1:4" x14ac:dyDescent="0.25">
      <c r="A1477" s="42">
        <v>90190.91</v>
      </c>
      <c r="B1477" s="39" t="s">
        <v>3248</v>
      </c>
      <c r="C1477" s="40">
        <v>5</v>
      </c>
      <c r="D1477" s="38" t="s">
        <v>266</v>
      </c>
    </row>
    <row r="1478" spans="1:4" x14ac:dyDescent="0.25">
      <c r="A1478" s="42">
        <v>90190.92</v>
      </c>
      <c r="B1478" s="39" t="s">
        <v>3249</v>
      </c>
      <c r="C1478" s="40">
        <v>5</v>
      </c>
      <c r="D1478" s="38" t="s">
        <v>266</v>
      </c>
    </row>
    <row r="1479" spans="1:4" x14ac:dyDescent="0.25">
      <c r="A1479" s="42">
        <v>90190.93</v>
      </c>
      <c r="B1479" s="39" t="s">
        <v>3250</v>
      </c>
      <c r="C1479" s="40">
        <v>5</v>
      </c>
      <c r="D1479" s="38" t="s">
        <v>266</v>
      </c>
    </row>
    <row r="1480" spans="1:4" x14ac:dyDescent="0.25">
      <c r="A1480" s="41">
        <v>90500</v>
      </c>
      <c r="B1480" s="39" t="s">
        <v>3251</v>
      </c>
      <c r="C1480" s="40">
        <v>3</v>
      </c>
      <c r="D1480" s="38" t="s">
        <v>266</v>
      </c>
    </row>
    <row r="1481" spans="1:4" x14ac:dyDescent="0.25">
      <c r="A1481" s="41">
        <v>90513</v>
      </c>
      <c r="B1481" s="39" t="s">
        <v>3252</v>
      </c>
      <c r="C1481" s="40">
        <v>4</v>
      </c>
      <c r="D1481" s="38" t="s">
        <v>266</v>
      </c>
    </row>
    <row r="1482" spans="1:4" x14ac:dyDescent="0.25">
      <c r="A1482" s="41">
        <v>90561</v>
      </c>
      <c r="B1482" s="39" t="s">
        <v>3253</v>
      </c>
      <c r="C1482" s="40">
        <v>4</v>
      </c>
      <c r="D1482" s="38" t="s">
        <v>266</v>
      </c>
    </row>
    <row r="1483" spans="1:4" x14ac:dyDescent="0.25">
      <c r="A1483" s="41">
        <v>90800</v>
      </c>
      <c r="B1483" s="39" t="s">
        <v>3254</v>
      </c>
      <c r="C1483" s="40">
        <v>3</v>
      </c>
      <c r="D1483" s="38" t="s">
        <v>266</v>
      </c>
    </row>
    <row r="1484" spans="1:4" x14ac:dyDescent="0.25">
      <c r="A1484" s="41">
        <v>92000</v>
      </c>
      <c r="B1484" s="39" t="s">
        <v>3255</v>
      </c>
      <c r="C1484" s="40">
        <v>3</v>
      </c>
      <c r="D1484" s="38" t="s">
        <v>480</v>
      </c>
    </row>
    <row r="1485" spans="1:4" x14ac:dyDescent="0.25">
      <c r="A1485" s="41">
        <v>92100</v>
      </c>
      <c r="B1485" s="39" t="s">
        <v>3256</v>
      </c>
      <c r="C1485" s="40">
        <v>3</v>
      </c>
      <c r="D1485" s="38" t="s">
        <v>266</v>
      </c>
    </row>
    <row r="1486" spans="1:4" x14ac:dyDescent="0.25">
      <c r="A1486" s="41">
        <v>92113</v>
      </c>
      <c r="B1486" s="39" t="s">
        <v>3257</v>
      </c>
      <c r="C1486" s="40">
        <v>4</v>
      </c>
      <c r="D1486" s="38" t="s">
        <v>266</v>
      </c>
    </row>
    <row r="1487" spans="1:4" x14ac:dyDescent="0.25">
      <c r="A1487" s="41">
        <v>92116</v>
      </c>
      <c r="B1487" s="39" t="s">
        <v>3258</v>
      </c>
      <c r="C1487" s="40">
        <v>4</v>
      </c>
      <c r="D1487" s="38" t="s">
        <v>266</v>
      </c>
    </row>
    <row r="1488" spans="1:4" x14ac:dyDescent="0.25">
      <c r="A1488" s="42">
        <v>92116.23</v>
      </c>
      <c r="B1488" s="39" t="s">
        <v>3259</v>
      </c>
      <c r="C1488" s="40">
        <v>5</v>
      </c>
      <c r="D1488" s="38" t="s">
        <v>266</v>
      </c>
    </row>
    <row r="1489" spans="1:4" x14ac:dyDescent="0.25">
      <c r="A1489" s="42">
        <v>92116.33</v>
      </c>
      <c r="B1489" s="39" t="s">
        <v>3260</v>
      </c>
      <c r="C1489" s="40">
        <v>5</v>
      </c>
      <c r="D1489" s="38" t="s">
        <v>266</v>
      </c>
    </row>
    <row r="1490" spans="1:4" x14ac:dyDescent="0.25">
      <c r="A1490" s="41">
        <v>92200</v>
      </c>
      <c r="B1490" s="39" t="s">
        <v>3261</v>
      </c>
      <c r="C1490" s="40">
        <v>3</v>
      </c>
      <c r="D1490" s="38" t="s">
        <v>266</v>
      </c>
    </row>
    <row r="1491" spans="1:4" x14ac:dyDescent="0.25">
      <c r="A1491" s="41">
        <v>92213</v>
      </c>
      <c r="B1491" s="39" t="s">
        <v>3262</v>
      </c>
      <c r="C1491" s="40">
        <v>4</v>
      </c>
      <c r="D1491" s="38" t="s">
        <v>266</v>
      </c>
    </row>
    <row r="1492" spans="1:4" x14ac:dyDescent="0.25">
      <c r="A1492" s="42">
        <v>92213.13</v>
      </c>
      <c r="B1492" s="39" t="s">
        <v>3263</v>
      </c>
      <c r="C1492" s="40">
        <v>5</v>
      </c>
      <c r="D1492" s="38" t="s">
        <v>266</v>
      </c>
    </row>
    <row r="1493" spans="1:4" x14ac:dyDescent="0.25">
      <c r="A1493" s="42">
        <v>92213.23</v>
      </c>
      <c r="B1493" s="39" t="s">
        <v>3264</v>
      </c>
      <c r="C1493" s="40">
        <v>5</v>
      </c>
      <c r="D1493" s="38" t="s">
        <v>266</v>
      </c>
    </row>
    <row r="1494" spans="1:4" x14ac:dyDescent="0.25">
      <c r="A1494" s="41">
        <v>92216</v>
      </c>
      <c r="B1494" s="39" t="s">
        <v>3265</v>
      </c>
      <c r="C1494" s="40">
        <v>4</v>
      </c>
      <c r="D1494" s="38" t="s">
        <v>266</v>
      </c>
    </row>
    <row r="1495" spans="1:4" x14ac:dyDescent="0.25">
      <c r="A1495" s="42">
        <v>92216.13</v>
      </c>
      <c r="B1495" s="39" t="s">
        <v>3266</v>
      </c>
      <c r="C1495" s="40">
        <v>5</v>
      </c>
      <c r="D1495" s="38" t="s">
        <v>266</v>
      </c>
    </row>
    <row r="1496" spans="1:4" x14ac:dyDescent="0.25">
      <c r="A1496" s="41">
        <v>92226</v>
      </c>
      <c r="B1496" s="39" t="s">
        <v>3267</v>
      </c>
      <c r="C1496" s="40">
        <v>4</v>
      </c>
      <c r="D1496" s="38" t="s">
        <v>266</v>
      </c>
    </row>
    <row r="1497" spans="1:4" x14ac:dyDescent="0.25">
      <c r="A1497" s="42">
        <v>92226.23</v>
      </c>
      <c r="B1497" s="39" t="s">
        <v>3268</v>
      </c>
      <c r="C1497" s="40">
        <v>5</v>
      </c>
      <c r="D1497" s="38" t="s">
        <v>266</v>
      </c>
    </row>
    <row r="1498" spans="1:4" x14ac:dyDescent="0.25">
      <c r="A1498" s="42">
        <v>92226.33</v>
      </c>
      <c r="B1498" s="39" t="s">
        <v>3269</v>
      </c>
      <c r="C1498" s="40">
        <v>5</v>
      </c>
      <c r="D1498" s="38" t="s">
        <v>266</v>
      </c>
    </row>
    <row r="1499" spans="1:4" x14ac:dyDescent="0.25">
      <c r="A1499" s="41">
        <v>92236</v>
      </c>
      <c r="B1499" s="39" t="s">
        <v>3270</v>
      </c>
      <c r="C1499" s="40">
        <v>4</v>
      </c>
      <c r="D1499" s="38" t="s">
        <v>266</v>
      </c>
    </row>
    <row r="1500" spans="1:4" x14ac:dyDescent="0.25">
      <c r="A1500" s="42">
        <v>92236.13</v>
      </c>
      <c r="B1500" s="39" t="s">
        <v>3271</v>
      </c>
      <c r="C1500" s="40">
        <v>5</v>
      </c>
      <c r="D1500" s="38" t="s">
        <v>266</v>
      </c>
    </row>
    <row r="1501" spans="1:4" x14ac:dyDescent="0.25">
      <c r="A1501" s="42">
        <v>92236.23</v>
      </c>
      <c r="B1501" s="39" t="s">
        <v>3272</v>
      </c>
      <c r="C1501" s="40">
        <v>5</v>
      </c>
      <c r="D1501" s="38" t="s">
        <v>266</v>
      </c>
    </row>
    <row r="1502" spans="1:4" x14ac:dyDescent="0.25">
      <c r="A1502" s="41">
        <v>92239</v>
      </c>
      <c r="B1502" s="39" t="s">
        <v>3273</v>
      </c>
      <c r="C1502" s="40">
        <v>4</v>
      </c>
      <c r="D1502" s="38" t="s">
        <v>266</v>
      </c>
    </row>
    <row r="1503" spans="1:4" x14ac:dyDescent="0.25">
      <c r="A1503" s="41">
        <v>92300</v>
      </c>
      <c r="B1503" s="39" t="s">
        <v>3274</v>
      </c>
      <c r="C1503" s="40">
        <v>3</v>
      </c>
      <c r="D1503" s="38" t="s">
        <v>266</v>
      </c>
    </row>
    <row r="1504" spans="1:4" x14ac:dyDescent="0.25">
      <c r="A1504" s="41">
        <v>92313</v>
      </c>
      <c r="B1504" s="39" t="s">
        <v>3275</v>
      </c>
      <c r="C1504" s="40">
        <v>4</v>
      </c>
      <c r="D1504" s="38" t="s">
        <v>266</v>
      </c>
    </row>
    <row r="1505" spans="1:4" x14ac:dyDescent="0.25">
      <c r="A1505" s="41">
        <v>92382</v>
      </c>
      <c r="B1505" s="39" t="s">
        <v>3276</v>
      </c>
      <c r="C1505" s="40">
        <v>4</v>
      </c>
      <c r="D1505" s="38" t="s">
        <v>266</v>
      </c>
    </row>
    <row r="1506" spans="1:4" x14ac:dyDescent="0.25">
      <c r="A1506" s="41">
        <v>92400</v>
      </c>
      <c r="B1506" s="39" t="s">
        <v>3277</v>
      </c>
      <c r="C1506" s="40">
        <v>3</v>
      </c>
      <c r="D1506" s="38" t="s">
        <v>266</v>
      </c>
    </row>
    <row r="1507" spans="1:4" x14ac:dyDescent="0.25">
      <c r="A1507" s="41">
        <v>92413</v>
      </c>
      <c r="B1507" s="39" t="s">
        <v>3278</v>
      </c>
      <c r="C1507" s="40">
        <v>4</v>
      </c>
      <c r="D1507" s="38" t="s">
        <v>266</v>
      </c>
    </row>
    <row r="1508" spans="1:4" x14ac:dyDescent="0.25">
      <c r="A1508" s="41">
        <v>92423</v>
      </c>
      <c r="B1508" s="39" t="s">
        <v>3279</v>
      </c>
      <c r="C1508" s="40">
        <v>4</v>
      </c>
      <c r="D1508" s="38" t="s">
        <v>266</v>
      </c>
    </row>
    <row r="1509" spans="1:4" x14ac:dyDescent="0.25">
      <c r="A1509" s="41">
        <v>92433</v>
      </c>
      <c r="B1509" s="39" t="s">
        <v>3280</v>
      </c>
      <c r="C1509" s="40">
        <v>4</v>
      </c>
      <c r="D1509" s="38" t="s">
        <v>266</v>
      </c>
    </row>
    <row r="1510" spans="1:4" x14ac:dyDescent="0.25">
      <c r="A1510" s="41">
        <v>92500</v>
      </c>
      <c r="B1510" s="39" t="s">
        <v>3281</v>
      </c>
      <c r="C1510" s="40">
        <v>3</v>
      </c>
      <c r="D1510" s="38" t="s">
        <v>266</v>
      </c>
    </row>
    <row r="1511" spans="1:4" x14ac:dyDescent="0.25">
      <c r="A1511" s="41">
        <v>92513</v>
      </c>
      <c r="B1511" s="39" t="s">
        <v>3282</v>
      </c>
      <c r="C1511" s="40">
        <v>4</v>
      </c>
      <c r="D1511" s="38" t="s">
        <v>266</v>
      </c>
    </row>
    <row r="1512" spans="1:4" x14ac:dyDescent="0.25">
      <c r="A1512" s="42">
        <v>92513.13</v>
      </c>
      <c r="B1512" s="39" t="s">
        <v>3283</v>
      </c>
      <c r="C1512" s="40">
        <v>5</v>
      </c>
      <c r="D1512" s="38" t="s">
        <v>266</v>
      </c>
    </row>
    <row r="1513" spans="1:4" x14ac:dyDescent="0.25">
      <c r="A1513" s="41">
        <v>92523</v>
      </c>
      <c r="B1513" s="39" t="s">
        <v>3284</v>
      </c>
      <c r="C1513" s="40">
        <v>4</v>
      </c>
      <c r="D1513" s="38" t="s">
        <v>266</v>
      </c>
    </row>
    <row r="1514" spans="1:4" x14ac:dyDescent="0.25">
      <c r="A1514" s="41">
        <v>92526</v>
      </c>
      <c r="B1514" s="39" t="s">
        <v>3285</v>
      </c>
      <c r="C1514" s="40">
        <v>4</v>
      </c>
      <c r="D1514" s="38" t="s">
        <v>266</v>
      </c>
    </row>
    <row r="1515" spans="1:4" x14ac:dyDescent="0.25">
      <c r="A1515" s="41">
        <v>92600</v>
      </c>
      <c r="B1515" s="39" t="s">
        <v>3286</v>
      </c>
      <c r="C1515" s="40">
        <v>3</v>
      </c>
      <c r="D1515" s="38" t="s">
        <v>266</v>
      </c>
    </row>
    <row r="1516" spans="1:4" x14ac:dyDescent="0.25">
      <c r="A1516" s="41">
        <v>92613</v>
      </c>
      <c r="B1516" s="39" t="s">
        <v>3287</v>
      </c>
      <c r="C1516" s="40">
        <v>4</v>
      </c>
      <c r="D1516" s="38" t="s">
        <v>266</v>
      </c>
    </row>
    <row r="1517" spans="1:4" x14ac:dyDescent="0.25">
      <c r="A1517" s="41">
        <v>92700</v>
      </c>
      <c r="B1517" s="39" t="s">
        <v>3288</v>
      </c>
      <c r="C1517" s="40">
        <v>3</v>
      </c>
      <c r="D1517" s="38" t="s">
        <v>266</v>
      </c>
    </row>
    <row r="1518" spans="1:4" x14ac:dyDescent="0.25">
      <c r="A1518" s="41">
        <v>92713</v>
      </c>
      <c r="B1518" s="39" t="s">
        <v>3289</v>
      </c>
      <c r="C1518" s="40">
        <v>4</v>
      </c>
      <c r="D1518" s="38" t="s">
        <v>266</v>
      </c>
    </row>
    <row r="1519" spans="1:4" x14ac:dyDescent="0.25">
      <c r="A1519" s="41">
        <v>92723</v>
      </c>
      <c r="B1519" s="39" t="s">
        <v>3290</v>
      </c>
      <c r="C1519" s="40">
        <v>4</v>
      </c>
      <c r="D1519" s="38" t="s">
        <v>266</v>
      </c>
    </row>
    <row r="1520" spans="1:4" x14ac:dyDescent="0.25">
      <c r="A1520" s="41">
        <v>92800</v>
      </c>
      <c r="B1520" s="39" t="s">
        <v>3291</v>
      </c>
      <c r="C1520" s="40">
        <v>3</v>
      </c>
      <c r="D1520" s="38" t="s">
        <v>266</v>
      </c>
    </row>
    <row r="1521" spans="1:4" x14ac:dyDescent="0.25">
      <c r="A1521" s="41">
        <v>92813</v>
      </c>
      <c r="B1521" s="39" t="s">
        <v>3292</v>
      </c>
      <c r="C1521" s="40">
        <v>4</v>
      </c>
      <c r="D1521" s="38" t="s">
        <v>266</v>
      </c>
    </row>
    <row r="1522" spans="1:4" x14ac:dyDescent="0.25">
      <c r="A1522" s="41">
        <v>92816</v>
      </c>
      <c r="B1522" s="39" t="s">
        <v>3293</v>
      </c>
      <c r="C1522" s="40">
        <v>4</v>
      </c>
      <c r="D1522" s="38" t="s">
        <v>266</v>
      </c>
    </row>
    <row r="1523" spans="1:4" x14ac:dyDescent="0.25">
      <c r="A1523" s="41">
        <v>92819</v>
      </c>
      <c r="B1523" s="39" t="s">
        <v>3294</v>
      </c>
      <c r="C1523" s="40">
        <v>4</v>
      </c>
      <c r="D1523" s="38" t="s">
        <v>266</v>
      </c>
    </row>
    <row r="1524" spans="1:4" x14ac:dyDescent="0.25">
      <c r="A1524" s="41">
        <v>92900</v>
      </c>
      <c r="B1524" s="39" t="s">
        <v>3295</v>
      </c>
      <c r="C1524" s="40">
        <v>3</v>
      </c>
      <c r="D1524" s="38" t="s">
        <v>266</v>
      </c>
    </row>
    <row r="1525" spans="1:4" x14ac:dyDescent="0.25">
      <c r="A1525" s="41">
        <v>92982</v>
      </c>
      <c r="B1525" s="39" t="s">
        <v>3296</v>
      </c>
      <c r="C1525" s="40">
        <v>4</v>
      </c>
      <c r="D1525" s="38" t="s">
        <v>266</v>
      </c>
    </row>
    <row r="1526" spans="1:4" x14ac:dyDescent="0.25">
      <c r="A1526" s="41">
        <v>93000</v>
      </c>
      <c r="B1526" s="39" t="s">
        <v>3297</v>
      </c>
      <c r="C1526" s="40">
        <v>3</v>
      </c>
      <c r="D1526" s="38" t="s">
        <v>266</v>
      </c>
    </row>
    <row r="1527" spans="1:4" x14ac:dyDescent="0.25">
      <c r="A1527" s="41">
        <v>93013</v>
      </c>
      <c r="B1527" s="39" t="s">
        <v>3298</v>
      </c>
      <c r="C1527" s="40">
        <v>4</v>
      </c>
      <c r="D1527" s="38" t="s">
        <v>266</v>
      </c>
    </row>
    <row r="1528" spans="1:4" x14ac:dyDescent="0.25">
      <c r="A1528" s="41">
        <v>93016</v>
      </c>
      <c r="B1528" s="39" t="s">
        <v>3299</v>
      </c>
      <c r="C1528" s="40">
        <v>4</v>
      </c>
      <c r="D1528" s="38" t="s">
        <v>266</v>
      </c>
    </row>
    <row r="1529" spans="1:4" x14ac:dyDescent="0.25">
      <c r="A1529" s="41">
        <v>93019</v>
      </c>
      <c r="B1529" s="39" t="s">
        <v>3300</v>
      </c>
      <c r="C1529" s="40">
        <v>4</v>
      </c>
      <c r="D1529" s="38" t="s">
        <v>266</v>
      </c>
    </row>
    <row r="1530" spans="1:4" x14ac:dyDescent="0.25">
      <c r="A1530" s="41">
        <v>93023</v>
      </c>
      <c r="B1530" s="39" t="s">
        <v>3301</v>
      </c>
      <c r="C1530" s="40">
        <v>4</v>
      </c>
      <c r="D1530" s="38" t="s">
        <v>266</v>
      </c>
    </row>
    <row r="1531" spans="1:4" x14ac:dyDescent="0.25">
      <c r="A1531" s="41">
        <v>93026</v>
      </c>
      <c r="B1531" s="39" t="s">
        <v>3302</v>
      </c>
      <c r="C1531" s="40">
        <v>4</v>
      </c>
      <c r="D1531" s="38" t="s">
        <v>266</v>
      </c>
    </row>
    <row r="1532" spans="1:4" x14ac:dyDescent="0.25">
      <c r="A1532" s="41">
        <v>93029</v>
      </c>
      <c r="B1532" s="39" t="s">
        <v>3303</v>
      </c>
      <c r="C1532" s="40">
        <v>4</v>
      </c>
      <c r="D1532" s="38" t="s">
        <v>266</v>
      </c>
    </row>
    <row r="1533" spans="1:4" x14ac:dyDescent="0.25">
      <c r="A1533" s="41">
        <v>93033</v>
      </c>
      <c r="B1533" s="39" t="s">
        <v>3304</v>
      </c>
      <c r="C1533" s="40">
        <v>4</v>
      </c>
      <c r="D1533" s="38" t="s">
        <v>266</v>
      </c>
    </row>
    <row r="1534" spans="1:4" x14ac:dyDescent="0.25">
      <c r="A1534" s="41">
        <v>93036</v>
      </c>
      <c r="B1534" s="39" t="s">
        <v>3305</v>
      </c>
      <c r="C1534" s="40">
        <v>4</v>
      </c>
      <c r="D1534" s="38" t="s">
        <v>266</v>
      </c>
    </row>
    <row r="1535" spans="1:4" x14ac:dyDescent="0.25">
      <c r="A1535" s="41">
        <v>93039</v>
      </c>
      <c r="B1535" s="39" t="s">
        <v>3306</v>
      </c>
      <c r="C1535" s="40">
        <v>4</v>
      </c>
      <c r="D1535" s="38" t="s">
        <v>266</v>
      </c>
    </row>
    <row r="1536" spans="1:4" x14ac:dyDescent="0.25">
      <c r="A1536" s="41">
        <v>93100</v>
      </c>
      <c r="B1536" s="39" t="s">
        <v>3307</v>
      </c>
      <c r="C1536" s="40">
        <v>3</v>
      </c>
      <c r="D1536" s="38" t="s">
        <v>266</v>
      </c>
    </row>
    <row r="1537" spans="1:4" x14ac:dyDescent="0.25">
      <c r="A1537" s="41">
        <v>93113</v>
      </c>
      <c r="B1537" s="39" t="s">
        <v>3308</v>
      </c>
      <c r="C1537" s="40">
        <v>4</v>
      </c>
      <c r="D1537" s="38" t="s">
        <v>266</v>
      </c>
    </row>
    <row r="1538" spans="1:4" x14ac:dyDescent="0.25">
      <c r="A1538" s="41">
        <v>93116</v>
      </c>
      <c r="B1538" s="39" t="s">
        <v>3309</v>
      </c>
      <c r="C1538" s="40">
        <v>4</v>
      </c>
      <c r="D1538" s="38" t="s">
        <v>266</v>
      </c>
    </row>
    <row r="1539" spans="1:4" x14ac:dyDescent="0.25">
      <c r="A1539" s="41">
        <v>93119</v>
      </c>
      <c r="B1539" s="39" t="s">
        <v>3310</v>
      </c>
      <c r="C1539" s="40">
        <v>4</v>
      </c>
      <c r="D1539" s="38" t="s">
        <v>266</v>
      </c>
    </row>
    <row r="1540" spans="1:4" x14ac:dyDescent="0.25">
      <c r="A1540" s="41">
        <v>93123</v>
      </c>
      <c r="B1540" s="39" t="s">
        <v>3311</v>
      </c>
      <c r="C1540" s="40">
        <v>4</v>
      </c>
      <c r="D1540" s="38" t="s">
        <v>266</v>
      </c>
    </row>
    <row r="1541" spans="1:4" x14ac:dyDescent="0.25">
      <c r="A1541" s="41">
        <v>93126</v>
      </c>
      <c r="B1541" s="39" t="s">
        <v>3312</v>
      </c>
      <c r="C1541" s="40">
        <v>4</v>
      </c>
      <c r="D1541" s="38" t="s">
        <v>266</v>
      </c>
    </row>
    <row r="1542" spans="1:4" x14ac:dyDescent="0.25">
      <c r="A1542" s="41">
        <v>93129</v>
      </c>
      <c r="B1542" s="39" t="s">
        <v>3313</v>
      </c>
      <c r="C1542" s="40">
        <v>4</v>
      </c>
      <c r="D1542" s="38" t="s">
        <v>266</v>
      </c>
    </row>
    <row r="1543" spans="1:4" x14ac:dyDescent="0.25">
      <c r="A1543" s="41">
        <v>93133</v>
      </c>
      <c r="B1543" s="39" t="s">
        <v>3314</v>
      </c>
      <c r="C1543" s="40">
        <v>4</v>
      </c>
      <c r="D1543" s="38" t="s">
        <v>266</v>
      </c>
    </row>
    <row r="1544" spans="1:4" x14ac:dyDescent="0.25">
      <c r="A1544" s="41">
        <v>93136</v>
      </c>
      <c r="B1544" s="39" t="s">
        <v>3315</v>
      </c>
      <c r="C1544" s="40">
        <v>4</v>
      </c>
      <c r="D1544" s="38" t="s">
        <v>266</v>
      </c>
    </row>
    <row r="1545" spans="1:4" x14ac:dyDescent="0.25">
      <c r="A1545" s="41">
        <v>93200</v>
      </c>
      <c r="B1545" s="39" t="s">
        <v>3316</v>
      </c>
      <c r="C1545" s="40">
        <v>3</v>
      </c>
      <c r="D1545" s="38" t="s">
        <v>266</v>
      </c>
    </row>
    <row r="1546" spans="1:4" x14ac:dyDescent="0.25">
      <c r="A1546" s="41">
        <v>93213</v>
      </c>
      <c r="B1546" s="39" t="s">
        <v>3317</v>
      </c>
      <c r="C1546" s="40">
        <v>4</v>
      </c>
      <c r="D1546" s="38" t="s">
        <v>266</v>
      </c>
    </row>
    <row r="1547" spans="1:4" x14ac:dyDescent="0.25">
      <c r="A1547" s="41">
        <v>93216</v>
      </c>
      <c r="B1547" s="39" t="s">
        <v>3318</v>
      </c>
      <c r="C1547" s="40">
        <v>4</v>
      </c>
      <c r="D1547" s="38" t="s">
        <v>266</v>
      </c>
    </row>
    <row r="1548" spans="1:4" x14ac:dyDescent="0.25">
      <c r="A1548" s="41">
        <v>93219</v>
      </c>
      <c r="B1548" s="39" t="s">
        <v>3319</v>
      </c>
      <c r="C1548" s="40">
        <v>4</v>
      </c>
      <c r="D1548" s="38" t="s">
        <v>266</v>
      </c>
    </row>
    <row r="1549" spans="1:4" x14ac:dyDescent="0.25">
      <c r="A1549" s="41">
        <v>93223</v>
      </c>
      <c r="B1549" s="39" t="s">
        <v>3320</v>
      </c>
      <c r="C1549" s="40">
        <v>4</v>
      </c>
      <c r="D1549" s="38" t="s">
        <v>266</v>
      </c>
    </row>
    <row r="1550" spans="1:4" x14ac:dyDescent="0.25">
      <c r="A1550" s="41">
        <v>93226</v>
      </c>
      <c r="B1550" s="39" t="s">
        <v>3321</v>
      </c>
      <c r="C1550" s="40">
        <v>4</v>
      </c>
      <c r="D1550" s="38" t="s">
        <v>266</v>
      </c>
    </row>
    <row r="1551" spans="1:4" x14ac:dyDescent="0.25">
      <c r="A1551" s="41">
        <v>93229</v>
      </c>
      <c r="B1551" s="39" t="s">
        <v>3322</v>
      </c>
      <c r="C1551" s="40">
        <v>4</v>
      </c>
      <c r="D1551" s="38" t="s">
        <v>266</v>
      </c>
    </row>
    <row r="1552" spans="1:4" x14ac:dyDescent="0.25">
      <c r="A1552" s="41">
        <v>93233</v>
      </c>
      <c r="B1552" s="39" t="s">
        <v>3323</v>
      </c>
      <c r="C1552" s="40">
        <v>4</v>
      </c>
      <c r="D1552" s="38" t="s">
        <v>266</v>
      </c>
    </row>
    <row r="1553" spans="1:4" x14ac:dyDescent="0.25">
      <c r="A1553" s="41">
        <v>93236</v>
      </c>
      <c r="B1553" s="39" t="s">
        <v>3324</v>
      </c>
      <c r="C1553" s="40">
        <v>4</v>
      </c>
      <c r="D1553" s="38" t="s">
        <v>266</v>
      </c>
    </row>
    <row r="1554" spans="1:4" x14ac:dyDescent="0.25">
      <c r="A1554" s="41">
        <v>93300</v>
      </c>
      <c r="B1554" s="39" t="s">
        <v>3325</v>
      </c>
      <c r="C1554" s="40">
        <v>3</v>
      </c>
      <c r="D1554" s="38" t="s">
        <v>266</v>
      </c>
    </row>
    <row r="1555" spans="1:4" x14ac:dyDescent="0.25">
      <c r="A1555" s="41">
        <v>93313</v>
      </c>
      <c r="B1555" s="39" t="s">
        <v>3326</v>
      </c>
      <c r="C1555" s="40">
        <v>4</v>
      </c>
      <c r="D1555" s="38" t="s">
        <v>266</v>
      </c>
    </row>
    <row r="1556" spans="1:4" x14ac:dyDescent="0.25">
      <c r="A1556" s="41">
        <v>93316</v>
      </c>
      <c r="B1556" s="39" t="s">
        <v>3327</v>
      </c>
      <c r="C1556" s="40">
        <v>4</v>
      </c>
      <c r="D1556" s="38" t="s">
        <v>266</v>
      </c>
    </row>
    <row r="1557" spans="1:4" x14ac:dyDescent="0.25">
      <c r="A1557" s="41">
        <v>93319</v>
      </c>
      <c r="B1557" s="39" t="s">
        <v>3328</v>
      </c>
      <c r="C1557" s="40">
        <v>4</v>
      </c>
      <c r="D1557" s="38" t="s">
        <v>266</v>
      </c>
    </row>
    <row r="1558" spans="1:4" x14ac:dyDescent="0.25">
      <c r="A1558" s="41">
        <v>93323</v>
      </c>
      <c r="B1558" s="39" t="s">
        <v>3329</v>
      </c>
      <c r="C1558" s="40">
        <v>4</v>
      </c>
      <c r="D1558" s="38" t="s">
        <v>266</v>
      </c>
    </row>
    <row r="1559" spans="1:4" x14ac:dyDescent="0.25">
      <c r="A1559" s="41">
        <v>93326</v>
      </c>
      <c r="B1559" s="39" t="s">
        <v>3330</v>
      </c>
      <c r="C1559" s="40">
        <v>4</v>
      </c>
      <c r="D1559" s="38" t="s">
        <v>266</v>
      </c>
    </row>
    <row r="1560" spans="1:4" x14ac:dyDescent="0.25">
      <c r="A1560" s="41">
        <v>93329</v>
      </c>
      <c r="B1560" s="39" t="s">
        <v>3331</v>
      </c>
      <c r="C1560" s="40">
        <v>4</v>
      </c>
      <c r="D1560" s="38" t="s">
        <v>266</v>
      </c>
    </row>
    <row r="1561" spans="1:4" x14ac:dyDescent="0.25">
      <c r="A1561" s="41">
        <v>93333</v>
      </c>
      <c r="B1561" s="39" t="s">
        <v>3332</v>
      </c>
      <c r="C1561" s="40">
        <v>4</v>
      </c>
      <c r="D1561" s="38" t="s">
        <v>266</v>
      </c>
    </row>
    <row r="1562" spans="1:4" x14ac:dyDescent="0.25">
      <c r="A1562" s="41">
        <v>93336</v>
      </c>
      <c r="B1562" s="39" t="s">
        <v>3333</v>
      </c>
      <c r="C1562" s="40">
        <v>4</v>
      </c>
      <c r="D1562" s="38" t="s">
        <v>266</v>
      </c>
    </row>
    <row r="1563" spans="1:4" x14ac:dyDescent="0.25">
      <c r="A1563" s="41">
        <v>93400</v>
      </c>
      <c r="B1563" s="39" t="s">
        <v>3334</v>
      </c>
      <c r="C1563" s="40">
        <v>3</v>
      </c>
      <c r="D1563" s="38" t="s">
        <v>266</v>
      </c>
    </row>
    <row r="1564" spans="1:4" x14ac:dyDescent="0.25">
      <c r="A1564" s="41">
        <v>93413</v>
      </c>
      <c r="B1564" s="39" t="s">
        <v>3335</v>
      </c>
      <c r="C1564" s="40">
        <v>4</v>
      </c>
      <c r="D1564" s="38" t="s">
        <v>266</v>
      </c>
    </row>
    <row r="1565" spans="1:4" x14ac:dyDescent="0.25">
      <c r="A1565" s="41">
        <v>93416</v>
      </c>
      <c r="B1565" s="39" t="s">
        <v>3336</v>
      </c>
      <c r="C1565" s="40">
        <v>4</v>
      </c>
      <c r="D1565" s="38" t="s">
        <v>266</v>
      </c>
    </row>
    <row r="1566" spans="1:4" x14ac:dyDescent="0.25">
      <c r="A1566" s="41">
        <v>93419</v>
      </c>
      <c r="B1566" s="39" t="s">
        <v>3337</v>
      </c>
      <c r="C1566" s="40">
        <v>4</v>
      </c>
      <c r="D1566" s="38" t="s">
        <v>266</v>
      </c>
    </row>
    <row r="1567" spans="1:4" x14ac:dyDescent="0.25">
      <c r="A1567" s="41">
        <v>93423</v>
      </c>
      <c r="B1567" s="39" t="s">
        <v>3338</v>
      </c>
      <c r="C1567" s="40">
        <v>4</v>
      </c>
      <c r="D1567" s="38" t="s">
        <v>266</v>
      </c>
    </row>
    <row r="1568" spans="1:4" x14ac:dyDescent="0.25">
      <c r="A1568" s="41">
        <v>93426</v>
      </c>
      <c r="B1568" s="39" t="s">
        <v>3339</v>
      </c>
      <c r="C1568" s="40">
        <v>4</v>
      </c>
      <c r="D1568" s="38" t="s">
        <v>266</v>
      </c>
    </row>
    <row r="1569" spans="1:4" x14ac:dyDescent="0.25">
      <c r="A1569" s="41">
        <v>93429</v>
      </c>
      <c r="B1569" s="39" t="s">
        <v>3340</v>
      </c>
      <c r="C1569" s="40">
        <v>4</v>
      </c>
      <c r="D1569" s="38" t="s">
        <v>266</v>
      </c>
    </row>
    <row r="1570" spans="1:4" x14ac:dyDescent="0.25">
      <c r="A1570" s="41">
        <v>93433</v>
      </c>
      <c r="B1570" s="39" t="s">
        <v>3341</v>
      </c>
      <c r="C1570" s="40">
        <v>4</v>
      </c>
      <c r="D1570" s="38" t="s">
        <v>266</v>
      </c>
    </row>
    <row r="1571" spans="1:4" x14ac:dyDescent="0.25">
      <c r="A1571" s="41">
        <v>93436</v>
      </c>
      <c r="B1571" s="39" t="s">
        <v>3342</v>
      </c>
      <c r="C1571" s="40">
        <v>4</v>
      </c>
      <c r="D1571" s="38" t="s">
        <v>266</v>
      </c>
    </row>
    <row r="1572" spans="1:4" x14ac:dyDescent="0.25">
      <c r="A1572" s="41">
        <v>93500</v>
      </c>
      <c r="B1572" s="39" t="s">
        <v>3343</v>
      </c>
      <c r="C1572" s="40">
        <v>3</v>
      </c>
      <c r="D1572" s="38" t="s">
        <v>266</v>
      </c>
    </row>
    <row r="1573" spans="1:4" x14ac:dyDescent="0.25">
      <c r="A1573" s="41">
        <v>93513</v>
      </c>
      <c r="B1573" s="39" t="s">
        <v>3344</v>
      </c>
      <c r="C1573" s="40">
        <v>4</v>
      </c>
      <c r="D1573" s="38" t="s">
        <v>266</v>
      </c>
    </row>
    <row r="1574" spans="1:4" x14ac:dyDescent="0.25">
      <c r="A1574" s="41">
        <v>93516</v>
      </c>
      <c r="B1574" s="39" t="s">
        <v>3345</v>
      </c>
      <c r="C1574" s="40">
        <v>4</v>
      </c>
      <c r="D1574" s="38" t="s">
        <v>266</v>
      </c>
    </row>
    <row r="1575" spans="1:4" x14ac:dyDescent="0.25">
      <c r="A1575" s="41">
        <v>93519</v>
      </c>
      <c r="B1575" s="39" t="s">
        <v>3346</v>
      </c>
      <c r="C1575" s="40">
        <v>4</v>
      </c>
      <c r="D1575" s="38" t="s">
        <v>266</v>
      </c>
    </row>
    <row r="1576" spans="1:4" x14ac:dyDescent="0.25">
      <c r="A1576" s="41">
        <v>93523</v>
      </c>
      <c r="B1576" s="39" t="s">
        <v>3347</v>
      </c>
      <c r="C1576" s="40">
        <v>4</v>
      </c>
      <c r="D1576" s="38" t="s">
        <v>266</v>
      </c>
    </row>
    <row r="1577" spans="1:4" x14ac:dyDescent="0.25">
      <c r="A1577" s="41">
        <v>93526</v>
      </c>
      <c r="B1577" s="39" t="s">
        <v>3348</v>
      </c>
      <c r="C1577" s="40">
        <v>4</v>
      </c>
      <c r="D1577" s="38" t="s">
        <v>266</v>
      </c>
    </row>
    <row r="1578" spans="1:4" x14ac:dyDescent="0.25">
      <c r="A1578" s="41">
        <v>93529</v>
      </c>
      <c r="B1578" s="39" t="s">
        <v>3349</v>
      </c>
      <c r="C1578" s="40">
        <v>4</v>
      </c>
      <c r="D1578" s="38" t="s">
        <v>266</v>
      </c>
    </row>
    <row r="1579" spans="1:4" x14ac:dyDescent="0.25">
      <c r="A1579" s="41">
        <v>93533</v>
      </c>
      <c r="B1579" s="39" t="s">
        <v>3350</v>
      </c>
      <c r="C1579" s="40">
        <v>4</v>
      </c>
      <c r="D1579" s="38" t="s">
        <v>266</v>
      </c>
    </row>
    <row r="1580" spans="1:4" x14ac:dyDescent="0.25">
      <c r="A1580" s="41">
        <v>93536</v>
      </c>
      <c r="B1580" s="39" t="s">
        <v>3351</v>
      </c>
      <c r="C1580" s="40">
        <v>4</v>
      </c>
      <c r="D1580" s="38" t="s">
        <v>266</v>
      </c>
    </row>
    <row r="1581" spans="1:4" x14ac:dyDescent="0.25">
      <c r="A1581" s="41">
        <v>95000</v>
      </c>
      <c r="B1581" s="39" t="s">
        <v>3352</v>
      </c>
      <c r="C1581" s="40">
        <v>3</v>
      </c>
      <c r="D1581" s="38" t="s">
        <v>266</v>
      </c>
    </row>
    <row r="1582" spans="1:4" x14ac:dyDescent="0.25">
      <c r="A1582" s="41">
        <v>95100</v>
      </c>
      <c r="B1582" s="39" t="s">
        <v>3353</v>
      </c>
      <c r="C1582" s="40">
        <v>3</v>
      </c>
      <c r="D1582" s="38" t="s">
        <v>266</v>
      </c>
    </row>
    <row r="1583" spans="1:4" x14ac:dyDescent="0.25">
      <c r="A1583" s="41">
        <v>95113</v>
      </c>
      <c r="B1583" s="39" t="s">
        <v>3354</v>
      </c>
      <c r="C1583" s="40">
        <v>4</v>
      </c>
      <c r="D1583" s="38" t="s">
        <v>266</v>
      </c>
    </row>
    <row r="1584" spans="1:4" x14ac:dyDescent="0.25">
      <c r="A1584" s="41">
        <v>95114</v>
      </c>
      <c r="B1584" s="39" t="s">
        <v>3355</v>
      </c>
      <c r="C1584" s="40">
        <v>4</v>
      </c>
      <c r="D1584" s="38" t="s">
        <v>266</v>
      </c>
    </row>
    <row r="1585" spans="1:4" x14ac:dyDescent="0.25">
      <c r="A1585" s="41">
        <v>95123</v>
      </c>
      <c r="B1585" s="39" t="s">
        <v>3356</v>
      </c>
      <c r="C1585" s="40">
        <v>4</v>
      </c>
      <c r="D1585" s="38" t="s">
        <v>266</v>
      </c>
    </row>
    <row r="1586" spans="1:4" x14ac:dyDescent="0.25">
      <c r="A1586" s="41">
        <v>95126</v>
      </c>
      <c r="B1586" s="39" t="s">
        <v>3357</v>
      </c>
      <c r="C1586" s="40">
        <v>4</v>
      </c>
      <c r="D1586" s="38" t="s">
        <v>266</v>
      </c>
    </row>
    <row r="1587" spans="1:4" x14ac:dyDescent="0.25">
      <c r="A1587" s="41">
        <v>95133</v>
      </c>
      <c r="B1587" s="39" t="s">
        <v>3358</v>
      </c>
      <c r="C1587" s="40">
        <v>4</v>
      </c>
      <c r="D1587" s="38" t="s">
        <v>266</v>
      </c>
    </row>
    <row r="1588" spans="1:4" x14ac:dyDescent="0.25">
      <c r="A1588" s="42">
        <v>95133.13</v>
      </c>
      <c r="B1588" s="39" t="s">
        <v>3359</v>
      </c>
      <c r="C1588" s="40">
        <v>5</v>
      </c>
      <c r="D1588" s="38" t="s">
        <v>266</v>
      </c>
    </row>
    <row r="1589" spans="1:4" x14ac:dyDescent="0.25">
      <c r="A1589" s="41">
        <v>95153</v>
      </c>
      <c r="B1589" s="39" t="s">
        <v>3360</v>
      </c>
      <c r="C1589" s="40">
        <v>4</v>
      </c>
      <c r="D1589" s="38" t="s">
        <v>266</v>
      </c>
    </row>
    <row r="1590" spans="1:4" x14ac:dyDescent="0.25">
      <c r="A1590" s="41">
        <v>95300</v>
      </c>
      <c r="B1590" s="39" t="s">
        <v>3361</v>
      </c>
      <c r="C1590" s="40">
        <v>3</v>
      </c>
      <c r="D1590" s="38" t="s">
        <v>266</v>
      </c>
    </row>
    <row r="1591" spans="1:4" x14ac:dyDescent="0.25">
      <c r="A1591" s="41">
        <v>95313</v>
      </c>
      <c r="B1591" s="39" t="s">
        <v>3362</v>
      </c>
      <c r="C1591" s="40">
        <v>4</v>
      </c>
      <c r="D1591" s="38" t="s">
        <v>266</v>
      </c>
    </row>
    <row r="1592" spans="1:4" x14ac:dyDescent="0.25">
      <c r="A1592" s="41">
        <v>95323</v>
      </c>
      <c r="B1592" s="39" t="s">
        <v>3363</v>
      </c>
      <c r="C1592" s="40">
        <v>4</v>
      </c>
      <c r="D1592" s="38" t="s">
        <v>266</v>
      </c>
    </row>
    <row r="1593" spans="1:4" x14ac:dyDescent="0.25">
      <c r="A1593" s="41">
        <v>95333</v>
      </c>
      <c r="B1593" s="39" t="s">
        <v>3364</v>
      </c>
      <c r="C1593" s="40">
        <v>4</v>
      </c>
      <c r="D1593" s="38" t="s">
        <v>266</v>
      </c>
    </row>
    <row r="1594" spans="1:4" x14ac:dyDescent="0.25">
      <c r="A1594" s="41">
        <v>95400</v>
      </c>
      <c r="B1594" s="39" t="s">
        <v>3365</v>
      </c>
      <c r="C1594" s="40">
        <v>3</v>
      </c>
      <c r="D1594" s="38" t="s">
        <v>266</v>
      </c>
    </row>
    <row r="1595" spans="1:4" x14ac:dyDescent="0.25">
      <c r="A1595" s="41">
        <v>95413</v>
      </c>
      <c r="B1595" s="39" t="s">
        <v>3366</v>
      </c>
      <c r="C1595" s="40">
        <v>4</v>
      </c>
      <c r="D1595" s="38" t="s">
        <v>266</v>
      </c>
    </row>
    <row r="1596" spans="1:4" x14ac:dyDescent="0.25">
      <c r="A1596" s="41">
        <v>95416</v>
      </c>
      <c r="B1596" s="39" t="s">
        <v>3367</v>
      </c>
      <c r="C1596" s="40">
        <v>4</v>
      </c>
      <c r="D1596" s="38" t="s">
        <v>266</v>
      </c>
    </row>
    <row r="1597" spans="1:4" x14ac:dyDescent="0.25">
      <c r="A1597" s="41">
        <v>95419</v>
      </c>
      <c r="B1597" s="39" t="s">
        <v>3368</v>
      </c>
      <c r="C1597" s="40">
        <v>4</v>
      </c>
      <c r="D1597" s="38" t="s">
        <v>266</v>
      </c>
    </row>
    <row r="1598" spans="1:4" x14ac:dyDescent="0.25">
      <c r="A1598" s="41">
        <v>95423</v>
      </c>
      <c r="B1598" s="39" t="s">
        <v>3369</v>
      </c>
      <c r="C1598" s="40">
        <v>4</v>
      </c>
      <c r="D1598" s="38" t="s">
        <v>266</v>
      </c>
    </row>
    <row r="1599" spans="1:4" x14ac:dyDescent="0.25">
      <c r="A1599" s="41">
        <v>95426</v>
      </c>
      <c r="B1599" s="39" t="s">
        <v>3370</v>
      </c>
      <c r="C1599" s="40">
        <v>4</v>
      </c>
      <c r="D1599" s="38" t="s">
        <v>266</v>
      </c>
    </row>
    <row r="1600" spans="1:4" x14ac:dyDescent="0.25">
      <c r="A1600" s="41">
        <v>95433</v>
      </c>
      <c r="B1600" s="39" t="s">
        <v>3371</v>
      </c>
      <c r="C1600" s="40">
        <v>4</v>
      </c>
      <c r="D1600" s="38" t="s">
        <v>266</v>
      </c>
    </row>
    <row r="1601" spans="1:4" x14ac:dyDescent="0.25">
      <c r="A1601" s="41">
        <v>95436</v>
      </c>
      <c r="B1601" s="39" t="s">
        <v>3372</v>
      </c>
      <c r="C1601" s="40">
        <v>4</v>
      </c>
      <c r="D1601" s="38" t="s">
        <v>266</v>
      </c>
    </row>
    <row r="1602" spans="1:4" x14ac:dyDescent="0.25">
      <c r="A1602" s="41">
        <v>95443</v>
      </c>
      <c r="B1602" s="39" t="s">
        <v>3373</v>
      </c>
      <c r="C1602" s="40">
        <v>4</v>
      </c>
      <c r="D1602" s="38" t="s">
        <v>266</v>
      </c>
    </row>
    <row r="1603" spans="1:4" x14ac:dyDescent="0.25">
      <c r="A1603" s="41">
        <v>95446</v>
      </c>
      <c r="B1603" s="39" t="s">
        <v>3374</v>
      </c>
      <c r="C1603" s="40">
        <v>4</v>
      </c>
      <c r="D1603" s="38" t="s">
        <v>266</v>
      </c>
    </row>
    <row r="1604" spans="1:4" x14ac:dyDescent="0.25">
      <c r="A1604" s="41">
        <v>95453</v>
      </c>
      <c r="B1604" s="39" t="s">
        <v>3375</v>
      </c>
      <c r="C1604" s="40">
        <v>4</v>
      </c>
      <c r="D1604" s="38" t="s">
        <v>266</v>
      </c>
    </row>
    <row r="1605" spans="1:4" x14ac:dyDescent="0.25">
      <c r="A1605" s="41">
        <v>95600</v>
      </c>
      <c r="B1605" s="39" t="s">
        <v>3376</v>
      </c>
      <c r="C1605" s="40">
        <v>3</v>
      </c>
      <c r="D1605" s="38" t="s">
        <v>266</v>
      </c>
    </row>
    <row r="1606" spans="1:4" x14ac:dyDescent="0.25">
      <c r="A1606" s="41">
        <v>95613</v>
      </c>
      <c r="B1606" s="39" t="s">
        <v>3377</v>
      </c>
      <c r="C1606" s="40">
        <v>4</v>
      </c>
      <c r="D1606" s="38" t="s">
        <v>266</v>
      </c>
    </row>
    <row r="1607" spans="1:4" x14ac:dyDescent="0.25">
      <c r="A1607" s="41">
        <v>95616</v>
      </c>
      <c r="B1607" s="39" t="s">
        <v>3378</v>
      </c>
      <c r="C1607" s="40">
        <v>4</v>
      </c>
      <c r="D1607" s="38" t="s">
        <v>266</v>
      </c>
    </row>
    <row r="1608" spans="1:4" x14ac:dyDescent="0.25">
      <c r="A1608" s="41">
        <v>95700</v>
      </c>
      <c r="B1608" s="39" t="s">
        <v>3379</v>
      </c>
      <c r="C1608" s="40">
        <v>3</v>
      </c>
      <c r="D1608" s="38" t="s">
        <v>266</v>
      </c>
    </row>
    <row r="1609" spans="1:4" x14ac:dyDescent="0.25">
      <c r="A1609" s="41">
        <v>95753</v>
      </c>
      <c r="B1609" s="39" t="s">
        <v>3380</v>
      </c>
      <c r="C1609" s="40">
        <v>4</v>
      </c>
      <c r="D1609" s="38" t="s">
        <v>266</v>
      </c>
    </row>
    <row r="1610" spans="1:4" x14ac:dyDescent="0.25">
      <c r="A1610" s="41">
        <v>95800</v>
      </c>
      <c r="B1610" s="39" t="s">
        <v>3381</v>
      </c>
      <c r="C1610" s="40">
        <v>3</v>
      </c>
      <c r="D1610" s="38" t="s">
        <v>266</v>
      </c>
    </row>
    <row r="1611" spans="1:4" x14ac:dyDescent="0.25">
      <c r="A1611" s="41">
        <v>96000</v>
      </c>
      <c r="B1611" s="39" t="s">
        <v>809</v>
      </c>
      <c r="C1611" s="40">
        <v>3</v>
      </c>
      <c r="D1611" s="38" t="s">
        <v>808</v>
      </c>
    </row>
    <row r="1612" spans="1:4" x14ac:dyDescent="0.25">
      <c r="A1612" s="41">
        <v>96013</v>
      </c>
      <c r="B1612" s="39" t="s">
        <v>3382</v>
      </c>
      <c r="C1612" s="40">
        <v>4</v>
      </c>
      <c r="D1612" s="38" t="s">
        <v>266</v>
      </c>
    </row>
    <row r="1613" spans="1:4" x14ac:dyDescent="0.25">
      <c r="A1613" s="41">
        <v>96100</v>
      </c>
      <c r="B1613" s="39" t="s">
        <v>812</v>
      </c>
      <c r="C1613" s="40">
        <v>3</v>
      </c>
      <c r="D1613" s="39" t="s">
        <v>811</v>
      </c>
    </row>
    <row r="1614" spans="1:4" x14ac:dyDescent="0.25">
      <c r="A1614" s="41">
        <v>96113</v>
      </c>
      <c r="B1614" s="39" t="s">
        <v>3383</v>
      </c>
      <c r="C1614" s="40">
        <v>4</v>
      </c>
      <c r="D1614" s="38" t="s">
        <v>266</v>
      </c>
    </row>
    <row r="1615" spans="1:4" x14ac:dyDescent="0.25">
      <c r="A1615" s="41">
        <v>96136</v>
      </c>
      <c r="B1615" s="39" t="s">
        <v>3384</v>
      </c>
      <c r="C1615" s="40">
        <v>4</v>
      </c>
      <c r="D1615" s="38" t="s">
        <v>266</v>
      </c>
    </row>
    <row r="1616" spans="1:4" x14ac:dyDescent="0.25">
      <c r="A1616" s="41">
        <v>96200</v>
      </c>
      <c r="B1616" s="39" t="s">
        <v>816</v>
      </c>
      <c r="C1616" s="40">
        <v>3</v>
      </c>
      <c r="D1616" s="39" t="s">
        <v>815</v>
      </c>
    </row>
    <row r="1617" spans="1:4" x14ac:dyDescent="0.25">
      <c r="A1617" s="41">
        <v>96213</v>
      </c>
      <c r="B1617" s="39" t="s">
        <v>3385</v>
      </c>
      <c r="C1617" s="40">
        <v>4</v>
      </c>
      <c r="D1617" s="38" t="s">
        <v>266</v>
      </c>
    </row>
    <row r="1618" spans="1:4" x14ac:dyDescent="0.25">
      <c r="A1618" s="41">
        <v>96219</v>
      </c>
      <c r="B1618" s="39" t="s">
        <v>3386</v>
      </c>
      <c r="C1618" s="40">
        <v>4</v>
      </c>
      <c r="D1618" s="38" t="s">
        <v>266</v>
      </c>
    </row>
    <row r="1619" spans="1:4" x14ac:dyDescent="0.25">
      <c r="A1619" s="41">
        <v>96223</v>
      </c>
      <c r="B1619" s="39" t="s">
        <v>3387</v>
      </c>
      <c r="C1619" s="40">
        <v>4</v>
      </c>
      <c r="D1619" s="38" t="s">
        <v>266</v>
      </c>
    </row>
    <row r="1620" spans="1:4" x14ac:dyDescent="0.25">
      <c r="A1620" s="41">
        <v>96226</v>
      </c>
      <c r="B1620" s="39" t="s">
        <v>3388</v>
      </c>
      <c r="C1620" s="40">
        <v>4</v>
      </c>
      <c r="D1620" s="38" t="s">
        <v>266</v>
      </c>
    </row>
    <row r="1621" spans="1:4" x14ac:dyDescent="0.25">
      <c r="A1621" s="41">
        <v>96229</v>
      </c>
      <c r="B1621" s="39" t="s">
        <v>3389</v>
      </c>
      <c r="C1621" s="40">
        <v>4</v>
      </c>
      <c r="D1621" s="38" t="s">
        <v>266</v>
      </c>
    </row>
    <row r="1622" spans="1:4" x14ac:dyDescent="0.25">
      <c r="A1622" s="41">
        <v>96235</v>
      </c>
      <c r="B1622" s="39" t="s">
        <v>3390</v>
      </c>
      <c r="C1622" s="40">
        <v>4</v>
      </c>
      <c r="D1622" s="38" t="s">
        <v>266</v>
      </c>
    </row>
    <row r="1623" spans="1:4" x14ac:dyDescent="0.25">
      <c r="A1623" s="41">
        <v>96248</v>
      </c>
      <c r="B1623" s="39" t="s">
        <v>3391</v>
      </c>
      <c r="C1623" s="40">
        <v>4</v>
      </c>
      <c r="D1623" s="38" t="s">
        <v>266</v>
      </c>
    </row>
    <row r="1624" spans="1:4" x14ac:dyDescent="0.25">
      <c r="A1624" s="41">
        <v>96253</v>
      </c>
      <c r="B1624" s="39" t="s">
        <v>3392</v>
      </c>
      <c r="C1624" s="40">
        <v>4</v>
      </c>
      <c r="D1624" s="38" t="s">
        <v>266</v>
      </c>
    </row>
    <row r="1625" spans="1:4" x14ac:dyDescent="0.25">
      <c r="A1625" s="41">
        <v>96263</v>
      </c>
      <c r="B1625" s="39" t="s">
        <v>3393</v>
      </c>
      <c r="C1625" s="40">
        <v>4</v>
      </c>
      <c r="D1625" s="38" t="s">
        <v>266</v>
      </c>
    </row>
    <row r="1626" spans="1:4" x14ac:dyDescent="0.25">
      <c r="A1626" s="42">
        <v>96263.13</v>
      </c>
      <c r="B1626" s="39" t="s">
        <v>3394</v>
      </c>
      <c r="C1626" s="40">
        <v>5</v>
      </c>
      <c r="D1626" s="38" t="s">
        <v>266</v>
      </c>
    </row>
    <row r="1627" spans="1:4" x14ac:dyDescent="0.25">
      <c r="A1627" s="42">
        <v>96263.16</v>
      </c>
      <c r="B1627" s="39" t="s">
        <v>3395</v>
      </c>
      <c r="C1627" s="40">
        <v>5</v>
      </c>
      <c r="D1627" s="38" t="s">
        <v>266</v>
      </c>
    </row>
    <row r="1628" spans="1:4" x14ac:dyDescent="0.25">
      <c r="A1628" s="41">
        <v>96283</v>
      </c>
      <c r="B1628" s="39" t="s">
        <v>3396</v>
      </c>
      <c r="C1628" s="40">
        <v>4</v>
      </c>
      <c r="D1628" s="38" t="s">
        <v>266</v>
      </c>
    </row>
    <row r="1629" spans="1:4" x14ac:dyDescent="0.25">
      <c r="A1629" s="41">
        <v>96300</v>
      </c>
      <c r="B1629" s="39" t="s">
        <v>818</v>
      </c>
      <c r="C1629" s="40">
        <v>3</v>
      </c>
      <c r="D1629" s="38" t="s">
        <v>839</v>
      </c>
    </row>
    <row r="1630" spans="1:4" x14ac:dyDescent="0.25">
      <c r="A1630" s="41">
        <v>96313</v>
      </c>
      <c r="B1630" s="39" t="s">
        <v>3397</v>
      </c>
      <c r="C1630" s="40">
        <v>4</v>
      </c>
      <c r="D1630" s="38" t="s">
        <v>266</v>
      </c>
    </row>
    <row r="1631" spans="1:4" x14ac:dyDescent="0.25">
      <c r="A1631" s="42">
        <v>96313.35</v>
      </c>
      <c r="B1631" s="39" t="s">
        <v>3398</v>
      </c>
      <c r="C1631" s="40">
        <v>5</v>
      </c>
      <c r="D1631" s="38" t="s">
        <v>266</v>
      </c>
    </row>
    <row r="1632" spans="1:4" x14ac:dyDescent="0.25">
      <c r="A1632" s="41">
        <v>96340</v>
      </c>
      <c r="B1632" s="39" t="s">
        <v>3399</v>
      </c>
      <c r="C1632" s="40">
        <v>4</v>
      </c>
      <c r="D1632" s="38" t="s">
        <v>266</v>
      </c>
    </row>
    <row r="1633" spans="1:4" x14ac:dyDescent="0.25">
      <c r="A1633" s="41">
        <v>96343</v>
      </c>
      <c r="B1633" s="39" t="s">
        <v>3400</v>
      </c>
      <c r="C1633" s="40">
        <v>4</v>
      </c>
      <c r="D1633" s="38" t="s">
        <v>266</v>
      </c>
    </row>
    <row r="1634" spans="1:4" x14ac:dyDescent="0.25">
      <c r="A1634" s="41">
        <v>96400</v>
      </c>
      <c r="B1634" s="39" t="s">
        <v>820</v>
      </c>
      <c r="C1634" s="40">
        <v>3</v>
      </c>
      <c r="D1634" s="38" t="s">
        <v>819</v>
      </c>
    </row>
    <row r="1635" spans="1:4" x14ac:dyDescent="0.25">
      <c r="A1635" s="41">
        <v>96416</v>
      </c>
      <c r="B1635" s="39" t="s">
        <v>3401</v>
      </c>
      <c r="C1635" s="40">
        <v>4</v>
      </c>
      <c r="D1635" s="38" t="s">
        <v>266</v>
      </c>
    </row>
    <row r="1636" spans="1:4" x14ac:dyDescent="0.25">
      <c r="A1636" s="41">
        <v>96419</v>
      </c>
      <c r="B1636" s="39" t="s">
        <v>3402</v>
      </c>
      <c r="C1636" s="40">
        <v>4</v>
      </c>
      <c r="D1636" s="38" t="s">
        <v>266</v>
      </c>
    </row>
    <row r="1637" spans="1:4" x14ac:dyDescent="0.25">
      <c r="A1637" s="41">
        <v>96423</v>
      </c>
      <c r="B1637" s="39" t="s">
        <v>3403</v>
      </c>
      <c r="C1637" s="40">
        <v>4</v>
      </c>
      <c r="D1637" s="38" t="s">
        <v>266</v>
      </c>
    </row>
    <row r="1638" spans="1:4" x14ac:dyDescent="0.25">
      <c r="A1638" s="42">
        <v>96423.13</v>
      </c>
      <c r="B1638" s="39" t="s">
        <v>3404</v>
      </c>
      <c r="C1638" s="40">
        <v>5</v>
      </c>
      <c r="D1638" s="38" t="s">
        <v>266</v>
      </c>
    </row>
    <row r="1639" spans="1:4" x14ac:dyDescent="0.25">
      <c r="A1639" s="41">
        <v>96429</v>
      </c>
      <c r="B1639" s="39" t="s">
        <v>3405</v>
      </c>
      <c r="C1639" s="40">
        <v>4</v>
      </c>
      <c r="D1639" s="38" t="s">
        <v>266</v>
      </c>
    </row>
    <row r="1640" spans="1:4" x14ac:dyDescent="0.25">
      <c r="A1640" s="41">
        <v>96433</v>
      </c>
      <c r="B1640" s="39" t="s">
        <v>3406</v>
      </c>
      <c r="C1640" s="40">
        <v>4</v>
      </c>
      <c r="D1640" s="38" t="s">
        <v>266</v>
      </c>
    </row>
    <row r="1641" spans="1:4" x14ac:dyDescent="0.25">
      <c r="A1641" s="41">
        <v>96453</v>
      </c>
      <c r="B1641" s="39" t="s">
        <v>3407</v>
      </c>
      <c r="C1641" s="40">
        <v>4</v>
      </c>
      <c r="D1641" s="38" t="s">
        <v>266</v>
      </c>
    </row>
    <row r="1642" spans="1:4" x14ac:dyDescent="0.25">
      <c r="A1642" s="41">
        <v>96466</v>
      </c>
      <c r="B1642" s="39" t="s">
        <v>3408</v>
      </c>
      <c r="C1642" s="40">
        <v>4</v>
      </c>
      <c r="D1642" s="38" t="s">
        <v>266</v>
      </c>
    </row>
    <row r="1643" spans="1:4" x14ac:dyDescent="0.25">
      <c r="A1643" s="41">
        <v>96500</v>
      </c>
      <c r="B1643" s="39" t="s">
        <v>822</v>
      </c>
      <c r="C1643" s="40">
        <v>3</v>
      </c>
      <c r="D1643" s="38" t="s">
        <v>821</v>
      </c>
    </row>
    <row r="1644" spans="1:4" x14ac:dyDescent="0.25">
      <c r="A1644" s="41">
        <v>96513</v>
      </c>
      <c r="B1644" s="39" t="s">
        <v>3409</v>
      </c>
      <c r="C1644" s="40">
        <v>4</v>
      </c>
      <c r="D1644" s="38" t="s">
        <v>266</v>
      </c>
    </row>
    <row r="1645" spans="1:4" x14ac:dyDescent="0.25">
      <c r="A1645" s="42">
        <v>96513.13</v>
      </c>
      <c r="B1645" s="39" t="s">
        <v>3410</v>
      </c>
      <c r="C1645" s="40">
        <v>5</v>
      </c>
      <c r="D1645" s="38" t="s">
        <v>266</v>
      </c>
    </row>
    <row r="1646" spans="1:4" x14ac:dyDescent="0.25">
      <c r="A1646" s="42">
        <v>96513.23</v>
      </c>
      <c r="B1646" s="39" t="s">
        <v>3411</v>
      </c>
      <c r="C1646" s="40">
        <v>5</v>
      </c>
      <c r="D1646" s="38" t="s">
        <v>266</v>
      </c>
    </row>
    <row r="1647" spans="1:4" x14ac:dyDescent="0.25">
      <c r="A1647" s="42">
        <v>96513.26</v>
      </c>
      <c r="B1647" s="39" t="s">
        <v>3412</v>
      </c>
      <c r="C1647" s="40">
        <v>5</v>
      </c>
      <c r="D1647" s="38" t="s">
        <v>266</v>
      </c>
    </row>
    <row r="1648" spans="1:4" x14ac:dyDescent="0.25">
      <c r="A1648" s="42">
        <v>96513.33</v>
      </c>
      <c r="B1648" s="39" t="s">
        <v>3413</v>
      </c>
      <c r="C1648" s="40">
        <v>5</v>
      </c>
      <c r="D1648" s="38" t="s">
        <v>266</v>
      </c>
    </row>
    <row r="1649" spans="1:4" x14ac:dyDescent="0.25">
      <c r="A1649" s="42">
        <v>96513.36</v>
      </c>
      <c r="B1649" s="39" t="s">
        <v>3414</v>
      </c>
      <c r="C1649" s="40">
        <v>5</v>
      </c>
      <c r="D1649" s="38" t="s">
        <v>266</v>
      </c>
    </row>
    <row r="1650" spans="1:4" x14ac:dyDescent="0.25">
      <c r="A1650" s="41">
        <v>96516</v>
      </c>
      <c r="B1650" s="39" t="s">
        <v>3415</v>
      </c>
      <c r="C1650" s="40">
        <v>4</v>
      </c>
      <c r="D1650" s="38" t="s">
        <v>266</v>
      </c>
    </row>
    <row r="1651" spans="1:4" x14ac:dyDescent="0.25">
      <c r="A1651" s="42">
        <v>96516.23</v>
      </c>
      <c r="B1651" s="39" t="s">
        <v>3416</v>
      </c>
      <c r="C1651" s="40">
        <v>5</v>
      </c>
      <c r="D1651" s="38" t="s">
        <v>266</v>
      </c>
    </row>
    <row r="1652" spans="1:4" x14ac:dyDescent="0.25">
      <c r="A1652" s="42">
        <v>96516.33</v>
      </c>
      <c r="B1652" s="39" t="s">
        <v>3417</v>
      </c>
      <c r="C1652" s="40">
        <v>5</v>
      </c>
      <c r="D1652" s="38" t="s">
        <v>266</v>
      </c>
    </row>
    <row r="1653" spans="1:4" x14ac:dyDescent="0.25">
      <c r="A1653" s="42">
        <v>96516.43</v>
      </c>
      <c r="B1653" s="39" t="s">
        <v>3418</v>
      </c>
      <c r="C1653" s="40">
        <v>5</v>
      </c>
      <c r="D1653" s="38" t="s">
        <v>266</v>
      </c>
    </row>
    <row r="1654" spans="1:4" x14ac:dyDescent="0.25">
      <c r="A1654" s="41">
        <v>96519</v>
      </c>
      <c r="B1654" s="39" t="s">
        <v>3419</v>
      </c>
      <c r="C1654" s="40">
        <v>4</v>
      </c>
      <c r="D1654" s="38" t="s">
        <v>266</v>
      </c>
    </row>
    <row r="1655" spans="1:4" x14ac:dyDescent="0.25">
      <c r="A1655" s="41">
        <v>96533</v>
      </c>
      <c r="B1655" s="39" t="s">
        <v>3420</v>
      </c>
      <c r="C1655" s="40">
        <v>4</v>
      </c>
      <c r="D1655" s="38" t="s">
        <v>266</v>
      </c>
    </row>
    <row r="1656" spans="1:4" x14ac:dyDescent="0.25">
      <c r="A1656" s="41">
        <v>96536</v>
      </c>
      <c r="B1656" s="39" t="s">
        <v>3421</v>
      </c>
      <c r="C1656" s="40">
        <v>4</v>
      </c>
      <c r="D1656" s="38" t="s">
        <v>266</v>
      </c>
    </row>
    <row r="1657" spans="1:4" x14ac:dyDescent="0.25">
      <c r="A1657" s="42">
        <v>96536.13</v>
      </c>
      <c r="B1657" s="39" t="s">
        <v>3422</v>
      </c>
      <c r="C1657" s="40">
        <v>5</v>
      </c>
      <c r="D1657" s="38" t="s">
        <v>266</v>
      </c>
    </row>
    <row r="1658" spans="1:4" x14ac:dyDescent="0.25">
      <c r="A1658" s="42">
        <v>96536.16</v>
      </c>
      <c r="B1658" s="39" t="s">
        <v>3423</v>
      </c>
      <c r="C1658" s="40">
        <v>5</v>
      </c>
      <c r="D1658" s="38" t="s">
        <v>266</v>
      </c>
    </row>
    <row r="1659" spans="1:4" x14ac:dyDescent="0.25">
      <c r="A1659" s="41">
        <v>96543</v>
      </c>
      <c r="B1659" s="39" t="s">
        <v>3424</v>
      </c>
      <c r="C1659" s="40">
        <v>4</v>
      </c>
      <c r="D1659" s="38" t="s">
        <v>266</v>
      </c>
    </row>
    <row r="1660" spans="1:4" x14ac:dyDescent="0.25">
      <c r="A1660" s="41">
        <v>96566</v>
      </c>
      <c r="B1660" s="39" t="s">
        <v>3425</v>
      </c>
      <c r="C1660" s="40">
        <v>4</v>
      </c>
      <c r="D1660" s="38" t="s">
        <v>266</v>
      </c>
    </row>
    <row r="1661" spans="1:4" x14ac:dyDescent="0.25">
      <c r="A1661" s="41">
        <v>96600</v>
      </c>
      <c r="B1661" s="39" t="s">
        <v>824</v>
      </c>
      <c r="C1661" s="40">
        <v>3</v>
      </c>
      <c r="D1661" s="38" t="s">
        <v>845</v>
      </c>
    </row>
    <row r="1662" spans="1:4" x14ac:dyDescent="0.25">
      <c r="A1662" s="41">
        <v>96613</v>
      </c>
      <c r="B1662" s="39" t="s">
        <v>3426</v>
      </c>
      <c r="C1662" s="40">
        <v>4</v>
      </c>
      <c r="D1662" s="38" t="s">
        <v>266</v>
      </c>
    </row>
    <row r="1663" spans="1:4" x14ac:dyDescent="0.25">
      <c r="A1663" s="42">
        <v>96613.13</v>
      </c>
      <c r="B1663" s="39" t="s">
        <v>3427</v>
      </c>
      <c r="C1663" s="40">
        <v>5</v>
      </c>
      <c r="D1663" s="38" t="s">
        <v>266</v>
      </c>
    </row>
    <row r="1664" spans="1:4" x14ac:dyDescent="0.25">
      <c r="A1664" s="42">
        <v>96613.16</v>
      </c>
      <c r="B1664" s="39" t="s">
        <v>3428</v>
      </c>
      <c r="C1664" s="40">
        <v>5</v>
      </c>
      <c r="D1664" s="38" t="s">
        <v>266</v>
      </c>
    </row>
    <row r="1665" spans="1:4" x14ac:dyDescent="0.25">
      <c r="A1665" s="42">
        <v>96613.19</v>
      </c>
      <c r="B1665" s="39" t="s">
        <v>3429</v>
      </c>
      <c r="C1665" s="40">
        <v>5</v>
      </c>
      <c r="D1665" s="38" t="s">
        <v>266</v>
      </c>
    </row>
    <row r="1666" spans="1:4" x14ac:dyDescent="0.25">
      <c r="A1666" s="42">
        <v>96613.23</v>
      </c>
      <c r="B1666" s="39" t="s">
        <v>3430</v>
      </c>
      <c r="C1666" s="40">
        <v>5</v>
      </c>
      <c r="D1666" s="38" t="s">
        <v>266</v>
      </c>
    </row>
    <row r="1667" spans="1:4" x14ac:dyDescent="0.25">
      <c r="A1667" s="42">
        <v>96613.26</v>
      </c>
      <c r="B1667" s="39" t="s">
        <v>3431</v>
      </c>
      <c r="C1667" s="40">
        <v>5</v>
      </c>
      <c r="D1667" s="38" t="s">
        <v>266</v>
      </c>
    </row>
    <row r="1668" spans="1:4" x14ac:dyDescent="0.25">
      <c r="A1668" s="42">
        <v>96613.33</v>
      </c>
      <c r="B1668" s="39" t="s">
        <v>3432</v>
      </c>
      <c r="C1668" s="40">
        <v>5</v>
      </c>
      <c r="D1668" s="38" t="s">
        <v>266</v>
      </c>
    </row>
    <row r="1669" spans="1:4" x14ac:dyDescent="0.25">
      <c r="A1669" s="41">
        <v>96616</v>
      </c>
      <c r="B1669" s="39" t="s">
        <v>3433</v>
      </c>
      <c r="C1669" s="40">
        <v>4</v>
      </c>
      <c r="D1669" s="38" t="s">
        <v>266</v>
      </c>
    </row>
    <row r="1670" spans="1:4" x14ac:dyDescent="0.25">
      <c r="A1670" s="42">
        <v>96616.13</v>
      </c>
      <c r="B1670" s="39" t="s">
        <v>3434</v>
      </c>
      <c r="C1670" s="40">
        <v>5</v>
      </c>
      <c r="D1670" s="38" t="s">
        <v>266</v>
      </c>
    </row>
    <row r="1671" spans="1:4" x14ac:dyDescent="0.25">
      <c r="A1671" s="42">
        <v>96616.16</v>
      </c>
      <c r="B1671" s="39" t="s">
        <v>3435</v>
      </c>
      <c r="C1671" s="40">
        <v>5</v>
      </c>
      <c r="D1671" s="38" t="s">
        <v>266</v>
      </c>
    </row>
    <row r="1672" spans="1:4" x14ac:dyDescent="0.25">
      <c r="A1672" s="41">
        <v>96623</v>
      </c>
      <c r="B1672" s="39" t="s">
        <v>3436</v>
      </c>
      <c r="C1672" s="40">
        <v>4</v>
      </c>
      <c r="D1672" s="38" t="s">
        <v>266</v>
      </c>
    </row>
    <row r="1673" spans="1:4" x14ac:dyDescent="0.25">
      <c r="A1673" s="42">
        <v>96623.13</v>
      </c>
      <c r="B1673" s="39" t="s">
        <v>3437</v>
      </c>
      <c r="C1673" s="40">
        <v>5</v>
      </c>
      <c r="D1673" s="38" t="s">
        <v>266</v>
      </c>
    </row>
    <row r="1674" spans="1:4" x14ac:dyDescent="0.25">
      <c r="A1674" s="42">
        <v>96623.16</v>
      </c>
      <c r="B1674" s="39" t="s">
        <v>3438</v>
      </c>
      <c r="C1674" s="40">
        <v>5</v>
      </c>
      <c r="D1674" s="38" t="s">
        <v>266</v>
      </c>
    </row>
    <row r="1675" spans="1:4" x14ac:dyDescent="0.25">
      <c r="A1675" s="42">
        <v>96623.19</v>
      </c>
      <c r="B1675" s="39" t="s">
        <v>3439</v>
      </c>
      <c r="C1675" s="40">
        <v>5</v>
      </c>
      <c r="D1675" s="38" t="s">
        <v>266</v>
      </c>
    </row>
    <row r="1676" spans="1:4" x14ac:dyDescent="0.25">
      <c r="A1676" s="41">
        <v>96633</v>
      </c>
      <c r="B1676" s="39" t="s">
        <v>3440</v>
      </c>
      <c r="C1676" s="40">
        <v>4</v>
      </c>
      <c r="D1676" s="38" t="s">
        <v>266</v>
      </c>
    </row>
    <row r="1677" spans="1:4" x14ac:dyDescent="0.25">
      <c r="A1677" s="42">
        <v>96633.13</v>
      </c>
      <c r="B1677" s="39" t="s">
        <v>3441</v>
      </c>
      <c r="C1677" s="40">
        <v>5</v>
      </c>
      <c r="D1677" s="38" t="s">
        <v>266</v>
      </c>
    </row>
    <row r="1678" spans="1:4" x14ac:dyDescent="0.25">
      <c r="A1678" s="42">
        <v>96633.16</v>
      </c>
      <c r="B1678" s="39" t="s">
        <v>3442</v>
      </c>
      <c r="C1678" s="40">
        <v>5</v>
      </c>
      <c r="D1678" s="38" t="s">
        <v>266</v>
      </c>
    </row>
    <row r="1679" spans="1:4" x14ac:dyDescent="0.25">
      <c r="A1679" s="42">
        <v>96633.19</v>
      </c>
      <c r="B1679" s="39" t="s">
        <v>3443</v>
      </c>
      <c r="C1679" s="40">
        <v>5</v>
      </c>
      <c r="D1679" s="38" t="s">
        <v>266</v>
      </c>
    </row>
    <row r="1680" spans="1:4" x14ac:dyDescent="0.25">
      <c r="A1680" s="41">
        <v>96700</v>
      </c>
      <c r="B1680" s="39" t="s">
        <v>826</v>
      </c>
      <c r="C1680" s="40">
        <v>3</v>
      </c>
      <c r="D1680" s="39" t="s">
        <v>825</v>
      </c>
    </row>
    <row r="1681" spans="1:4" x14ac:dyDescent="0.25">
      <c r="A1681" s="41">
        <v>96713</v>
      </c>
      <c r="B1681" s="39" t="s">
        <v>3444</v>
      </c>
      <c r="C1681" s="40">
        <v>4</v>
      </c>
      <c r="D1681" s="38" t="s">
        <v>266</v>
      </c>
    </row>
    <row r="1682" spans="1:4" x14ac:dyDescent="0.25">
      <c r="A1682" s="42">
        <v>96713.33</v>
      </c>
      <c r="B1682" s="39" t="s">
        <v>3445</v>
      </c>
      <c r="C1682" s="40">
        <v>5</v>
      </c>
      <c r="D1682" s="38" t="s">
        <v>266</v>
      </c>
    </row>
    <row r="1683" spans="1:4" x14ac:dyDescent="0.25">
      <c r="A1683" s="41">
        <v>96716</v>
      </c>
      <c r="B1683" s="39" t="s">
        <v>3446</v>
      </c>
      <c r="C1683" s="40">
        <v>4</v>
      </c>
      <c r="D1683" s="38" t="s">
        <v>266</v>
      </c>
    </row>
    <row r="1684" spans="1:4" x14ac:dyDescent="0.25">
      <c r="A1684" s="41">
        <v>96719</v>
      </c>
      <c r="B1684" s="39" t="s">
        <v>3447</v>
      </c>
      <c r="C1684" s="40">
        <v>4</v>
      </c>
      <c r="D1684" s="38" t="s">
        <v>266</v>
      </c>
    </row>
    <row r="1685" spans="1:4" x14ac:dyDescent="0.25">
      <c r="A1685" s="41">
        <v>96723</v>
      </c>
      <c r="B1685" s="39" t="s">
        <v>3448</v>
      </c>
      <c r="C1685" s="40">
        <v>4</v>
      </c>
      <c r="D1685" s="38" t="s">
        <v>266</v>
      </c>
    </row>
    <row r="1686" spans="1:4" x14ac:dyDescent="0.25">
      <c r="A1686" s="41">
        <v>96726</v>
      </c>
      <c r="B1686" s="39" t="s">
        <v>3449</v>
      </c>
      <c r="C1686" s="40">
        <v>4</v>
      </c>
      <c r="D1686" s="38" t="s">
        <v>266</v>
      </c>
    </row>
    <row r="1687" spans="1:4" x14ac:dyDescent="0.25">
      <c r="A1687" s="41">
        <v>96766</v>
      </c>
      <c r="B1687" s="39" t="s">
        <v>3450</v>
      </c>
      <c r="C1687" s="40">
        <v>4</v>
      </c>
      <c r="D1687" s="38" t="s">
        <v>266</v>
      </c>
    </row>
    <row r="1688" spans="1:4" x14ac:dyDescent="0.25">
      <c r="A1688" s="41">
        <v>96800</v>
      </c>
      <c r="B1688" s="39" t="s">
        <v>828</v>
      </c>
      <c r="C1688" s="40">
        <v>3</v>
      </c>
      <c r="D1688" s="38" t="s">
        <v>847</v>
      </c>
    </row>
    <row r="1689" spans="1:4" x14ac:dyDescent="0.25">
      <c r="A1689" s="41">
        <v>96813</v>
      </c>
      <c r="B1689" s="39" t="s">
        <v>3451</v>
      </c>
      <c r="C1689" s="40">
        <v>4</v>
      </c>
      <c r="D1689" s="38" t="s">
        <v>266</v>
      </c>
    </row>
    <row r="1690" spans="1:4" x14ac:dyDescent="0.25">
      <c r="A1690" s="41">
        <v>96816</v>
      </c>
      <c r="B1690" s="39" t="s">
        <v>3452</v>
      </c>
      <c r="C1690" s="40">
        <v>4</v>
      </c>
      <c r="D1690" s="38" t="s">
        <v>266</v>
      </c>
    </row>
    <row r="1691" spans="1:4" x14ac:dyDescent="0.25">
      <c r="A1691" s="41">
        <v>96900</v>
      </c>
      <c r="B1691" s="39" t="s">
        <v>742</v>
      </c>
      <c r="C1691" s="40">
        <v>3</v>
      </c>
      <c r="D1691" s="38" t="s">
        <v>741</v>
      </c>
    </row>
    <row r="1692" spans="1:4" x14ac:dyDescent="0.25">
      <c r="A1692" s="41">
        <v>96913</v>
      </c>
      <c r="B1692" s="39" t="s">
        <v>3453</v>
      </c>
      <c r="C1692" s="40">
        <v>4</v>
      </c>
      <c r="D1692" s="38" t="s">
        <v>266</v>
      </c>
    </row>
    <row r="1693" spans="1:4" x14ac:dyDescent="0.25">
      <c r="A1693" s="41">
        <v>96916</v>
      </c>
      <c r="B1693" s="39" t="s">
        <v>3454</v>
      </c>
      <c r="C1693" s="40">
        <v>4</v>
      </c>
      <c r="D1693" s="38" t="s">
        <v>266</v>
      </c>
    </row>
    <row r="1694" spans="1:4" x14ac:dyDescent="0.25">
      <c r="A1694" s="41">
        <v>96919</v>
      </c>
      <c r="B1694" s="39" t="s">
        <v>3455</v>
      </c>
      <c r="C1694" s="40">
        <v>4</v>
      </c>
      <c r="D1694" s="38" t="s">
        <v>266</v>
      </c>
    </row>
    <row r="1695" spans="1:4" x14ac:dyDescent="0.25">
      <c r="A1695" s="41">
        <v>96933</v>
      </c>
      <c r="B1695" s="39" t="s">
        <v>3456</v>
      </c>
      <c r="C1695" s="40">
        <v>4</v>
      </c>
      <c r="D1695" s="38" t="s">
        <v>266</v>
      </c>
    </row>
    <row r="1696" spans="1:4" x14ac:dyDescent="0.25">
      <c r="A1696" s="41">
        <v>96953</v>
      </c>
      <c r="B1696" s="39" t="s">
        <v>3457</v>
      </c>
      <c r="C1696" s="40">
        <v>4</v>
      </c>
      <c r="D1696" s="38" t="s">
        <v>266</v>
      </c>
    </row>
    <row r="1697" spans="1:4" x14ac:dyDescent="0.25">
      <c r="A1697" s="41">
        <v>96956</v>
      </c>
      <c r="B1697" s="39" t="s">
        <v>3458</v>
      </c>
      <c r="C1697" s="40">
        <v>4</v>
      </c>
      <c r="D1697" s="38" t="s">
        <v>266</v>
      </c>
    </row>
    <row r="1698" spans="1:4" x14ac:dyDescent="0.25">
      <c r="A1698" s="41">
        <v>97000</v>
      </c>
      <c r="B1698" s="39" t="s">
        <v>787</v>
      </c>
      <c r="C1698" s="40">
        <v>3</v>
      </c>
      <c r="D1698" s="38" t="s">
        <v>786</v>
      </c>
    </row>
    <row r="1699" spans="1:4" x14ac:dyDescent="0.25">
      <c r="A1699" s="41">
        <v>97200</v>
      </c>
      <c r="B1699" s="39" t="s">
        <v>793</v>
      </c>
      <c r="C1699" s="40">
        <v>3</v>
      </c>
      <c r="D1699" s="39" t="s">
        <v>792</v>
      </c>
    </row>
    <row r="1700" spans="1:4" x14ac:dyDescent="0.25">
      <c r="A1700" s="41">
        <v>97213</v>
      </c>
      <c r="B1700" s="39" t="s">
        <v>3459</v>
      </c>
      <c r="C1700" s="40">
        <v>4</v>
      </c>
      <c r="D1700" s="38" t="s">
        <v>266</v>
      </c>
    </row>
    <row r="1701" spans="1:4" x14ac:dyDescent="0.25">
      <c r="A1701" s="41">
        <v>97216</v>
      </c>
      <c r="B1701" s="39" t="s">
        <v>3460</v>
      </c>
      <c r="C1701" s="40">
        <v>4</v>
      </c>
      <c r="D1701" s="38" t="s">
        <v>266</v>
      </c>
    </row>
    <row r="1702" spans="1:4" x14ac:dyDescent="0.25">
      <c r="A1702" s="42">
        <v>97216.13</v>
      </c>
      <c r="B1702" s="39" t="s">
        <v>3461</v>
      </c>
      <c r="C1702" s="40">
        <v>5</v>
      </c>
      <c r="D1702" s="38" t="s">
        <v>266</v>
      </c>
    </row>
    <row r="1703" spans="1:4" x14ac:dyDescent="0.25">
      <c r="A1703" s="42">
        <v>97216.16</v>
      </c>
      <c r="B1703" s="39" t="s">
        <v>3462</v>
      </c>
      <c r="C1703" s="40">
        <v>5</v>
      </c>
      <c r="D1703" s="38" t="s">
        <v>266</v>
      </c>
    </row>
    <row r="1704" spans="1:4" x14ac:dyDescent="0.25">
      <c r="A1704" s="41">
        <v>97219</v>
      </c>
      <c r="B1704" s="39" t="s">
        <v>3463</v>
      </c>
      <c r="C1704" s="40">
        <v>4</v>
      </c>
      <c r="D1704" s="38" t="s">
        <v>266</v>
      </c>
    </row>
    <row r="1705" spans="1:4" x14ac:dyDescent="0.25">
      <c r="A1705" s="41">
        <v>97223</v>
      </c>
      <c r="B1705" s="39" t="s">
        <v>3464</v>
      </c>
      <c r="C1705" s="40">
        <v>4</v>
      </c>
      <c r="D1705" s="38" t="s">
        <v>266</v>
      </c>
    </row>
    <row r="1706" spans="1:4" x14ac:dyDescent="0.25">
      <c r="A1706" s="41">
        <v>97300</v>
      </c>
      <c r="B1706" s="39" t="s">
        <v>795</v>
      </c>
      <c r="C1706" s="40">
        <v>3</v>
      </c>
      <c r="D1706" s="38" t="s">
        <v>794</v>
      </c>
    </row>
    <row r="1707" spans="1:4" x14ac:dyDescent="0.25">
      <c r="A1707" s="41">
        <v>97400</v>
      </c>
      <c r="B1707" s="39" t="s">
        <v>3465</v>
      </c>
      <c r="C1707" s="40">
        <v>3</v>
      </c>
      <c r="D1707" s="38" t="s">
        <v>266</v>
      </c>
    </row>
    <row r="1708" spans="1:4" x14ac:dyDescent="0.25">
      <c r="A1708" s="41">
        <v>97413</v>
      </c>
      <c r="B1708" s="39" t="s">
        <v>3466</v>
      </c>
      <c r="C1708" s="40">
        <v>4</v>
      </c>
      <c r="D1708" s="38" t="s">
        <v>266</v>
      </c>
    </row>
    <row r="1709" spans="1:4" x14ac:dyDescent="0.25">
      <c r="A1709" s="41">
        <v>97416</v>
      </c>
      <c r="B1709" s="39" t="s">
        <v>3467</v>
      </c>
      <c r="C1709" s="40">
        <v>4</v>
      </c>
      <c r="D1709" s="38" t="s">
        <v>266</v>
      </c>
    </row>
    <row r="1710" spans="1:4" x14ac:dyDescent="0.25">
      <c r="A1710" s="41">
        <v>97500</v>
      </c>
      <c r="B1710" s="39" t="s">
        <v>797</v>
      </c>
      <c r="C1710" s="40">
        <v>3</v>
      </c>
      <c r="D1710" s="38" t="s">
        <v>796</v>
      </c>
    </row>
    <row r="1711" spans="1:4" x14ac:dyDescent="0.25">
      <c r="A1711" s="41">
        <v>97513</v>
      </c>
      <c r="B1711" s="39" t="s">
        <v>3468</v>
      </c>
      <c r="C1711" s="40">
        <v>4</v>
      </c>
      <c r="D1711" s="38" t="s">
        <v>266</v>
      </c>
    </row>
    <row r="1712" spans="1:4" x14ac:dyDescent="0.25">
      <c r="A1712" s="41">
        <v>97519</v>
      </c>
      <c r="B1712" s="39" t="s">
        <v>3469</v>
      </c>
      <c r="C1712" s="40">
        <v>4</v>
      </c>
      <c r="D1712" s="38" t="s">
        <v>266</v>
      </c>
    </row>
    <row r="1713" spans="1:4" x14ac:dyDescent="0.25">
      <c r="A1713" s="41">
        <v>97600</v>
      </c>
      <c r="B1713" s="39" t="s">
        <v>3470</v>
      </c>
      <c r="C1713" s="40">
        <v>3</v>
      </c>
      <c r="D1713" s="38" t="s">
        <v>266</v>
      </c>
    </row>
    <row r="1714" spans="1:4" x14ac:dyDescent="0.25">
      <c r="A1714" s="41">
        <v>97700</v>
      </c>
      <c r="B1714" s="39" t="s">
        <v>799</v>
      </c>
      <c r="C1714" s="40">
        <v>3</v>
      </c>
      <c r="D1714" s="39" t="s">
        <v>798</v>
      </c>
    </row>
    <row r="1715" spans="1:4" x14ac:dyDescent="0.25">
      <c r="A1715" s="41">
        <v>97713</v>
      </c>
      <c r="B1715" s="39" t="s">
        <v>3471</v>
      </c>
      <c r="C1715" s="40">
        <v>4</v>
      </c>
      <c r="D1715" s="38" t="s">
        <v>266</v>
      </c>
    </row>
    <row r="1716" spans="1:4" x14ac:dyDescent="0.25">
      <c r="A1716" s="41">
        <v>97723</v>
      </c>
      <c r="B1716" s="39" t="s">
        <v>3472</v>
      </c>
      <c r="C1716" s="40">
        <v>4</v>
      </c>
      <c r="D1716" s="38" t="s">
        <v>266</v>
      </c>
    </row>
    <row r="1717" spans="1:4" x14ac:dyDescent="0.25">
      <c r="A1717" s="41">
        <v>97753</v>
      </c>
      <c r="B1717" s="39" t="s">
        <v>3473</v>
      </c>
      <c r="C1717" s="40">
        <v>4</v>
      </c>
      <c r="D1717" s="38" t="s">
        <v>266</v>
      </c>
    </row>
    <row r="1718" spans="1:4" x14ac:dyDescent="0.25">
      <c r="A1718" s="41">
        <v>98000</v>
      </c>
      <c r="B1718" s="39" t="s">
        <v>3474</v>
      </c>
      <c r="C1718" s="40">
        <v>3</v>
      </c>
      <c r="D1718" s="38" t="s">
        <v>266</v>
      </c>
    </row>
    <row r="1719" spans="1:4" x14ac:dyDescent="0.25">
      <c r="A1719" s="41">
        <v>98100</v>
      </c>
      <c r="B1719" s="39" t="s">
        <v>3475</v>
      </c>
      <c r="C1719" s="40">
        <v>3</v>
      </c>
      <c r="D1719" s="38" t="s">
        <v>266</v>
      </c>
    </row>
    <row r="1720" spans="1:4" x14ac:dyDescent="0.25">
      <c r="A1720" s="41">
        <v>98113</v>
      </c>
      <c r="B1720" s="39" t="s">
        <v>3476</v>
      </c>
      <c r="C1720" s="40">
        <v>4</v>
      </c>
      <c r="D1720" s="38" t="s">
        <v>266</v>
      </c>
    </row>
    <row r="1721" spans="1:4" x14ac:dyDescent="0.25">
      <c r="A1721" s="41">
        <v>98116</v>
      </c>
      <c r="B1721" s="39" t="s">
        <v>3477</v>
      </c>
      <c r="C1721" s="40">
        <v>4</v>
      </c>
      <c r="D1721" s="38" t="s">
        <v>266</v>
      </c>
    </row>
    <row r="1722" spans="1:4" x14ac:dyDescent="0.25">
      <c r="A1722" s="41">
        <v>98129</v>
      </c>
      <c r="B1722" s="39" t="s">
        <v>3478</v>
      </c>
      <c r="C1722" s="40">
        <v>4</v>
      </c>
      <c r="D1722" s="38" t="s">
        <v>266</v>
      </c>
    </row>
    <row r="1723" spans="1:4" x14ac:dyDescent="0.25">
      <c r="A1723" s="41">
        <v>98300</v>
      </c>
      <c r="B1723" s="39" t="s">
        <v>3479</v>
      </c>
      <c r="C1723" s="40">
        <v>3</v>
      </c>
      <c r="D1723" s="38" t="s">
        <v>266</v>
      </c>
    </row>
    <row r="1724" spans="1:4" x14ac:dyDescent="0.25">
      <c r="A1724" s="41">
        <v>98313</v>
      </c>
      <c r="B1724" s="39" t="s">
        <v>3480</v>
      </c>
      <c r="C1724" s="40">
        <v>4</v>
      </c>
      <c r="D1724" s="38" t="s">
        <v>266</v>
      </c>
    </row>
    <row r="1725" spans="1:4" x14ac:dyDescent="0.25">
      <c r="A1725" s="41">
        <v>98316</v>
      </c>
      <c r="B1725" s="39" t="s">
        <v>3481</v>
      </c>
      <c r="C1725" s="40">
        <v>4</v>
      </c>
      <c r="D1725" s="38" t="s">
        <v>266</v>
      </c>
    </row>
    <row r="1726" spans="1:4" x14ac:dyDescent="0.25">
      <c r="A1726" s="41">
        <v>98322</v>
      </c>
      <c r="B1726" s="39" t="s">
        <v>3482</v>
      </c>
      <c r="C1726" s="40">
        <v>4</v>
      </c>
      <c r="D1726" s="38" t="s">
        <v>266</v>
      </c>
    </row>
    <row r="1727" spans="1:4" x14ac:dyDescent="0.25">
      <c r="A1727" s="41">
        <v>98400</v>
      </c>
      <c r="B1727" s="39" t="s">
        <v>3483</v>
      </c>
      <c r="C1727" s="40">
        <v>3</v>
      </c>
      <c r="D1727" s="38" t="s">
        <v>266</v>
      </c>
    </row>
    <row r="1728" spans="1:4" x14ac:dyDescent="0.25">
      <c r="A1728" s="41">
        <v>98413</v>
      </c>
      <c r="B1728" s="39" t="s">
        <v>3484</v>
      </c>
      <c r="C1728" s="40">
        <v>4</v>
      </c>
      <c r="D1728" s="38" t="s">
        <v>266</v>
      </c>
    </row>
    <row r="1729" spans="1:4" x14ac:dyDescent="0.25">
      <c r="A1729" s="41">
        <v>98414</v>
      </c>
      <c r="B1729" s="39" t="s">
        <v>3485</v>
      </c>
      <c r="C1729" s="40">
        <v>4</v>
      </c>
      <c r="D1729" s="38" t="s">
        <v>266</v>
      </c>
    </row>
    <row r="1730" spans="1:4" x14ac:dyDescent="0.25">
      <c r="A1730" s="41">
        <v>98416</v>
      </c>
      <c r="B1730" s="39" t="s">
        <v>3486</v>
      </c>
      <c r="C1730" s="40">
        <v>4</v>
      </c>
      <c r="D1730" s="38" t="s">
        <v>266</v>
      </c>
    </row>
    <row r="1731" spans="1:4" x14ac:dyDescent="0.25">
      <c r="A1731" s="41">
        <v>98423</v>
      </c>
      <c r="B1731" s="39" t="s">
        <v>3487</v>
      </c>
      <c r="C1731" s="40">
        <v>4</v>
      </c>
      <c r="D1731" s="38" t="s">
        <v>266</v>
      </c>
    </row>
    <row r="1732" spans="1:4" x14ac:dyDescent="0.25">
      <c r="A1732" s="41">
        <v>98426</v>
      </c>
      <c r="B1732" s="39" t="s">
        <v>3488</v>
      </c>
      <c r="C1732" s="40">
        <v>4</v>
      </c>
      <c r="D1732" s="38" t="s">
        <v>266</v>
      </c>
    </row>
    <row r="1733" spans="1:4" x14ac:dyDescent="0.25">
      <c r="A1733" s="41">
        <v>98433</v>
      </c>
      <c r="B1733" s="39" t="s">
        <v>3489</v>
      </c>
      <c r="C1733" s="40">
        <v>4</v>
      </c>
      <c r="D1733" s="38" t="s">
        <v>266</v>
      </c>
    </row>
    <row r="1734" spans="1:4" x14ac:dyDescent="0.25">
      <c r="A1734" s="41">
        <v>98436</v>
      </c>
      <c r="B1734" s="39" t="s">
        <v>3490</v>
      </c>
      <c r="C1734" s="40">
        <v>4</v>
      </c>
      <c r="D1734" s="38" t="s">
        <v>266</v>
      </c>
    </row>
    <row r="1735" spans="1:4" x14ac:dyDescent="0.25">
      <c r="A1735" s="41">
        <v>99000</v>
      </c>
      <c r="B1735" s="39" t="s">
        <v>3491</v>
      </c>
      <c r="C1735" s="40">
        <v>3</v>
      </c>
      <c r="D1735" s="38" t="s">
        <v>800</v>
      </c>
    </row>
    <row r="1736" spans="1:4" x14ac:dyDescent="0.25">
      <c r="A1736" s="41">
        <v>99100</v>
      </c>
      <c r="B1736" s="39" t="s">
        <v>3492</v>
      </c>
      <c r="C1736" s="40">
        <v>3</v>
      </c>
      <c r="D1736" s="38" t="s">
        <v>266</v>
      </c>
    </row>
    <row r="1737" spans="1:4" x14ac:dyDescent="0.25">
      <c r="A1737" s="41">
        <v>99113</v>
      </c>
      <c r="B1737" s="39" t="s">
        <v>3493</v>
      </c>
      <c r="C1737" s="40">
        <v>4</v>
      </c>
      <c r="D1737" s="38" t="s">
        <v>266</v>
      </c>
    </row>
    <row r="1738" spans="1:4" x14ac:dyDescent="0.25">
      <c r="A1738" s="41">
        <v>99123</v>
      </c>
      <c r="B1738" s="39" t="s">
        <v>3494</v>
      </c>
      <c r="C1738" s="40">
        <v>4</v>
      </c>
      <c r="D1738" s="38" t="s">
        <v>266</v>
      </c>
    </row>
    <row r="1739" spans="1:4" x14ac:dyDescent="0.25">
      <c r="A1739" s="41">
        <v>99300</v>
      </c>
      <c r="B1739" s="39" t="s">
        <v>3495</v>
      </c>
      <c r="C1739" s="40">
        <v>3</v>
      </c>
      <c r="D1739" s="38" t="s">
        <v>266</v>
      </c>
    </row>
    <row r="1740" spans="1:4" x14ac:dyDescent="0.25">
      <c r="A1740" s="41">
        <v>99313</v>
      </c>
      <c r="B1740" s="39" t="s">
        <v>3496</v>
      </c>
      <c r="C1740" s="40">
        <v>4</v>
      </c>
      <c r="D1740" s="38" t="s">
        <v>266</v>
      </c>
    </row>
    <row r="1741" spans="1:4" x14ac:dyDescent="0.25">
      <c r="A1741" s="42">
        <v>99313.13</v>
      </c>
      <c r="B1741" s="39" t="s">
        <v>3497</v>
      </c>
      <c r="C1741" s="40">
        <v>5</v>
      </c>
      <c r="D1741" s="38" t="s">
        <v>266</v>
      </c>
    </row>
    <row r="1742" spans="1:4" x14ac:dyDescent="0.25">
      <c r="A1742" s="42">
        <v>99313.53</v>
      </c>
      <c r="B1742" s="39" t="s">
        <v>3498</v>
      </c>
      <c r="C1742" s="40">
        <v>5</v>
      </c>
      <c r="D1742" s="38" t="s">
        <v>266</v>
      </c>
    </row>
    <row r="1743" spans="1:4" x14ac:dyDescent="0.25">
      <c r="A1743" s="41">
        <v>99323</v>
      </c>
      <c r="B1743" s="39" t="s">
        <v>3499</v>
      </c>
      <c r="C1743" s="40">
        <v>4</v>
      </c>
      <c r="D1743" s="38" t="s">
        <v>266</v>
      </c>
    </row>
    <row r="1744" spans="1:4" x14ac:dyDescent="0.25">
      <c r="A1744" s="42">
        <v>99323.13</v>
      </c>
      <c r="B1744" s="39" t="s">
        <v>3500</v>
      </c>
      <c r="C1744" s="40">
        <v>5</v>
      </c>
      <c r="D1744" s="38" t="s">
        <v>266</v>
      </c>
    </row>
    <row r="1745" spans="1:4" x14ac:dyDescent="0.25">
      <c r="A1745" s="42">
        <v>99323.53</v>
      </c>
      <c r="B1745" s="39" t="s">
        <v>3501</v>
      </c>
      <c r="C1745" s="40">
        <v>5</v>
      </c>
      <c r="D1745" s="38" t="s">
        <v>266</v>
      </c>
    </row>
    <row r="1746" spans="1:4" x14ac:dyDescent="0.25">
      <c r="A1746" s="41">
        <v>99400</v>
      </c>
      <c r="B1746" s="39" t="s">
        <v>3502</v>
      </c>
      <c r="C1746" s="40">
        <v>3</v>
      </c>
      <c r="D1746" s="38" t="s">
        <v>266</v>
      </c>
    </row>
    <row r="1747" spans="1:4" x14ac:dyDescent="0.25">
      <c r="A1747" s="41">
        <v>99413</v>
      </c>
      <c r="B1747" s="39" t="s">
        <v>3503</v>
      </c>
      <c r="C1747" s="40">
        <v>4</v>
      </c>
      <c r="D1747" s="38" t="s">
        <v>266</v>
      </c>
    </row>
    <row r="1748" spans="1:4" x14ac:dyDescent="0.25">
      <c r="A1748" s="41">
        <v>99416</v>
      </c>
      <c r="B1748" s="39" t="s">
        <v>3504</v>
      </c>
      <c r="C1748" s="40">
        <v>4</v>
      </c>
      <c r="D1748" s="38" t="s">
        <v>266</v>
      </c>
    </row>
    <row r="1749" spans="1:4" x14ac:dyDescent="0.25">
      <c r="A1749" s="41">
        <v>99419</v>
      </c>
      <c r="B1749" s="39" t="s">
        <v>3505</v>
      </c>
      <c r="C1749" s="40">
        <v>4</v>
      </c>
      <c r="D1749" s="38" t="s">
        <v>266</v>
      </c>
    </row>
    <row r="1750" spans="1:4" x14ac:dyDescent="0.25">
      <c r="A1750" s="41">
        <v>99600</v>
      </c>
      <c r="B1750" s="39" t="s">
        <v>3506</v>
      </c>
      <c r="C1750" s="40">
        <v>3</v>
      </c>
      <c r="D1750" s="38" t="s">
        <v>266</v>
      </c>
    </row>
    <row r="1751" spans="1:4" x14ac:dyDescent="0.25">
      <c r="A1751" s="41">
        <v>99613</v>
      </c>
      <c r="B1751" s="39" t="s">
        <v>3507</v>
      </c>
      <c r="C1751" s="40">
        <v>4</v>
      </c>
      <c r="D1751" s="38" t="s">
        <v>266</v>
      </c>
    </row>
    <row r="1752" spans="1:4" x14ac:dyDescent="0.25">
      <c r="A1752" s="41">
        <v>99623</v>
      </c>
      <c r="B1752" s="39" t="s">
        <v>3508</v>
      </c>
      <c r="C1752" s="40">
        <v>4</v>
      </c>
      <c r="D1752" s="38" t="s">
        <v>266</v>
      </c>
    </row>
    <row r="1753" spans="1:4" x14ac:dyDescent="0.25">
      <c r="A1753" s="41">
        <v>99626</v>
      </c>
      <c r="B1753" s="39" t="s">
        <v>3509</v>
      </c>
      <c r="C1753" s="40">
        <v>4</v>
      </c>
      <c r="D1753" s="38" t="s">
        <v>266</v>
      </c>
    </row>
    <row r="1754" spans="1:4" x14ac:dyDescent="0.25">
      <c r="A1754" s="41">
        <v>99633</v>
      </c>
      <c r="B1754" s="39" t="s">
        <v>3510</v>
      </c>
      <c r="C1754" s="40">
        <v>4</v>
      </c>
      <c r="D1754" s="38" t="s">
        <v>266</v>
      </c>
    </row>
    <row r="1755" spans="1:4" x14ac:dyDescent="0.25">
      <c r="A1755" s="41">
        <v>99635</v>
      </c>
      <c r="B1755" s="39" t="s">
        <v>3511</v>
      </c>
      <c r="C1755" s="40">
        <v>4</v>
      </c>
      <c r="D1755" s="38" t="s">
        <v>266</v>
      </c>
    </row>
    <row r="1756" spans="1:4" x14ac:dyDescent="0.25">
      <c r="A1756" s="41">
        <v>99643</v>
      </c>
      <c r="B1756" s="39" t="s">
        <v>3512</v>
      </c>
      <c r="C1756" s="40">
        <v>4</v>
      </c>
      <c r="D1756" s="38" t="s">
        <v>266</v>
      </c>
    </row>
    <row r="1757" spans="1:4" x14ac:dyDescent="0.25">
      <c r="A1757" s="41">
        <v>99646</v>
      </c>
      <c r="B1757" s="39" t="s">
        <v>3513</v>
      </c>
      <c r="C1757" s="40">
        <v>4</v>
      </c>
      <c r="D1757" s="38" t="s">
        <v>266</v>
      </c>
    </row>
    <row r="1758" spans="1:4" x14ac:dyDescent="0.25">
      <c r="A1758" s="41">
        <v>99653</v>
      </c>
      <c r="B1758" s="39" t="s">
        <v>3514</v>
      </c>
      <c r="C1758" s="40">
        <v>4</v>
      </c>
      <c r="D1758" s="38" t="s">
        <v>266</v>
      </c>
    </row>
    <row r="1759" spans="1:4" x14ac:dyDescent="0.25">
      <c r="A1759" s="41">
        <v>99656</v>
      </c>
      <c r="B1759" s="39" t="s">
        <v>3515</v>
      </c>
      <c r="C1759" s="40">
        <v>4</v>
      </c>
      <c r="D1759" s="38" t="s">
        <v>266</v>
      </c>
    </row>
    <row r="1760" spans="1:4" x14ac:dyDescent="0.25">
      <c r="A1760" s="41">
        <v>99659</v>
      </c>
      <c r="B1760" s="39" t="s">
        <v>3516</v>
      </c>
      <c r="C1760" s="40">
        <v>4</v>
      </c>
      <c r="D1760" s="38" t="s">
        <v>266</v>
      </c>
    </row>
    <row r="1761" spans="1:4" x14ac:dyDescent="0.25">
      <c r="A1761" s="41">
        <v>99663</v>
      </c>
      <c r="B1761" s="39" t="s">
        <v>3517</v>
      </c>
      <c r="C1761" s="40">
        <v>4</v>
      </c>
      <c r="D1761" s="38" t="s">
        <v>266</v>
      </c>
    </row>
    <row r="1762" spans="1:4" x14ac:dyDescent="0.25">
      <c r="A1762" s="41">
        <v>99666</v>
      </c>
      <c r="B1762" s="39" t="s">
        <v>3518</v>
      </c>
      <c r="C1762" s="40">
        <v>4</v>
      </c>
      <c r="D1762" s="38" t="s">
        <v>266</v>
      </c>
    </row>
    <row r="1763" spans="1:4" x14ac:dyDescent="0.25">
      <c r="A1763" s="41">
        <v>99700</v>
      </c>
      <c r="B1763" s="39" t="s">
        <v>3519</v>
      </c>
      <c r="C1763" s="40">
        <v>3</v>
      </c>
      <c r="D1763" s="38" t="s">
        <v>266</v>
      </c>
    </row>
    <row r="1764" spans="1:4" x14ac:dyDescent="0.25">
      <c r="A1764" s="41">
        <v>99713</v>
      </c>
      <c r="B1764" s="39" t="s">
        <v>3520</v>
      </c>
      <c r="C1764" s="40">
        <v>4</v>
      </c>
      <c r="D1764" s="38" t="s">
        <v>266</v>
      </c>
    </row>
    <row r="1765" spans="1:4" x14ac:dyDescent="0.25">
      <c r="A1765" s="42">
        <v>99713.13</v>
      </c>
      <c r="B1765" s="39" t="s">
        <v>3521</v>
      </c>
      <c r="C1765" s="40">
        <v>5</v>
      </c>
      <c r="D1765" s="38" t="s">
        <v>266</v>
      </c>
    </row>
    <row r="1766" spans="1:4" x14ac:dyDescent="0.25">
      <c r="A1766" s="42">
        <v>99713.23</v>
      </c>
      <c r="B1766" s="39" t="s">
        <v>3522</v>
      </c>
      <c r="C1766" s="40">
        <v>5</v>
      </c>
      <c r="D1766" s="38" t="s">
        <v>266</v>
      </c>
    </row>
    <row r="1767" spans="1:4" x14ac:dyDescent="0.25">
      <c r="A1767" s="41">
        <v>99723</v>
      </c>
      <c r="B1767" s="39" t="s">
        <v>3523</v>
      </c>
      <c r="C1767" s="40">
        <v>4</v>
      </c>
      <c r="D1767" s="38" t="s">
        <v>266</v>
      </c>
    </row>
    <row r="1768" spans="1:4" x14ac:dyDescent="0.25">
      <c r="A1768" s="41">
        <v>99726</v>
      </c>
      <c r="B1768" s="39" t="s">
        <v>3524</v>
      </c>
      <c r="C1768" s="40">
        <v>4</v>
      </c>
      <c r="D1768" s="38" t="s">
        <v>266</v>
      </c>
    </row>
    <row r="1769" spans="1:4" x14ac:dyDescent="0.25">
      <c r="A1769" s="42">
        <v>99726.13</v>
      </c>
      <c r="B1769" s="39" t="s">
        <v>3525</v>
      </c>
      <c r="C1769" s="40">
        <v>5</v>
      </c>
      <c r="D1769" s="38" t="s">
        <v>266</v>
      </c>
    </row>
    <row r="1770" spans="1:4" x14ac:dyDescent="0.25">
      <c r="A1770" s="42">
        <v>99726.23</v>
      </c>
      <c r="B1770" s="39" t="s">
        <v>3526</v>
      </c>
      <c r="C1770" s="40">
        <v>5</v>
      </c>
      <c r="D1770" s="38" t="s">
        <v>266</v>
      </c>
    </row>
    <row r="1771" spans="1:4" x14ac:dyDescent="0.25">
      <c r="A1771" s="41">
        <v>100000</v>
      </c>
      <c r="B1771" s="39" t="s">
        <v>3527</v>
      </c>
      <c r="C1771" s="40">
        <v>2</v>
      </c>
      <c r="D1771" s="38" t="s">
        <v>266</v>
      </c>
    </row>
    <row r="1772" spans="1:4" x14ac:dyDescent="0.25">
      <c r="A1772" s="41">
        <v>100100</v>
      </c>
      <c r="B1772" s="39" t="s">
        <v>3528</v>
      </c>
      <c r="C1772" s="40">
        <v>3</v>
      </c>
      <c r="D1772" s="38" t="s">
        <v>266</v>
      </c>
    </row>
    <row r="1773" spans="1:4" x14ac:dyDescent="0.25">
      <c r="A1773" s="41">
        <v>100110</v>
      </c>
      <c r="B1773" s="39" t="s">
        <v>3529</v>
      </c>
      <c r="C1773" s="40">
        <v>4</v>
      </c>
      <c r="D1773" s="38" t="s">
        <v>266</v>
      </c>
    </row>
    <row r="1774" spans="1:4" x14ac:dyDescent="0.25">
      <c r="A1774" s="41">
        <v>100120</v>
      </c>
      <c r="B1774" s="39" t="s">
        <v>3530</v>
      </c>
      <c r="C1774" s="40">
        <v>4</v>
      </c>
      <c r="D1774" s="38" t="s">
        <v>266</v>
      </c>
    </row>
    <row r="1775" spans="1:4" x14ac:dyDescent="0.25">
      <c r="A1775" s="41">
        <v>100130</v>
      </c>
      <c r="B1775" s="39" t="s">
        <v>3531</v>
      </c>
      <c r="C1775" s="40">
        <v>4</v>
      </c>
      <c r="D1775" s="38" t="s">
        <v>266</v>
      </c>
    </row>
    <row r="1776" spans="1:4" x14ac:dyDescent="0.25">
      <c r="A1776" s="41">
        <v>100140</v>
      </c>
      <c r="B1776" s="39" t="s">
        <v>3532</v>
      </c>
      <c r="C1776" s="40">
        <v>4</v>
      </c>
      <c r="D1776" s="38" t="s">
        <v>266</v>
      </c>
    </row>
    <row r="1777" spans="1:4" x14ac:dyDescent="0.25">
      <c r="A1777" s="41">
        <v>100150</v>
      </c>
      <c r="B1777" s="39" t="s">
        <v>3533</v>
      </c>
      <c r="C1777" s="40">
        <v>4</v>
      </c>
      <c r="D1777" s="38" t="s">
        <v>266</v>
      </c>
    </row>
    <row r="1778" spans="1:4" x14ac:dyDescent="0.25">
      <c r="A1778" s="41">
        <v>100170</v>
      </c>
      <c r="B1778" s="39" t="s">
        <v>3534</v>
      </c>
      <c r="C1778" s="40">
        <v>4</v>
      </c>
      <c r="D1778" s="38" t="s">
        <v>266</v>
      </c>
    </row>
    <row r="1779" spans="1:4" x14ac:dyDescent="0.25">
      <c r="A1779" s="41">
        <v>100180</v>
      </c>
      <c r="B1779" s="39" t="s">
        <v>3535</v>
      </c>
      <c r="C1779" s="40">
        <v>4</v>
      </c>
      <c r="D1779" s="38" t="s">
        <v>266</v>
      </c>
    </row>
    <row r="1780" spans="1:4" x14ac:dyDescent="0.25">
      <c r="A1780" s="41">
        <v>100500</v>
      </c>
      <c r="B1780" s="39" t="s">
        <v>3536</v>
      </c>
      <c r="C1780" s="40">
        <v>3</v>
      </c>
      <c r="D1780" s="38" t="s">
        <v>266</v>
      </c>
    </row>
    <row r="1781" spans="1:4" x14ac:dyDescent="0.25">
      <c r="A1781" s="41">
        <v>100800</v>
      </c>
      <c r="B1781" s="39" t="s">
        <v>3537</v>
      </c>
      <c r="C1781" s="40">
        <v>3</v>
      </c>
      <c r="D1781" s="38" t="s">
        <v>266</v>
      </c>
    </row>
    <row r="1782" spans="1:4" x14ac:dyDescent="0.25">
      <c r="A1782" s="41">
        <v>101000</v>
      </c>
      <c r="B1782" s="39" t="s">
        <v>764</v>
      </c>
      <c r="C1782" s="40">
        <v>3</v>
      </c>
      <c r="D1782" s="39" t="s">
        <v>763</v>
      </c>
    </row>
    <row r="1783" spans="1:4" x14ac:dyDescent="0.25">
      <c r="A1783" s="41">
        <v>101100</v>
      </c>
      <c r="B1783" s="39" t="s">
        <v>3538</v>
      </c>
      <c r="C1783" s="40">
        <v>3</v>
      </c>
      <c r="D1783" s="38" t="s">
        <v>266</v>
      </c>
    </row>
    <row r="1784" spans="1:4" x14ac:dyDescent="0.25">
      <c r="A1784" s="41">
        <v>101113</v>
      </c>
      <c r="B1784" s="39" t="s">
        <v>3539</v>
      </c>
      <c r="C1784" s="40">
        <v>4</v>
      </c>
      <c r="D1784" s="38" t="s">
        <v>266</v>
      </c>
    </row>
    <row r="1785" spans="1:4" x14ac:dyDescent="0.25">
      <c r="A1785" s="42">
        <v>101113.13</v>
      </c>
      <c r="B1785" s="39" t="s">
        <v>3540</v>
      </c>
      <c r="C1785" s="40">
        <v>5</v>
      </c>
      <c r="D1785" s="38" t="s">
        <v>266</v>
      </c>
    </row>
    <row r="1786" spans="1:4" x14ac:dyDescent="0.25">
      <c r="A1786" s="42">
        <v>101113.23</v>
      </c>
      <c r="B1786" s="39" t="s">
        <v>3541</v>
      </c>
      <c r="C1786" s="40">
        <v>5</v>
      </c>
      <c r="D1786" s="38" t="s">
        <v>266</v>
      </c>
    </row>
    <row r="1787" spans="1:4" x14ac:dyDescent="0.25">
      <c r="A1787" s="42">
        <v>101113.33</v>
      </c>
      <c r="B1787" s="39" t="s">
        <v>3542</v>
      </c>
      <c r="C1787" s="40">
        <v>5</v>
      </c>
      <c r="D1787" s="38" t="s">
        <v>266</v>
      </c>
    </row>
    <row r="1788" spans="1:4" x14ac:dyDescent="0.25">
      <c r="A1788" s="42">
        <v>101113.43</v>
      </c>
      <c r="B1788" s="39" t="s">
        <v>3543</v>
      </c>
      <c r="C1788" s="40">
        <v>5</v>
      </c>
      <c r="D1788" s="38" t="s">
        <v>266</v>
      </c>
    </row>
    <row r="1789" spans="1:4" x14ac:dyDescent="0.25">
      <c r="A1789" s="41">
        <v>101116</v>
      </c>
      <c r="B1789" s="39" t="s">
        <v>3544</v>
      </c>
      <c r="C1789" s="40">
        <v>4</v>
      </c>
      <c r="D1789" s="38" t="s">
        <v>266</v>
      </c>
    </row>
    <row r="1790" spans="1:4" x14ac:dyDescent="0.25">
      <c r="A1790" s="42">
        <v>101116.13</v>
      </c>
      <c r="B1790" s="39" t="s">
        <v>3545</v>
      </c>
      <c r="C1790" s="40">
        <v>5</v>
      </c>
      <c r="D1790" s="38" t="s">
        <v>266</v>
      </c>
    </row>
    <row r="1791" spans="1:4" x14ac:dyDescent="0.25">
      <c r="A1791" s="42">
        <v>101116.23</v>
      </c>
      <c r="B1791" s="39" t="s">
        <v>3546</v>
      </c>
      <c r="C1791" s="40">
        <v>5</v>
      </c>
      <c r="D1791" s="38" t="s">
        <v>266</v>
      </c>
    </row>
    <row r="1792" spans="1:4" x14ac:dyDescent="0.25">
      <c r="A1792" s="42">
        <v>101116.33</v>
      </c>
      <c r="B1792" s="39" t="s">
        <v>3547</v>
      </c>
      <c r="C1792" s="40">
        <v>5</v>
      </c>
      <c r="D1792" s="38" t="s">
        <v>266</v>
      </c>
    </row>
    <row r="1793" spans="1:4" x14ac:dyDescent="0.25">
      <c r="A1793" s="42">
        <v>101116.43</v>
      </c>
      <c r="B1793" s="39" t="s">
        <v>3548</v>
      </c>
      <c r="C1793" s="40">
        <v>5</v>
      </c>
      <c r="D1793" s="38" t="s">
        <v>266</v>
      </c>
    </row>
    <row r="1794" spans="1:4" x14ac:dyDescent="0.25">
      <c r="A1794" s="42">
        <v>101116.53</v>
      </c>
      <c r="B1794" s="39" t="s">
        <v>3549</v>
      </c>
      <c r="C1794" s="40">
        <v>5</v>
      </c>
      <c r="D1794" s="38" t="s">
        <v>266</v>
      </c>
    </row>
    <row r="1795" spans="1:4" x14ac:dyDescent="0.25">
      <c r="A1795" s="41">
        <v>101123</v>
      </c>
      <c r="B1795" s="39" t="s">
        <v>3550</v>
      </c>
      <c r="C1795" s="40">
        <v>4</v>
      </c>
      <c r="D1795" s="38" t="s">
        <v>266</v>
      </c>
    </row>
    <row r="1796" spans="1:4" x14ac:dyDescent="0.25">
      <c r="A1796" s="42">
        <v>101123.13</v>
      </c>
      <c r="B1796" s="39" t="s">
        <v>3551</v>
      </c>
      <c r="C1796" s="40">
        <v>5</v>
      </c>
      <c r="D1796" s="38" t="s">
        <v>266</v>
      </c>
    </row>
    <row r="1797" spans="1:4" x14ac:dyDescent="0.25">
      <c r="A1797" s="42">
        <v>101123.23</v>
      </c>
      <c r="B1797" s="39" t="s">
        <v>3552</v>
      </c>
      <c r="C1797" s="40">
        <v>5</v>
      </c>
      <c r="D1797" s="38" t="s">
        <v>266</v>
      </c>
    </row>
    <row r="1798" spans="1:4" x14ac:dyDescent="0.25">
      <c r="A1798" s="42">
        <v>101123.33</v>
      </c>
      <c r="B1798" s="39" t="s">
        <v>3553</v>
      </c>
      <c r="C1798" s="40">
        <v>5</v>
      </c>
      <c r="D1798" s="38" t="s">
        <v>266</v>
      </c>
    </row>
    <row r="1799" spans="1:4" x14ac:dyDescent="0.25">
      <c r="A1799" s="42">
        <v>101123.43</v>
      </c>
      <c r="B1799" s="39" t="s">
        <v>3554</v>
      </c>
      <c r="C1799" s="40">
        <v>5</v>
      </c>
      <c r="D1799" s="38" t="s">
        <v>266</v>
      </c>
    </row>
    <row r="1800" spans="1:4" x14ac:dyDescent="0.25">
      <c r="A1800" s="41">
        <v>101133</v>
      </c>
      <c r="B1800" s="39" t="s">
        <v>3555</v>
      </c>
      <c r="C1800" s="40">
        <v>4</v>
      </c>
      <c r="D1800" s="38" t="s">
        <v>266</v>
      </c>
    </row>
    <row r="1801" spans="1:4" x14ac:dyDescent="0.25">
      <c r="A1801" s="42">
        <v>101133.13</v>
      </c>
      <c r="B1801" s="39" t="s">
        <v>3556</v>
      </c>
      <c r="C1801" s="40">
        <v>5</v>
      </c>
      <c r="D1801" s="38" t="s">
        <v>266</v>
      </c>
    </row>
    <row r="1802" spans="1:4" x14ac:dyDescent="0.25">
      <c r="A1802" s="42">
        <v>101133.23</v>
      </c>
      <c r="B1802" s="39" t="s">
        <v>3557</v>
      </c>
      <c r="C1802" s="40">
        <v>5</v>
      </c>
      <c r="D1802" s="38" t="s">
        <v>266</v>
      </c>
    </row>
    <row r="1803" spans="1:4" x14ac:dyDescent="0.25">
      <c r="A1803" s="41">
        <v>101136</v>
      </c>
      <c r="B1803" s="39" t="s">
        <v>3558</v>
      </c>
      <c r="C1803" s="40">
        <v>4</v>
      </c>
      <c r="D1803" s="38" t="s">
        <v>266</v>
      </c>
    </row>
    <row r="1804" spans="1:4" x14ac:dyDescent="0.25">
      <c r="A1804" s="41">
        <v>101139</v>
      </c>
      <c r="B1804" s="39" t="s">
        <v>3559</v>
      </c>
      <c r="C1804" s="40">
        <v>4</v>
      </c>
      <c r="D1804" s="38" t="s">
        <v>266</v>
      </c>
    </row>
    <row r="1805" spans="1:4" x14ac:dyDescent="0.25">
      <c r="A1805" s="41">
        <v>101143</v>
      </c>
      <c r="B1805" s="39" t="s">
        <v>3560</v>
      </c>
      <c r="C1805" s="40">
        <v>4</v>
      </c>
      <c r="D1805" s="38" t="s">
        <v>266</v>
      </c>
    </row>
    <row r="1806" spans="1:4" x14ac:dyDescent="0.25">
      <c r="A1806" s="41">
        <v>101146</v>
      </c>
      <c r="B1806" s="39" t="s">
        <v>3561</v>
      </c>
      <c r="C1806" s="40">
        <v>4</v>
      </c>
      <c r="D1806" s="38" t="s">
        <v>266</v>
      </c>
    </row>
    <row r="1807" spans="1:4" x14ac:dyDescent="0.25">
      <c r="A1807" s="41">
        <v>101200</v>
      </c>
      <c r="B1807" s="39" t="s">
        <v>3562</v>
      </c>
      <c r="C1807" s="40">
        <v>3</v>
      </c>
      <c r="D1807" s="38" t="s">
        <v>266</v>
      </c>
    </row>
    <row r="1808" spans="1:4" x14ac:dyDescent="0.25">
      <c r="A1808" s="41">
        <v>101300</v>
      </c>
      <c r="B1808" s="39" t="s">
        <v>3563</v>
      </c>
      <c r="C1808" s="40">
        <v>3</v>
      </c>
      <c r="D1808" s="38" t="s">
        <v>266</v>
      </c>
    </row>
    <row r="1809" spans="1:4" x14ac:dyDescent="0.25">
      <c r="A1809" s="41">
        <v>101313</v>
      </c>
      <c r="B1809" s="39" t="s">
        <v>3564</v>
      </c>
      <c r="C1809" s="40">
        <v>4</v>
      </c>
      <c r="D1809" s="38" t="s">
        <v>266</v>
      </c>
    </row>
    <row r="1810" spans="1:4" x14ac:dyDescent="0.25">
      <c r="A1810" s="41">
        <v>101323</v>
      </c>
      <c r="B1810" s="39" t="s">
        <v>3565</v>
      </c>
      <c r="C1810" s="40">
        <v>4</v>
      </c>
      <c r="D1810" s="38" t="s">
        <v>266</v>
      </c>
    </row>
    <row r="1811" spans="1:4" x14ac:dyDescent="0.25">
      <c r="A1811" s="41">
        <v>101400</v>
      </c>
      <c r="B1811" s="39" t="s">
        <v>3566</v>
      </c>
      <c r="C1811" s="40">
        <v>3</v>
      </c>
      <c r="D1811" s="38" t="s">
        <v>266</v>
      </c>
    </row>
    <row r="1812" spans="1:4" x14ac:dyDescent="0.25">
      <c r="A1812" s="41">
        <v>101416</v>
      </c>
      <c r="B1812" s="39" t="s">
        <v>3567</v>
      </c>
      <c r="C1812" s="40">
        <v>4</v>
      </c>
      <c r="D1812" s="38" t="s">
        <v>266</v>
      </c>
    </row>
    <row r="1813" spans="1:4" x14ac:dyDescent="0.25">
      <c r="A1813" s="41">
        <v>101419</v>
      </c>
      <c r="B1813" s="39" t="s">
        <v>3568</v>
      </c>
      <c r="C1813" s="40">
        <v>4</v>
      </c>
      <c r="D1813" s="38" t="s">
        <v>266</v>
      </c>
    </row>
    <row r="1814" spans="1:4" x14ac:dyDescent="0.25">
      <c r="A1814" s="41">
        <v>101423</v>
      </c>
      <c r="B1814" s="39" t="s">
        <v>3569</v>
      </c>
      <c r="C1814" s="40">
        <v>4</v>
      </c>
      <c r="D1814" s="38" t="s">
        <v>266</v>
      </c>
    </row>
    <row r="1815" spans="1:4" x14ac:dyDescent="0.25">
      <c r="A1815" s="42">
        <v>101423.13</v>
      </c>
      <c r="B1815" s="39" t="s">
        <v>3570</v>
      </c>
      <c r="C1815" s="40">
        <v>5</v>
      </c>
      <c r="D1815" s="38" t="s">
        <v>266</v>
      </c>
    </row>
    <row r="1816" spans="1:4" x14ac:dyDescent="0.25">
      <c r="A1816" s="41">
        <v>101426</v>
      </c>
      <c r="B1816" s="39" t="s">
        <v>3571</v>
      </c>
      <c r="C1816" s="40">
        <v>4</v>
      </c>
      <c r="D1816" s="38" t="s">
        <v>266</v>
      </c>
    </row>
    <row r="1817" spans="1:4" x14ac:dyDescent="0.25">
      <c r="A1817" s="41">
        <v>101433</v>
      </c>
      <c r="B1817" s="39" t="s">
        <v>3572</v>
      </c>
      <c r="C1817" s="40">
        <v>4</v>
      </c>
      <c r="D1817" s="38" t="s">
        <v>266</v>
      </c>
    </row>
    <row r="1818" spans="1:4" x14ac:dyDescent="0.25">
      <c r="A1818" s="41">
        <v>101443</v>
      </c>
      <c r="B1818" s="39" t="s">
        <v>3573</v>
      </c>
      <c r="C1818" s="40">
        <v>4</v>
      </c>
      <c r="D1818" s="38" t="s">
        <v>266</v>
      </c>
    </row>
    <row r="1819" spans="1:4" x14ac:dyDescent="0.25">
      <c r="A1819" s="41">
        <v>101453</v>
      </c>
      <c r="B1819" s="39" t="s">
        <v>3574</v>
      </c>
      <c r="C1819" s="40">
        <v>4</v>
      </c>
      <c r="D1819" s="38" t="s">
        <v>266</v>
      </c>
    </row>
    <row r="1820" spans="1:4" x14ac:dyDescent="0.25">
      <c r="A1820" s="42">
        <v>101453.13</v>
      </c>
      <c r="B1820" s="39" t="s">
        <v>3575</v>
      </c>
      <c r="C1820" s="40">
        <v>5</v>
      </c>
      <c r="D1820" s="38" t="s">
        <v>266</v>
      </c>
    </row>
    <row r="1821" spans="1:4" x14ac:dyDescent="0.25">
      <c r="A1821" s="41">
        <v>101463</v>
      </c>
      <c r="B1821" s="39" t="s">
        <v>3576</v>
      </c>
      <c r="C1821" s="40">
        <v>4</v>
      </c>
      <c r="D1821" s="38" t="s">
        <v>266</v>
      </c>
    </row>
    <row r="1822" spans="1:4" x14ac:dyDescent="0.25">
      <c r="A1822" s="41">
        <v>101464</v>
      </c>
      <c r="B1822" s="39" t="s">
        <v>3577</v>
      </c>
      <c r="C1822" s="40">
        <v>4</v>
      </c>
      <c r="D1822" s="38" t="s">
        <v>266</v>
      </c>
    </row>
    <row r="1823" spans="1:4" x14ac:dyDescent="0.25">
      <c r="A1823" s="41">
        <v>101466</v>
      </c>
      <c r="B1823" s="39" t="s">
        <v>3578</v>
      </c>
      <c r="C1823" s="40">
        <v>4</v>
      </c>
      <c r="D1823" s="38" t="s">
        <v>266</v>
      </c>
    </row>
    <row r="1824" spans="1:4" x14ac:dyDescent="0.25">
      <c r="A1824" s="41">
        <v>101700</v>
      </c>
      <c r="B1824" s="39" t="s">
        <v>3579</v>
      </c>
      <c r="C1824" s="40">
        <v>3</v>
      </c>
      <c r="D1824" s="38" t="s">
        <v>266</v>
      </c>
    </row>
    <row r="1825" spans="1:4" x14ac:dyDescent="0.25">
      <c r="A1825" s="41">
        <v>101713</v>
      </c>
      <c r="B1825" s="39" t="s">
        <v>3580</v>
      </c>
      <c r="C1825" s="40">
        <v>4</v>
      </c>
      <c r="D1825" s="38" t="s">
        <v>266</v>
      </c>
    </row>
    <row r="1826" spans="1:4" x14ac:dyDescent="0.25">
      <c r="A1826" s="41">
        <v>101716</v>
      </c>
      <c r="B1826" s="39" t="s">
        <v>3581</v>
      </c>
      <c r="C1826" s="40">
        <v>4</v>
      </c>
      <c r="D1826" s="38" t="s">
        <v>266</v>
      </c>
    </row>
    <row r="1827" spans="1:4" x14ac:dyDescent="0.25">
      <c r="A1827" s="42">
        <v>101716.13</v>
      </c>
      <c r="B1827" s="39" t="s">
        <v>3582</v>
      </c>
      <c r="C1827" s="40">
        <v>5</v>
      </c>
      <c r="D1827" s="38" t="s">
        <v>266</v>
      </c>
    </row>
    <row r="1828" spans="1:4" x14ac:dyDescent="0.25">
      <c r="A1828" s="42">
        <v>101716.16</v>
      </c>
      <c r="B1828" s="39" t="s">
        <v>3583</v>
      </c>
      <c r="C1828" s="40">
        <v>5</v>
      </c>
      <c r="D1828" s="38" t="s">
        <v>266</v>
      </c>
    </row>
    <row r="1829" spans="1:4" x14ac:dyDescent="0.25">
      <c r="A1829" s="41">
        <v>101719</v>
      </c>
      <c r="B1829" s="39" t="s">
        <v>3584</v>
      </c>
      <c r="C1829" s="40">
        <v>4</v>
      </c>
      <c r="D1829" s="38" t="s">
        <v>266</v>
      </c>
    </row>
    <row r="1830" spans="1:4" x14ac:dyDescent="0.25">
      <c r="A1830" s="41">
        <v>101800</v>
      </c>
      <c r="B1830" s="39" t="s">
        <v>3585</v>
      </c>
      <c r="C1830" s="40">
        <v>3</v>
      </c>
      <c r="D1830" s="38" t="s">
        <v>266</v>
      </c>
    </row>
    <row r="1831" spans="1:4" x14ac:dyDescent="0.25">
      <c r="A1831" s="41">
        <v>102000</v>
      </c>
      <c r="B1831" s="39" t="s">
        <v>758</v>
      </c>
      <c r="C1831" s="40">
        <v>3</v>
      </c>
      <c r="D1831" s="39" t="s">
        <v>757</v>
      </c>
    </row>
    <row r="1832" spans="1:4" x14ac:dyDescent="0.25">
      <c r="A1832" s="41">
        <v>102100</v>
      </c>
      <c r="B1832" s="39" t="s">
        <v>766</v>
      </c>
      <c r="C1832" s="40">
        <v>3</v>
      </c>
      <c r="D1832" s="39" t="s">
        <v>765</v>
      </c>
    </row>
    <row r="1833" spans="1:4" x14ac:dyDescent="0.25">
      <c r="A1833" s="41">
        <v>102113</v>
      </c>
      <c r="B1833" s="39" t="s">
        <v>3586</v>
      </c>
      <c r="C1833" s="40">
        <v>4</v>
      </c>
      <c r="D1833" s="38" t="s">
        <v>266</v>
      </c>
    </row>
    <row r="1834" spans="1:4" x14ac:dyDescent="0.25">
      <c r="A1834" s="42">
        <v>102113.13</v>
      </c>
      <c r="B1834" s="39" t="s">
        <v>3587</v>
      </c>
      <c r="C1834" s="40">
        <v>5</v>
      </c>
      <c r="D1834" s="38" t="s">
        <v>266</v>
      </c>
    </row>
    <row r="1835" spans="1:4" x14ac:dyDescent="0.25">
      <c r="A1835" s="42">
        <v>102113.16</v>
      </c>
      <c r="B1835" s="39" t="s">
        <v>3588</v>
      </c>
      <c r="C1835" s="40">
        <v>5</v>
      </c>
      <c r="D1835" s="38" t="s">
        <v>266</v>
      </c>
    </row>
    <row r="1836" spans="1:4" x14ac:dyDescent="0.25">
      <c r="A1836" s="42">
        <v>102113.19</v>
      </c>
      <c r="B1836" s="39" t="s">
        <v>3589</v>
      </c>
      <c r="C1836" s="40">
        <v>5</v>
      </c>
      <c r="D1836" s="38" t="s">
        <v>266</v>
      </c>
    </row>
    <row r="1837" spans="1:4" x14ac:dyDescent="0.25">
      <c r="A1837" s="42">
        <v>102113.23</v>
      </c>
      <c r="B1837" s="39" t="s">
        <v>3590</v>
      </c>
      <c r="C1837" s="40">
        <v>5</v>
      </c>
      <c r="D1837" s="38" t="s">
        <v>266</v>
      </c>
    </row>
    <row r="1838" spans="1:4" x14ac:dyDescent="0.25">
      <c r="A1838" s="42">
        <v>102113.4</v>
      </c>
      <c r="B1838" s="39" t="s">
        <v>3591</v>
      </c>
      <c r="C1838" s="40">
        <v>5</v>
      </c>
      <c r="D1838" s="38" t="s">
        <v>266</v>
      </c>
    </row>
    <row r="1839" spans="1:4" x14ac:dyDescent="0.25">
      <c r="A1839" s="41">
        <v>102116</v>
      </c>
      <c r="B1839" s="39" t="s">
        <v>3592</v>
      </c>
      <c r="C1839" s="40">
        <v>4</v>
      </c>
      <c r="D1839" s="38" t="s">
        <v>266</v>
      </c>
    </row>
    <row r="1840" spans="1:4" x14ac:dyDescent="0.25">
      <c r="A1840" s="42">
        <v>102116.13</v>
      </c>
      <c r="B1840" s="39" t="s">
        <v>3593</v>
      </c>
      <c r="C1840" s="40">
        <v>5</v>
      </c>
      <c r="D1840" s="38" t="s">
        <v>266</v>
      </c>
    </row>
    <row r="1841" spans="1:4" x14ac:dyDescent="0.25">
      <c r="A1841" s="42">
        <v>102116.16</v>
      </c>
      <c r="B1841" s="39" t="s">
        <v>3594</v>
      </c>
      <c r="C1841" s="40">
        <v>5</v>
      </c>
      <c r="D1841" s="38" t="s">
        <v>266</v>
      </c>
    </row>
    <row r="1842" spans="1:4" x14ac:dyDescent="0.25">
      <c r="A1842" s="42">
        <v>102116.19</v>
      </c>
      <c r="B1842" s="39" t="s">
        <v>3595</v>
      </c>
      <c r="C1842" s="40">
        <v>5</v>
      </c>
      <c r="D1842" s="38" t="s">
        <v>266</v>
      </c>
    </row>
    <row r="1843" spans="1:4" x14ac:dyDescent="0.25">
      <c r="A1843" s="42">
        <v>102116.23</v>
      </c>
      <c r="B1843" s="39" t="s">
        <v>3596</v>
      </c>
      <c r="C1843" s="40">
        <v>5</v>
      </c>
      <c r="D1843" s="38" t="s">
        <v>266</v>
      </c>
    </row>
    <row r="1844" spans="1:4" x14ac:dyDescent="0.25">
      <c r="A1844" s="42">
        <v>102116.4</v>
      </c>
      <c r="B1844" s="39" t="s">
        <v>3597</v>
      </c>
      <c r="C1844" s="40">
        <v>5</v>
      </c>
      <c r="D1844" s="38" t="s">
        <v>266</v>
      </c>
    </row>
    <row r="1845" spans="1:4" x14ac:dyDescent="0.25">
      <c r="A1845" s="41">
        <v>102123</v>
      </c>
      <c r="B1845" s="39" t="s">
        <v>3598</v>
      </c>
      <c r="C1845" s="40">
        <v>4</v>
      </c>
      <c r="D1845" s="38" t="s">
        <v>266</v>
      </c>
    </row>
    <row r="1846" spans="1:4" x14ac:dyDescent="0.25">
      <c r="A1846" s="42">
        <v>102123.13</v>
      </c>
      <c r="B1846" s="39" t="s">
        <v>3599</v>
      </c>
      <c r="C1846" s="40">
        <v>5</v>
      </c>
      <c r="D1846" s="38" t="s">
        <v>266</v>
      </c>
    </row>
    <row r="1847" spans="1:4" x14ac:dyDescent="0.25">
      <c r="A1847" s="42">
        <v>102123.16</v>
      </c>
      <c r="B1847" s="39" t="s">
        <v>3600</v>
      </c>
      <c r="C1847" s="40">
        <v>5</v>
      </c>
      <c r="D1847" s="38" t="s">
        <v>266</v>
      </c>
    </row>
    <row r="1848" spans="1:4" x14ac:dyDescent="0.25">
      <c r="A1848" s="41">
        <v>102200</v>
      </c>
      <c r="B1848" s="39" t="s">
        <v>3601</v>
      </c>
      <c r="C1848" s="40">
        <v>3</v>
      </c>
      <c r="D1848" s="38" t="s">
        <v>266</v>
      </c>
    </row>
    <row r="1849" spans="1:4" x14ac:dyDescent="0.25">
      <c r="A1849" s="41">
        <v>102213</v>
      </c>
      <c r="B1849" s="39" t="s">
        <v>3602</v>
      </c>
      <c r="C1849" s="40">
        <v>4</v>
      </c>
      <c r="D1849" s="38" t="s">
        <v>266</v>
      </c>
    </row>
    <row r="1850" spans="1:4" x14ac:dyDescent="0.25">
      <c r="A1850" s="41">
        <v>102214</v>
      </c>
      <c r="B1850" s="39" t="s">
        <v>3603</v>
      </c>
      <c r="C1850" s="40">
        <v>4</v>
      </c>
      <c r="D1850" s="38" t="s">
        <v>266</v>
      </c>
    </row>
    <row r="1851" spans="1:4" x14ac:dyDescent="0.25">
      <c r="A1851" s="41">
        <v>102216</v>
      </c>
      <c r="B1851" s="39" t="s">
        <v>3604</v>
      </c>
      <c r="C1851" s="40">
        <v>4</v>
      </c>
      <c r="D1851" s="38" t="s">
        <v>266</v>
      </c>
    </row>
    <row r="1852" spans="1:4" x14ac:dyDescent="0.25">
      <c r="A1852" s="41">
        <v>102219</v>
      </c>
      <c r="B1852" s="39" t="s">
        <v>3605</v>
      </c>
      <c r="C1852" s="40">
        <v>4</v>
      </c>
      <c r="D1852" s="38" t="s">
        <v>266</v>
      </c>
    </row>
    <row r="1853" spans="1:4" x14ac:dyDescent="0.25">
      <c r="A1853" s="42">
        <v>102219.13</v>
      </c>
      <c r="B1853" s="39" t="s">
        <v>3606</v>
      </c>
      <c r="C1853" s="40">
        <v>5</v>
      </c>
      <c r="D1853" s="38" t="s">
        <v>266</v>
      </c>
    </row>
    <row r="1854" spans="1:4" x14ac:dyDescent="0.25">
      <c r="A1854" s="42">
        <v>102219.23</v>
      </c>
      <c r="B1854" s="39" t="s">
        <v>3607</v>
      </c>
      <c r="C1854" s="40">
        <v>5</v>
      </c>
      <c r="D1854" s="38" t="s">
        <v>266</v>
      </c>
    </row>
    <row r="1855" spans="1:4" x14ac:dyDescent="0.25">
      <c r="A1855" s="42">
        <v>102219.33</v>
      </c>
      <c r="B1855" s="39" t="s">
        <v>3608</v>
      </c>
      <c r="C1855" s="40">
        <v>5</v>
      </c>
      <c r="D1855" s="38" t="s">
        <v>266</v>
      </c>
    </row>
    <row r="1856" spans="1:4" x14ac:dyDescent="0.25">
      <c r="A1856" s="42">
        <v>102219.43</v>
      </c>
      <c r="B1856" s="39" t="s">
        <v>3609</v>
      </c>
      <c r="C1856" s="40">
        <v>5</v>
      </c>
      <c r="D1856" s="38" t="s">
        <v>266</v>
      </c>
    </row>
    <row r="1857" spans="1:4" x14ac:dyDescent="0.25">
      <c r="A1857" s="42">
        <v>102219.53</v>
      </c>
      <c r="B1857" s="39" t="s">
        <v>3610</v>
      </c>
      <c r="C1857" s="40">
        <v>5</v>
      </c>
      <c r="D1857" s="38" t="s">
        <v>266</v>
      </c>
    </row>
    <row r="1858" spans="1:4" x14ac:dyDescent="0.25">
      <c r="A1858" s="41">
        <v>102223</v>
      </c>
      <c r="B1858" s="39" t="s">
        <v>3611</v>
      </c>
      <c r="C1858" s="40">
        <v>4</v>
      </c>
      <c r="D1858" s="38" t="s">
        <v>266</v>
      </c>
    </row>
    <row r="1859" spans="1:4" x14ac:dyDescent="0.25">
      <c r="A1859" s="42">
        <v>102223.13</v>
      </c>
      <c r="B1859" s="39" t="s">
        <v>3612</v>
      </c>
      <c r="C1859" s="40">
        <v>5</v>
      </c>
      <c r="D1859" s="38" t="s">
        <v>266</v>
      </c>
    </row>
    <row r="1860" spans="1:4" x14ac:dyDescent="0.25">
      <c r="A1860" s="42">
        <v>102223.23</v>
      </c>
      <c r="B1860" s="39" t="s">
        <v>3613</v>
      </c>
      <c r="C1860" s="40">
        <v>5</v>
      </c>
      <c r="D1860" s="38" t="s">
        <v>266</v>
      </c>
    </row>
    <row r="1861" spans="1:4" x14ac:dyDescent="0.25">
      <c r="A1861" s="41">
        <v>102233</v>
      </c>
      <c r="B1861" s="39" t="s">
        <v>3614</v>
      </c>
      <c r="C1861" s="40">
        <v>4</v>
      </c>
      <c r="D1861" s="38" t="s">
        <v>266</v>
      </c>
    </row>
    <row r="1862" spans="1:4" x14ac:dyDescent="0.25">
      <c r="A1862" s="41">
        <v>102236</v>
      </c>
      <c r="B1862" s="39" t="s">
        <v>3615</v>
      </c>
      <c r="C1862" s="40">
        <v>4</v>
      </c>
      <c r="D1862" s="38" t="s">
        <v>266</v>
      </c>
    </row>
    <row r="1863" spans="1:4" x14ac:dyDescent="0.25">
      <c r="A1863" s="41">
        <v>102239</v>
      </c>
      <c r="B1863" s="39" t="s">
        <v>3616</v>
      </c>
      <c r="C1863" s="40">
        <v>4</v>
      </c>
      <c r="D1863" s="38" t="s">
        <v>266</v>
      </c>
    </row>
    <row r="1864" spans="1:4" x14ac:dyDescent="0.25">
      <c r="A1864" s="41">
        <v>102243</v>
      </c>
      <c r="B1864" s="39" t="s">
        <v>3617</v>
      </c>
      <c r="C1864" s="40">
        <v>4</v>
      </c>
      <c r="D1864" s="38" t="s">
        <v>266</v>
      </c>
    </row>
    <row r="1865" spans="1:4" x14ac:dyDescent="0.25">
      <c r="A1865" s="41">
        <v>102500</v>
      </c>
      <c r="B1865" s="39" t="s">
        <v>768</v>
      </c>
      <c r="C1865" s="40">
        <v>3</v>
      </c>
      <c r="D1865" s="39" t="s">
        <v>767</v>
      </c>
    </row>
    <row r="1866" spans="1:4" x14ac:dyDescent="0.25">
      <c r="A1866" s="41">
        <v>102513</v>
      </c>
      <c r="B1866" s="39" t="s">
        <v>3618</v>
      </c>
      <c r="C1866" s="40">
        <v>4</v>
      </c>
      <c r="D1866" s="38" t="s">
        <v>266</v>
      </c>
    </row>
    <row r="1867" spans="1:4" x14ac:dyDescent="0.25">
      <c r="A1867" s="41">
        <v>102516</v>
      </c>
      <c r="B1867" s="39" t="s">
        <v>3619</v>
      </c>
      <c r="C1867" s="40">
        <v>4</v>
      </c>
      <c r="D1867" s="38" t="s">
        <v>266</v>
      </c>
    </row>
    <row r="1868" spans="1:4" x14ac:dyDescent="0.25">
      <c r="A1868" s="41">
        <v>102600</v>
      </c>
      <c r="B1868" s="39" t="s">
        <v>770</v>
      </c>
      <c r="C1868" s="40">
        <v>3</v>
      </c>
      <c r="D1868" s="39" t="s">
        <v>769</v>
      </c>
    </row>
    <row r="1869" spans="1:4" x14ac:dyDescent="0.25">
      <c r="A1869" s="41">
        <v>102613</v>
      </c>
      <c r="B1869" s="39" t="s">
        <v>3620</v>
      </c>
      <c r="C1869" s="40">
        <v>4</v>
      </c>
      <c r="D1869" s="38" t="s">
        <v>266</v>
      </c>
    </row>
    <row r="1870" spans="1:4" x14ac:dyDescent="0.25">
      <c r="A1870" s="41">
        <v>102616</v>
      </c>
      <c r="B1870" s="39" t="s">
        <v>3621</v>
      </c>
      <c r="C1870" s="40">
        <v>4</v>
      </c>
      <c r="D1870" s="38" t="s">
        <v>266</v>
      </c>
    </row>
    <row r="1871" spans="1:4" x14ac:dyDescent="0.25">
      <c r="A1871" s="42">
        <v>102616.13</v>
      </c>
      <c r="B1871" s="39" t="s">
        <v>3622</v>
      </c>
      <c r="C1871" s="40">
        <v>5</v>
      </c>
      <c r="D1871" s="38" t="s">
        <v>266</v>
      </c>
    </row>
    <row r="1872" spans="1:4" x14ac:dyDescent="0.25">
      <c r="A1872" s="42">
        <v>102616.16</v>
      </c>
      <c r="B1872" s="39" t="s">
        <v>3623</v>
      </c>
      <c r="C1872" s="40">
        <v>5</v>
      </c>
      <c r="D1872" s="38" t="s">
        <v>266</v>
      </c>
    </row>
    <row r="1873" spans="1:4" x14ac:dyDescent="0.25">
      <c r="A1873" s="41">
        <v>102623</v>
      </c>
      <c r="B1873" s="39" t="s">
        <v>3624</v>
      </c>
      <c r="C1873" s="40">
        <v>4</v>
      </c>
      <c r="D1873" s="38" t="s">
        <v>266</v>
      </c>
    </row>
    <row r="1874" spans="1:4" x14ac:dyDescent="0.25">
      <c r="A1874" s="42">
        <v>102623.13</v>
      </c>
      <c r="B1874" s="39" t="s">
        <v>3625</v>
      </c>
      <c r="C1874" s="40">
        <v>5</v>
      </c>
      <c r="D1874" s="38" t="s">
        <v>266</v>
      </c>
    </row>
    <row r="1875" spans="1:4" x14ac:dyDescent="0.25">
      <c r="A1875" s="41">
        <v>102633</v>
      </c>
      <c r="B1875" s="39" t="s">
        <v>3626</v>
      </c>
      <c r="C1875" s="40">
        <v>4</v>
      </c>
      <c r="D1875" s="38" t="s">
        <v>266</v>
      </c>
    </row>
    <row r="1876" spans="1:4" x14ac:dyDescent="0.25">
      <c r="A1876" s="41">
        <v>102641</v>
      </c>
      <c r="B1876" s="39" t="s">
        <v>3627</v>
      </c>
      <c r="C1876" s="40">
        <v>4</v>
      </c>
      <c r="D1876" s="38" t="s">
        <v>266</v>
      </c>
    </row>
    <row r="1877" spans="1:4" x14ac:dyDescent="0.25">
      <c r="A1877" s="41">
        <v>102800</v>
      </c>
      <c r="B1877" s="39" t="s">
        <v>772</v>
      </c>
      <c r="C1877" s="40">
        <v>3</v>
      </c>
      <c r="D1877" s="38" t="s">
        <v>771</v>
      </c>
    </row>
    <row r="1878" spans="1:4" x14ac:dyDescent="0.25">
      <c r="A1878" s="41">
        <v>102813</v>
      </c>
      <c r="B1878" s="39" t="s">
        <v>3628</v>
      </c>
      <c r="C1878" s="40">
        <v>4</v>
      </c>
      <c r="D1878" s="38" t="s">
        <v>266</v>
      </c>
    </row>
    <row r="1879" spans="1:4" x14ac:dyDescent="0.25">
      <c r="A1879" s="42">
        <v>102813.13</v>
      </c>
      <c r="B1879" s="39" t="s">
        <v>3629</v>
      </c>
      <c r="C1879" s="40">
        <v>5</v>
      </c>
      <c r="D1879" s="38" t="s">
        <v>266</v>
      </c>
    </row>
    <row r="1880" spans="1:4" x14ac:dyDescent="0.25">
      <c r="A1880" s="42">
        <v>102813.19</v>
      </c>
      <c r="B1880" s="39" t="s">
        <v>3630</v>
      </c>
      <c r="C1880" s="40">
        <v>5</v>
      </c>
      <c r="D1880" s="38" t="s">
        <v>266</v>
      </c>
    </row>
    <row r="1881" spans="1:4" x14ac:dyDescent="0.25">
      <c r="A1881" s="42">
        <v>102813.53</v>
      </c>
      <c r="B1881" s="39" t="s">
        <v>3631</v>
      </c>
      <c r="C1881" s="40">
        <v>5</v>
      </c>
      <c r="D1881" s="38" t="s">
        <v>266</v>
      </c>
    </row>
    <row r="1882" spans="1:4" x14ac:dyDescent="0.25">
      <c r="A1882" s="42">
        <v>102813.63</v>
      </c>
      <c r="B1882" s="39" t="s">
        <v>3632</v>
      </c>
      <c r="C1882" s="40">
        <v>5</v>
      </c>
      <c r="D1882" s="38" t="s">
        <v>266</v>
      </c>
    </row>
    <row r="1883" spans="1:4" x14ac:dyDescent="0.25">
      <c r="A1883" s="41">
        <v>102816</v>
      </c>
      <c r="B1883" s="39" t="s">
        <v>3633</v>
      </c>
      <c r="C1883" s="40">
        <v>4</v>
      </c>
      <c r="D1883" s="38" t="s">
        <v>266</v>
      </c>
    </row>
    <row r="1884" spans="1:4" x14ac:dyDescent="0.25">
      <c r="A1884" s="42">
        <v>102816.13</v>
      </c>
      <c r="B1884" s="39" t="s">
        <v>3634</v>
      </c>
      <c r="C1884" s="40">
        <v>5</v>
      </c>
      <c r="D1884" s="38" t="s">
        <v>266</v>
      </c>
    </row>
    <row r="1885" spans="1:4" x14ac:dyDescent="0.25">
      <c r="A1885" s="41">
        <v>102819</v>
      </c>
      <c r="B1885" s="39" t="s">
        <v>3635</v>
      </c>
      <c r="C1885" s="40">
        <v>4</v>
      </c>
      <c r="D1885" s="38" t="s">
        <v>266</v>
      </c>
    </row>
    <row r="1886" spans="1:4" x14ac:dyDescent="0.25">
      <c r="A1886" s="42">
        <v>102819.16</v>
      </c>
      <c r="B1886" s="39" t="s">
        <v>3636</v>
      </c>
      <c r="C1886" s="40">
        <v>5</v>
      </c>
      <c r="D1886" s="38" t="s">
        <v>266</v>
      </c>
    </row>
    <row r="1887" spans="1:4" x14ac:dyDescent="0.25">
      <c r="A1887" s="42">
        <v>102819.19</v>
      </c>
      <c r="B1887" s="39" t="s">
        <v>3637</v>
      </c>
      <c r="C1887" s="40">
        <v>5</v>
      </c>
      <c r="D1887" s="38" t="s">
        <v>266</v>
      </c>
    </row>
    <row r="1888" spans="1:4" x14ac:dyDescent="0.25">
      <c r="A1888" s="41">
        <v>102823</v>
      </c>
      <c r="B1888" s="39" t="s">
        <v>3638</v>
      </c>
      <c r="C1888" s="40">
        <v>4</v>
      </c>
      <c r="D1888" s="38" t="s">
        <v>266</v>
      </c>
    </row>
    <row r="1889" spans="1:4" x14ac:dyDescent="0.25">
      <c r="A1889" s="42">
        <v>102823.13</v>
      </c>
      <c r="B1889" s="39" t="s">
        <v>3639</v>
      </c>
      <c r="C1889" s="40">
        <v>5</v>
      </c>
      <c r="D1889" s="38" t="s">
        <v>266</v>
      </c>
    </row>
    <row r="1890" spans="1:4" x14ac:dyDescent="0.25">
      <c r="A1890" s="42">
        <v>102823.16</v>
      </c>
      <c r="B1890" s="39" t="s">
        <v>3640</v>
      </c>
      <c r="C1890" s="40">
        <v>5</v>
      </c>
      <c r="D1890" s="38" t="s">
        <v>266</v>
      </c>
    </row>
    <row r="1891" spans="1:4" x14ac:dyDescent="0.25">
      <c r="A1891" s="41">
        <v>103000</v>
      </c>
      <c r="B1891" s="39" t="s">
        <v>777</v>
      </c>
      <c r="C1891" s="40">
        <v>3</v>
      </c>
      <c r="D1891" s="39" t="s">
        <v>776</v>
      </c>
    </row>
    <row r="1892" spans="1:4" x14ac:dyDescent="0.25">
      <c r="A1892" s="41">
        <v>103100</v>
      </c>
      <c r="B1892" s="39" t="s">
        <v>3641</v>
      </c>
      <c r="C1892" s="40">
        <v>3</v>
      </c>
      <c r="D1892" s="38" t="s">
        <v>266</v>
      </c>
    </row>
    <row r="1893" spans="1:4" x14ac:dyDescent="0.25">
      <c r="A1893" s="41">
        <v>103113</v>
      </c>
      <c r="B1893" s="39" t="s">
        <v>3642</v>
      </c>
      <c r="C1893" s="40">
        <v>4</v>
      </c>
      <c r="D1893" s="38" t="s">
        <v>266</v>
      </c>
    </row>
    <row r="1894" spans="1:4" x14ac:dyDescent="0.25">
      <c r="A1894" s="41">
        <v>103116</v>
      </c>
      <c r="B1894" s="39" t="s">
        <v>3643</v>
      </c>
      <c r="C1894" s="40">
        <v>4</v>
      </c>
      <c r="D1894" s="38" t="s">
        <v>266</v>
      </c>
    </row>
    <row r="1895" spans="1:4" x14ac:dyDescent="0.25">
      <c r="A1895" s="41">
        <v>103200</v>
      </c>
      <c r="B1895" s="39" t="s">
        <v>3644</v>
      </c>
      <c r="C1895" s="40">
        <v>3</v>
      </c>
      <c r="D1895" s="38" t="s">
        <v>266</v>
      </c>
    </row>
    <row r="1896" spans="1:4" x14ac:dyDescent="0.25">
      <c r="A1896" s="41">
        <v>103213</v>
      </c>
      <c r="B1896" s="39" t="s">
        <v>3645</v>
      </c>
      <c r="C1896" s="40">
        <v>4</v>
      </c>
      <c r="D1896" s="38" t="s">
        <v>266</v>
      </c>
    </row>
    <row r="1897" spans="1:4" x14ac:dyDescent="0.25">
      <c r="A1897" s="41">
        <v>103216</v>
      </c>
      <c r="B1897" s="39" t="s">
        <v>3646</v>
      </c>
      <c r="C1897" s="40">
        <v>4</v>
      </c>
      <c r="D1897" s="38" t="s">
        <v>266</v>
      </c>
    </row>
    <row r="1898" spans="1:4" x14ac:dyDescent="0.25">
      <c r="A1898" s="41">
        <v>103219</v>
      </c>
      <c r="B1898" s="39" t="s">
        <v>3647</v>
      </c>
      <c r="C1898" s="40">
        <v>4</v>
      </c>
      <c r="D1898" s="38" t="s">
        <v>266</v>
      </c>
    </row>
    <row r="1899" spans="1:4" x14ac:dyDescent="0.25">
      <c r="A1899" s="41">
        <v>103223</v>
      </c>
      <c r="B1899" s="39" t="s">
        <v>3648</v>
      </c>
      <c r="C1899" s="40">
        <v>4</v>
      </c>
      <c r="D1899" s="38" t="s">
        <v>266</v>
      </c>
    </row>
    <row r="1900" spans="1:4" x14ac:dyDescent="0.25">
      <c r="A1900" s="41">
        <v>103226</v>
      </c>
      <c r="B1900" s="39" t="s">
        <v>3649</v>
      </c>
      <c r="C1900" s="40">
        <v>4</v>
      </c>
      <c r="D1900" s="38" t="s">
        <v>266</v>
      </c>
    </row>
    <row r="1901" spans="1:4" x14ac:dyDescent="0.25">
      <c r="A1901" s="41">
        <v>103500</v>
      </c>
      <c r="B1901" s="39" t="s">
        <v>3650</v>
      </c>
      <c r="C1901" s="40">
        <v>3</v>
      </c>
      <c r="D1901" s="38" t="s">
        <v>266</v>
      </c>
    </row>
    <row r="1902" spans="1:4" x14ac:dyDescent="0.25">
      <c r="A1902" s="41">
        <v>103513</v>
      </c>
      <c r="B1902" s="39" t="s">
        <v>3651</v>
      </c>
      <c r="C1902" s="40">
        <v>4</v>
      </c>
      <c r="D1902" s="38" t="s">
        <v>266</v>
      </c>
    </row>
    <row r="1903" spans="1:4" x14ac:dyDescent="0.25">
      <c r="A1903" s="41">
        <v>103523</v>
      </c>
      <c r="B1903" s="39" t="s">
        <v>3652</v>
      </c>
      <c r="C1903" s="40">
        <v>4</v>
      </c>
      <c r="D1903" s="38" t="s">
        <v>266</v>
      </c>
    </row>
    <row r="1904" spans="1:4" x14ac:dyDescent="0.25">
      <c r="A1904" s="41">
        <v>104000</v>
      </c>
      <c r="B1904" s="39" t="s">
        <v>779</v>
      </c>
      <c r="C1904" s="40">
        <v>3</v>
      </c>
      <c r="D1904" s="39" t="s">
        <v>778</v>
      </c>
    </row>
    <row r="1905" spans="1:4" x14ac:dyDescent="0.25">
      <c r="A1905" s="41">
        <v>104100</v>
      </c>
      <c r="B1905" s="39" t="s">
        <v>3653</v>
      </c>
      <c r="C1905" s="40">
        <v>3</v>
      </c>
      <c r="D1905" s="38" t="s">
        <v>266</v>
      </c>
    </row>
    <row r="1906" spans="1:4" x14ac:dyDescent="0.25">
      <c r="A1906" s="41">
        <v>104113</v>
      </c>
      <c r="B1906" s="39" t="s">
        <v>3654</v>
      </c>
      <c r="C1906" s="40">
        <v>4</v>
      </c>
      <c r="D1906" s="38" t="s">
        <v>266</v>
      </c>
    </row>
    <row r="1907" spans="1:4" x14ac:dyDescent="0.25">
      <c r="A1907" s="41">
        <v>104116</v>
      </c>
      <c r="B1907" s="39" t="s">
        <v>3655</v>
      </c>
      <c r="C1907" s="40">
        <v>4</v>
      </c>
      <c r="D1907" s="38" t="s">
        <v>266</v>
      </c>
    </row>
    <row r="1908" spans="1:4" x14ac:dyDescent="0.25">
      <c r="A1908" s="41">
        <v>104300</v>
      </c>
      <c r="B1908" s="39" t="s">
        <v>3656</v>
      </c>
      <c r="C1908" s="40">
        <v>3</v>
      </c>
      <c r="D1908" s="38" t="s">
        <v>266</v>
      </c>
    </row>
    <row r="1909" spans="1:4" x14ac:dyDescent="0.25">
      <c r="A1909" s="41">
        <v>104313</v>
      </c>
      <c r="B1909" s="39" t="s">
        <v>3657</v>
      </c>
      <c r="C1909" s="40">
        <v>4</v>
      </c>
      <c r="D1909" s="38" t="s">
        <v>266</v>
      </c>
    </row>
    <row r="1910" spans="1:4" x14ac:dyDescent="0.25">
      <c r="A1910" s="41">
        <v>104316</v>
      </c>
      <c r="B1910" s="39" t="s">
        <v>3658</v>
      </c>
      <c r="C1910" s="40">
        <v>4</v>
      </c>
      <c r="D1910" s="38" t="s">
        <v>266</v>
      </c>
    </row>
    <row r="1911" spans="1:4" x14ac:dyDescent="0.25">
      <c r="A1911" s="41">
        <v>104321</v>
      </c>
      <c r="B1911" s="39" t="s">
        <v>3659</v>
      </c>
      <c r="C1911" s="40">
        <v>4</v>
      </c>
      <c r="D1911" s="38" t="s">
        <v>266</v>
      </c>
    </row>
    <row r="1912" spans="1:4" x14ac:dyDescent="0.25">
      <c r="A1912" s="41">
        <v>104331</v>
      </c>
      <c r="B1912" s="39" t="s">
        <v>3660</v>
      </c>
      <c r="C1912" s="40">
        <v>4</v>
      </c>
      <c r="D1912" s="38" t="s">
        <v>266</v>
      </c>
    </row>
    <row r="1913" spans="1:4" x14ac:dyDescent="0.25">
      <c r="A1913" s="41">
        <v>104333</v>
      </c>
      <c r="B1913" s="39" t="s">
        <v>1046</v>
      </c>
      <c r="C1913" s="40">
        <v>4</v>
      </c>
      <c r="D1913" s="38" t="s">
        <v>266</v>
      </c>
    </row>
    <row r="1914" spans="1:4" x14ac:dyDescent="0.25">
      <c r="A1914" s="41">
        <v>104400</v>
      </c>
      <c r="B1914" s="39" t="s">
        <v>1040</v>
      </c>
      <c r="C1914" s="40">
        <v>3</v>
      </c>
      <c r="D1914" s="38" t="s">
        <v>1039</v>
      </c>
    </row>
    <row r="1915" spans="1:4" x14ac:dyDescent="0.25">
      <c r="A1915" s="41">
        <v>104413</v>
      </c>
      <c r="B1915" s="39" t="s">
        <v>1042</v>
      </c>
      <c r="C1915" s="40">
        <v>4</v>
      </c>
      <c r="D1915" s="38" t="s">
        <v>1041</v>
      </c>
    </row>
    <row r="1916" spans="1:4" x14ac:dyDescent="0.25">
      <c r="A1916" s="42">
        <v>104413.53</v>
      </c>
      <c r="B1916" s="39" t="s">
        <v>3661</v>
      </c>
      <c r="C1916" s="40">
        <v>5</v>
      </c>
      <c r="D1916" s="38" t="s">
        <v>266</v>
      </c>
    </row>
    <row r="1917" spans="1:4" x14ac:dyDescent="0.25">
      <c r="A1917" s="41">
        <v>104416</v>
      </c>
      <c r="B1917" s="39" t="s">
        <v>1044</v>
      </c>
      <c r="C1917" s="40">
        <v>4</v>
      </c>
      <c r="D1917" s="38" t="s">
        <v>1043</v>
      </c>
    </row>
    <row r="1918" spans="1:4" x14ac:dyDescent="0.25">
      <c r="A1918" s="42">
        <v>104416.13</v>
      </c>
      <c r="B1918" s="39" t="s">
        <v>3662</v>
      </c>
      <c r="C1918" s="40">
        <v>5</v>
      </c>
      <c r="D1918" s="38" t="s">
        <v>266</v>
      </c>
    </row>
    <row r="1919" spans="1:4" x14ac:dyDescent="0.25">
      <c r="A1919" s="42">
        <v>104416.16</v>
      </c>
      <c r="B1919" s="39" t="s">
        <v>3663</v>
      </c>
      <c r="C1919" s="40">
        <v>5</v>
      </c>
      <c r="D1919" s="38" t="s">
        <v>266</v>
      </c>
    </row>
    <row r="1920" spans="1:4" x14ac:dyDescent="0.25">
      <c r="A1920" s="41">
        <v>104443</v>
      </c>
      <c r="B1920" s="39" t="s">
        <v>1048</v>
      </c>
      <c r="C1920" s="40">
        <v>4</v>
      </c>
      <c r="D1920" s="38" t="s">
        <v>1047</v>
      </c>
    </row>
    <row r="1921" spans="1:4" x14ac:dyDescent="0.25">
      <c r="A1921" s="41">
        <v>105000</v>
      </c>
      <c r="B1921" s="39" t="s">
        <v>781</v>
      </c>
      <c r="C1921" s="40">
        <v>3</v>
      </c>
      <c r="D1921" s="39" t="s">
        <v>780</v>
      </c>
    </row>
    <row r="1922" spans="1:4" x14ac:dyDescent="0.25">
      <c r="A1922" s="41">
        <v>105100</v>
      </c>
      <c r="B1922" s="39" t="s">
        <v>3664</v>
      </c>
      <c r="C1922" s="40">
        <v>3</v>
      </c>
      <c r="D1922" s="38" t="s">
        <v>266</v>
      </c>
    </row>
    <row r="1923" spans="1:4" x14ac:dyDescent="0.25">
      <c r="A1923" s="41">
        <v>105113</v>
      </c>
      <c r="B1923" s="39" t="s">
        <v>3665</v>
      </c>
      <c r="C1923" s="40">
        <v>4</v>
      </c>
      <c r="D1923" s="38" t="s">
        <v>266</v>
      </c>
    </row>
    <row r="1924" spans="1:4" x14ac:dyDescent="0.25">
      <c r="A1924" s="41">
        <v>105116</v>
      </c>
      <c r="B1924" s="39" t="s">
        <v>3666</v>
      </c>
      <c r="C1924" s="40">
        <v>4</v>
      </c>
      <c r="D1924" s="38" t="s">
        <v>266</v>
      </c>
    </row>
    <row r="1925" spans="1:4" x14ac:dyDescent="0.25">
      <c r="A1925" s="41">
        <v>105123</v>
      </c>
      <c r="B1925" s="39" t="s">
        <v>3667</v>
      </c>
      <c r="C1925" s="40">
        <v>4</v>
      </c>
      <c r="D1925" s="38" t="s">
        <v>266</v>
      </c>
    </row>
    <row r="1926" spans="1:4" x14ac:dyDescent="0.25">
      <c r="A1926" s="41">
        <v>105126</v>
      </c>
      <c r="B1926" s="39" t="s">
        <v>3668</v>
      </c>
      <c r="C1926" s="40">
        <v>4</v>
      </c>
      <c r="D1926" s="38" t="s">
        <v>266</v>
      </c>
    </row>
    <row r="1927" spans="1:4" x14ac:dyDescent="0.25">
      <c r="A1927" s="42">
        <v>105126.13</v>
      </c>
      <c r="B1927" s="39" t="s">
        <v>3669</v>
      </c>
      <c r="C1927" s="40">
        <v>5</v>
      </c>
      <c r="D1927" s="38" t="s">
        <v>266</v>
      </c>
    </row>
    <row r="1928" spans="1:4" x14ac:dyDescent="0.25">
      <c r="A1928" s="41">
        <v>105129</v>
      </c>
      <c r="B1928" s="39" t="s">
        <v>3670</v>
      </c>
      <c r="C1928" s="40">
        <v>4</v>
      </c>
      <c r="D1928" s="38" t="s">
        <v>266</v>
      </c>
    </row>
    <row r="1929" spans="1:4" x14ac:dyDescent="0.25">
      <c r="A1929" s="41">
        <v>105133</v>
      </c>
      <c r="B1929" s="39" t="s">
        <v>3671</v>
      </c>
      <c r="C1929" s="40">
        <v>4</v>
      </c>
      <c r="D1929" s="38" t="s">
        <v>266</v>
      </c>
    </row>
    <row r="1930" spans="1:4" x14ac:dyDescent="0.25">
      <c r="A1930" s="41">
        <v>105143</v>
      </c>
      <c r="B1930" s="39" t="s">
        <v>3672</v>
      </c>
      <c r="C1930" s="40">
        <v>4</v>
      </c>
      <c r="D1930" s="38" t="s">
        <v>266</v>
      </c>
    </row>
    <row r="1931" spans="1:4" x14ac:dyDescent="0.25">
      <c r="A1931" s="41">
        <v>105153</v>
      </c>
      <c r="B1931" s="39" t="s">
        <v>3673</v>
      </c>
      <c r="C1931" s="40">
        <v>4</v>
      </c>
      <c r="D1931" s="38" t="s">
        <v>266</v>
      </c>
    </row>
    <row r="1932" spans="1:4" x14ac:dyDescent="0.25">
      <c r="A1932" s="41">
        <v>105500</v>
      </c>
      <c r="B1932" s="39" t="s">
        <v>3674</v>
      </c>
      <c r="C1932" s="40">
        <v>3</v>
      </c>
      <c r="D1932" s="38" t="s">
        <v>266</v>
      </c>
    </row>
    <row r="1933" spans="1:4" x14ac:dyDescent="0.25">
      <c r="A1933" s="41">
        <v>105513</v>
      </c>
      <c r="B1933" s="39" t="s">
        <v>3675</v>
      </c>
      <c r="C1933" s="40">
        <v>4</v>
      </c>
      <c r="D1933" s="38" t="s">
        <v>266</v>
      </c>
    </row>
    <row r="1934" spans="1:4" x14ac:dyDescent="0.25">
      <c r="A1934" s="42">
        <v>105513.13</v>
      </c>
      <c r="B1934" s="39" t="s">
        <v>3676</v>
      </c>
      <c r="C1934" s="40">
        <v>5</v>
      </c>
      <c r="D1934" s="38" t="s">
        <v>266</v>
      </c>
    </row>
    <row r="1935" spans="1:4" x14ac:dyDescent="0.25">
      <c r="A1935" s="41">
        <v>105516</v>
      </c>
      <c r="B1935" s="39" t="s">
        <v>3677</v>
      </c>
      <c r="C1935" s="40">
        <v>4</v>
      </c>
      <c r="D1935" s="38" t="s">
        <v>266</v>
      </c>
    </row>
    <row r="1936" spans="1:4" x14ac:dyDescent="0.25">
      <c r="A1936" s="41">
        <v>105519</v>
      </c>
      <c r="B1936" s="39" t="s">
        <v>3678</v>
      </c>
      <c r="C1936" s="40">
        <v>4</v>
      </c>
      <c r="D1936" s="38" t="s">
        <v>266</v>
      </c>
    </row>
    <row r="1937" spans="1:4" x14ac:dyDescent="0.25">
      <c r="A1937" s="41">
        <v>105523</v>
      </c>
      <c r="B1937" s="39" t="s">
        <v>3679</v>
      </c>
      <c r="C1937" s="40">
        <v>4</v>
      </c>
      <c r="D1937" s="38" t="s">
        <v>266</v>
      </c>
    </row>
    <row r="1938" spans="1:4" x14ac:dyDescent="0.25">
      <c r="A1938" s="42">
        <v>105523.13</v>
      </c>
      <c r="B1938" s="39" t="s">
        <v>3680</v>
      </c>
      <c r="C1938" s="40">
        <v>5</v>
      </c>
      <c r="D1938" s="38" t="s">
        <v>266</v>
      </c>
    </row>
    <row r="1939" spans="1:4" x14ac:dyDescent="0.25">
      <c r="A1939" s="42">
        <v>105523.16</v>
      </c>
      <c r="B1939" s="39" t="s">
        <v>3681</v>
      </c>
      <c r="C1939" s="40">
        <v>5</v>
      </c>
      <c r="D1939" s="38" t="s">
        <v>266</v>
      </c>
    </row>
    <row r="1940" spans="1:4" x14ac:dyDescent="0.25">
      <c r="A1940" s="42">
        <v>105523.19</v>
      </c>
      <c r="B1940" s="39" t="s">
        <v>3682</v>
      </c>
      <c r="C1940" s="40">
        <v>5</v>
      </c>
      <c r="D1940" s="38" t="s">
        <v>266</v>
      </c>
    </row>
    <row r="1941" spans="1:4" x14ac:dyDescent="0.25">
      <c r="A1941" s="41">
        <v>105526</v>
      </c>
      <c r="B1941" s="39" t="s">
        <v>3683</v>
      </c>
      <c r="C1941" s="40">
        <v>4</v>
      </c>
      <c r="D1941" s="38" t="s">
        <v>266</v>
      </c>
    </row>
    <row r="1942" spans="1:4" x14ac:dyDescent="0.25">
      <c r="A1942" s="41">
        <v>105533</v>
      </c>
      <c r="B1942" s="39" t="s">
        <v>3684</v>
      </c>
      <c r="C1942" s="40">
        <v>4</v>
      </c>
      <c r="D1942" s="38" t="s">
        <v>266</v>
      </c>
    </row>
    <row r="1943" spans="1:4" x14ac:dyDescent="0.25">
      <c r="A1943" s="41">
        <v>105536</v>
      </c>
      <c r="B1943" s="39" t="s">
        <v>3685</v>
      </c>
      <c r="C1943" s="40">
        <v>4</v>
      </c>
      <c r="D1943" s="38" t="s">
        <v>266</v>
      </c>
    </row>
    <row r="1944" spans="1:4" x14ac:dyDescent="0.25">
      <c r="A1944" s="41">
        <v>105591</v>
      </c>
      <c r="B1944" s="39" t="s">
        <v>3686</v>
      </c>
      <c r="C1944" s="40">
        <v>4</v>
      </c>
      <c r="D1944" s="38" t="s">
        <v>266</v>
      </c>
    </row>
    <row r="1945" spans="1:4" x14ac:dyDescent="0.25">
      <c r="A1945" s="41">
        <v>105600</v>
      </c>
      <c r="B1945" s="39" t="s">
        <v>3687</v>
      </c>
      <c r="C1945" s="40">
        <v>3</v>
      </c>
      <c r="D1945" s="38" t="s">
        <v>266</v>
      </c>
    </row>
    <row r="1946" spans="1:4" x14ac:dyDescent="0.25">
      <c r="A1946" s="41">
        <v>105613</v>
      </c>
      <c r="B1946" s="39" t="s">
        <v>3688</v>
      </c>
      <c r="C1946" s="40">
        <v>4</v>
      </c>
      <c r="D1946" s="38" t="s">
        <v>266</v>
      </c>
    </row>
    <row r="1947" spans="1:4" x14ac:dyDescent="0.25">
      <c r="A1947" s="42">
        <v>105613.13</v>
      </c>
      <c r="B1947" s="39" t="s">
        <v>3689</v>
      </c>
      <c r="C1947" s="40">
        <v>5</v>
      </c>
      <c r="D1947" s="38" t="s">
        <v>266</v>
      </c>
    </row>
    <row r="1948" spans="1:4" x14ac:dyDescent="0.25">
      <c r="A1948" s="42">
        <v>105613.16</v>
      </c>
      <c r="B1948" s="39" t="s">
        <v>3690</v>
      </c>
      <c r="C1948" s="40">
        <v>5</v>
      </c>
      <c r="D1948" s="38" t="s">
        <v>266</v>
      </c>
    </row>
    <row r="1949" spans="1:4" x14ac:dyDescent="0.25">
      <c r="A1949" s="42">
        <v>105613.19</v>
      </c>
      <c r="B1949" s="39" t="s">
        <v>3691</v>
      </c>
      <c r="C1949" s="40">
        <v>5</v>
      </c>
      <c r="D1949" s="38" t="s">
        <v>266</v>
      </c>
    </row>
    <row r="1950" spans="1:4" x14ac:dyDescent="0.25">
      <c r="A1950" s="42">
        <v>105613.23</v>
      </c>
      <c r="B1950" s="39" t="s">
        <v>3692</v>
      </c>
      <c r="C1950" s="40">
        <v>5</v>
      </c>
      <c r="D1950" s="38" t="s">
        <v>266</v>
      </c>
    </row>
    <row r="1951" spans="1:4" x14ac:dyDescent="0.25">
      <c r="A1951" s="41">
        <v>105616</v>
      </c>
      <c r="B1951" s="39" t="s">
        <v>3693</v>
      </c>
      <c r="C1951" s="40">
        <v>4</v>
      </c>
      <c r="D1951" s="38" t="s">
        <v>266</v>
      </c>
    </row>
    <row r="1952" spans="1:4" x14ac:dyDescent="0.25">
      <c r="A1952" s="41">
        <v>105617</v>
      </c>
      <c r="B1952" s="39" t="s">
        <v>3694</v>
      </c>
      <c r="C1952" s="40">
        <v>4</v>
      </c>
      <c r="D1952" s="38" t="s">
        <v>266</v>
      </c>
    </row>
    <row r="1953" spans="1:4" x14ac:dyDescent="0.25">
      <c r="A1953" s="41">
        <v>105619</v>
      </c>
      <c r="B1953" s="39" t="s">
        <v>3695</v>
      </c>
      <c r="C1953" s="40">
        <v>4</v>
      </c>
      <c r="D1953" s="38" t="s">
        <v>266</v>
      </c>
    </row>
    <row r="1954" spans="1:4" x14ac:dyDescent="0.25">
      <c r="A1954" s="42">
        <v>105619.13</v>
      </c>
      <c r="B1954" s="39" t="s">
        <v>3696</v>
      </c>
      <c r="C1954" s="40">
        <v>5</v>
      </c>
      <c r="D1954" s="38" t="s">
        <v>266</v>
      </c>
    </row>
    <row r="1955" spans="1:4" x14ac:dyDescent="0.25">
      <c r="A1955" s="41">
        <v>105623</v>
      </c>
      <c r="B1955" s="39" t="s">
        <v>3697</v>
      </c>
      <c r="C1955" s="40">
        <v>4</v>
      </c>
      <c r="D1955" s="38" t="s">
        <v>266</v>
      </c>
    </row>
    <row r="1956" spans="1:4" x14ac:dyDescent="0.25">
      <c r="A1956" s="41">
        <v>105626</v>
      </c>
      <c r="B1956" s="39" t="s">
        <v>3698</v>
      </c>
      <c r="C1956" s="40">
        <v>4</v>
      </c>
      <c r="D1956" s="38" t="s">
        <v>266</v>
      </c>
    </row>
    <row r="1957" spans="1:4" x14ac:dyDescent="0.25">
      <c r="A1957" s="42">
        <v>105626.13</v>
      </c>
      <c r="B1957" s="39" t="s">
        <v>3699</v>
      </c>
      <c r="C1957" s="40">
        <v>5</v>
      </c>
      <c r="D1957" s="38" t="s">
        <v>266</v>
      </c>
    </row>
    <row r="1958" spans="1:4" x14ac:dyDescent="0.25">
      <c r="A1958" s="42">
        <v>105626.23</v>
      </c>
      <c r="B1958" s="39" t="s">
        <v>3700</v>
      </c>
      <c r="C1958" s="40">
        <v>5</v>
      </c>
      <c r="D1958" s="38" t="s">
        <v>266</v>
      </c>
    </row>
    <row r="1959" spans="1:4" x14ac:dyDescent="0.25">
      <c r="A1959" s="41">
        <v>105629</v>
      </c>
      <c r="B1959" s="39" t="s">
        <v>3701</v>
      </c>
      <c r="C1959" s="40">
        <v>4</v>
      </c>
      <c r="D1959" s="38" t="s">
        <v>266</v>
      </c>
    </row>
    <row r="1960" spans="1:4" x14ac:dyDescent="0.25">
      <c r="A1960" s="42">
        <v>105629.13</v>
      </c>
      <c r="B1960" s="39" t="s">
        <v>3702</v>
      </c>
      <c r="C1960" s="40">
        <v>5</v>
      </c>
      <c r="D1960" s="38" t="s">
        <v>266</v>
      </c>
    </row>
    <row r="1961" spans="1:4" x14ac:dyDescent="0.25">
      <c r="A1961" s="42">
        <v>105629.16</v>
      </c>
      <c r="B1961" s="39" t="s">
        <v>3703</v>
      </c>
      <c r="C1961" s="40">
        <v>5</v>
      </c>
      <c r="D1961" s="38" t="s">
        <v>266</v>
      </c>
    </row>
    <row r="1962" spans="1:4" x14ac:dyDescent="0.25">
      <c r="A1962" s="42">
        <v>105629.19</v>
      </c>
      <c r="B1962" s="39" t="s">
        <v>3704</v>
      </c>
      <c r="C1962" s="40">
        <v>5</v>
      </c>
      <c r="D1962" s="38" t="s">
        <v>266</v>
      </c>
    </row>
    <row r="1963" spans="1:4" x14ac:dyDescent="0.25">
      <c r="A1963" s="42">
        <v>105629.23</v>
      </c>
      <c r="B1963" s="39" t="s">
        <v>3705</v>
      </c>
      <c r="C1963" s="40">
        <v>5</v>
      </c>
      <c r="D1963" s="38" t="s">
        <v>266</v>
      </c>
    </row>
    <row r="1964" spans="1:4" x14ac:dyDescent="0.25">
      <c r="A1964" s="42">
        <v>105629.26</v>
      </c>
      <c r="B1964" s="39" t="s">
        <v>3706</v>
      </c>
      <c r="C1964" s="40">
        <v>5</v>
      </c>
      <c r="D1964" s="38" t="s">
        <v>266</v>
      </c>
    </row>
    <row r="1965" spans="1:4" x14ac:dyDescent="0.25">
      <c r="A1965" s="42">
        <v>105629.29</v>
      </c>
      <c r="B1965" s="39" t="s">
        <v>3707</v>
      </c>
      <c r="C1965" s="40">
        <v>5</v>
      </c>
      <c r="D1965" s="38" t="s">
        <v>266</v>
      </c>
    </row>
    <row r="1966" spans="1:4" x14ac:dyDescent="0.25">
      <c r="A1966" s="42">
        <v>105629.33</v>
      </c>
      <c r="B1966" s="39" t="s">
        <v>3708</v>
      </c>
      <c r="C1966" s="40">
        <v>5</v>
      </c>
      <c r="D1966" s="38" t="s">
        <v>266</v>
      </c>
    </row>
    <row r="1967" spans="1:4" x14ac:dyDescent="0.25">
      <c r="A1967" s="42">
        <v>105629.43</v>
      </c>
      <c r="B1967" s="39" t="s">
        <v>3709</v>
      </c>
      <c r="C1967" s="40">
        <v>5</v>
      </c>
      <c r="D1967" s="38" t="s">
        <v>266</v>
      </c>
    </row>
    <row r="1968" spans="1:4" x14ac:dyDescent="0.25">
      <c r="A1968" s="41">
        <v>105633</v>
      </c>
      <c r="B1968" s="39" t="s">
        <v>3710</v>
      </c>
      <c r="C1968" s="40">
        <v>4</v>
      </c>
      <c r="D1968" s="38" t="s">
        <v>266</v>
      </c>
    </row>
    <row r="1969" spans="1:4" x14ac:dyDescent="0.25">
      <c r="A1969" s="41">
        <v>105700</v>
      </c>
      <c r="B1969" s="39" t="s">
        <v>3711</v>
      </c>
      <c r="C1969" s="40">
        <v>3</v>
      </c>
      <c r="D1969" s="38" t="s">
        <v>266</v>
      </c>
    </row>
    <row r="1970" spans="1:4" x14ac:dyDescent="0.25">
      <c r="A1970" s="41">
        <v>105713</v>
      </c>
      <c r="B1970" s="39" t="s">
        <v>3712</v>
      </c>
      <c r="C1970" s="40">
        <v>4</v>
      </c>
      <c r="D1970" s="38" t="s">
        <v>266</v>
      </c>
    </row>
    <row r="1971" spans="1:4" x14ac:dyDescent="0.25">
      <c r="A1971" s="41">
        <v>105716</v>
      </c>
      <c r="B1971" s="39" t="s">
        <v>3713</v>
      </c>
      <c r="C1971" s="40">
        <v>4</v>
      </c>
      <c r="D1971" s="38" t="s">
        <v>266</v>
      </c>
    </row>
    <row r="1972" spans="1:4" x14ac:dyDescent="0.25">
      <c r="A1972" s="41">
        <v>105723</v>
      </c>
      <c r="B1972" s="39" t="s">
        <v>3714</v>
      </c>
      <c r="C1972" s="40">
        <v>4</v>
      </c>
      <c r="D1972" s="38" t="s">
        <v>266</v>
      </c>
    </row>
    <row r="1973" spans="1:4" x14ac:dyDescent="0.25">
      <c r="A1973" s="42">
        <v>105723.13</v>
      </c>
      <c r="B1973" s="39" t="s">
        <v>3715</v>
      </c>
      <c r="C1973" s="40">
        <v>5</v>
      </c>
      <c r="D1973" s="38" t="s">
        <v>266</v>
      </c>
    </row>
    <row r="1974" spans="1:4" x14ac:dyDescent="0.25">
      <c r="A1974" s="42">
        <v>105723.16</v>
      </c>
      <c r="B1974" s="39" t="s">
        <v>3716</v>
      </c>
      <c r="C1974" s="40">
        <v>5</v>
      </c>
      <c r="D1974" s="38" t="s">
        <v>266</v>
      </c>
    </row>
    <row r="1975" spans="1:4" x14ac:dyDescent="0.25">
      <c r="A1975" s="42">
        <v>105723.19</v>
      </c>
      <c r="B1975" s="39" t="s">
        <v>3717</v>
      </c>
      <c r="C1975" s="40">
        <v>5</v>
      </c>
      <c r="D1975" s="38" t="s">
        <v>266</v>
      </c>
    </row>
    <row r="1976" spans="1:4" x14ac:dyDescent="0.25">
      <c r="A1976" s="41">
        <v>105733</v>
      </c>
      <c r="B1976" s="39" t="s">
        <v>3718</v>
      </c>
      <c r="C1976" s="40">
        <v>4</v>
      </c>
      <c r="D1976" s="38" t="s">
        <v>266</v>
      </c>
    </row>
    <row r="1977" spans="1:4" x14ac:dyDescent="0.25">
      <c r="A1977" s="41">
        <v>107000</v>
      </c>
      <c r="B1977" s="39" t="s">
        <v>3719</v>
      </c>
      <c r="C1977" s="40">
        <v>3</v>
      </c>
      <c r="D1977" s="38" t="s">
        <v>266</v>
      </c>
    </row>
    <row r="1978" spans="1:4" x14ac:dyDescent="0.25">
      <c r="A1978" s="41">
        <v>107100</v>
      </c>
      <c r="B1978" s="39" t="s">
        <v>3720</v>
      </c>
      <c r="C1978" s="40">
        <v>3</v>
      </c>
      <c r="D1978" s="38" t="s">
        <v>266</v>
      </c>
    </row>
    <row r="1979" spans="1:4" x14ac:dyDescent="0.25">
      <c r="A1979" s="41">
        <v>107113</v>
      </c>
      <c r="B1979" s="39" t="s">
        <v>3721</v>
      </c>
      <c r="C1979" s="40">
        <v>4</v>
      </c>
      <c r="D1979" s="38" t="s">
        <v>266</v>
      </c>
    </row>
    <row r="1980" spans="1:4" x14ac:dyDescent="0.25">
      <c r="A1980" s="42">
        <v>107113.13</v>
      </c>
      <c r="B1980" s="39" t="s">
        <v>3722</v>
      </c>
      <c r="C1980" s="40">
        <v>5</v>
      </c>
      <c r="D1980" s="38" t="s">
        <v>266</v>
      </c>
    </row>
    <row r="1981" spans="1:4" x14ac:dyDescent="0.25">
      <c r="A1981" s="42">
        <v>107113.19</v>
      </c>
      <c r="B1981" s="39" t="s">
        <v>3723</v>
      </c>
      <c r="C1981" s="40">
        <v>5</v>
      </c>
      <c r="D1981" s="38" t="s">
        <v>266</v>
      </c>
    </row>
    <row r="1982" spans="1:4" x14ac:dyDescent="0.25">
      <c r="A1982" s="42">
        <v>107113.23</v>
      </c>
      <c r="B1982" s="39" t="s">
        <v>3724</v>
      </c>
      <c r="C1982" s="40">
        <v>5</v>
      </c>
      <c r="D1982" s="38" t="s">
        <v>266</v>
      </c>
    </row>
    <row r="1983" spans="1:4" x14ac:dyDescent="0.25">
      <c r="A1983" s="42">
        <v>107113.26</v>
      </c>
      <c r="B1983" s="39" t="s">
        <v>3725</v>
      </c>
      <c r="C1983" s="40">
        <v>5</v>
      </c>
      <c r="D1983" s="38" t="s">
        <v>266</v>
      </c>
    </row>
    <row r="1984" spans="1:4" x14ac:dyDescent="0.25">
      <c r="A1984" s="42">
        <v>107113.29</v>
      </c>
      <c r="B1984" s="39" t="s">
        <v>3726</v>
      </c>
      <c r="C1984" s="40">
        <v>5</v>
      </c>
      <c r="D1984" s="38" t="s">
        <v>266</v>
      </c>
    </row>
    <row r="1985" spans="1:4" x14ac:dyDescent="0.25">
      <c r="A1985" s="42">
        <v>107113.43</v>
      </c>
      <c r="B1985" s="39" t="s">
        <v>3727</v>
      </c>
      <c r="C1985" s="40">
        <v>5</v>
      </c>
      <c r="D1985" s="38" t="s">
        <v>266</v>
      </c>
    </row>
    <row r="1986" spans="1:4" x14ac:dyDescent="0.25">
      <c r="A1986" s="41">
        <v>107116</v>
      </c>
      <c r="B1986" s="39" t="s">
        <v>3728</v>
      </c>
      <c r="C1986" s="40">
        <v>4</v>
      </c>
      <c r="D1986" s="38" t="s">
        <v>266</v>
      </c>
    </row>
    <row r="1987" spans="1:4" x14ac:dyDescent="0.25">
      <c r="A1987" s="42">
        <v>107116.13</v>
      </c>
      <c r="B1987" s="39" t="s">
        <v>3729</v>
      </c>
      <c r="C1987" s="40">
        <v>5</v>
      </c>
      <c r="D1987" s="38" t="s">
        <v>266</v>
      </c>
    </row>
    <row r="1988" spans="1:4" x14ac:dyDescent="0.25">
      <c r="A1988" s="42">
        <v>107116.16</v>
      </c>
      <c r="B1988" s="39" t="s">
        <v>3730</v>
      </c>
      <c r="C1988" s="40">
        <v>5</v>
      </c>
      <c r="D1988" s="38" t="s">
        <v>266</v>
      </c>
    </row>
    <row r="1989" spans="1:4" x14ac:dyDescent="0.25">
      <c r="A1989" s="41">
        <v>107119</v>
      </c>
      <c r="B1989" s="39" t="s">
        <v>3731</v>
      </c>
      <c r="C1989" s="40">
        <v>4</v>
      </c>
      <c r="D1989" s="38" t="s">
        <v>266</v>
      </c>
    </row>
    <row r="1990" spans="1:4" x14ac:dyDescent="0.25">
      <c r="A1990" s="41">
        <v>107300</v>
      </c>
      <c r="B1990" s="39" t="s">
        <v>3732</v>
      </c>
      <c r="C1990" s="40">
        <v>3</v>
      </c>
      <c r="D1990" s="38" t="s">
        <v>266</v>
      </c>
    </row>
    <row r="1991" spans="1:4" x14ac:dyDescent="0.25">
      <c r="A1991" s="41">
        <v>107313</v>
      </c>
      <c r="B1991" s="39" t="s">
        <v>3733</v>
      </c>
      <c r="C1991" s="40">
        <v>4</v>
      </c>
      <c r="D1991" s="38" t="s">
        <v>266</v>
      </c>
    </row>
    <row r="1992" spans="1:4" x14ac:dyDescent="0.25">
      <c r="A1992" s="41">
        <v>107316</v>
      </c>
      <c r="B1992" s="39" t="s">
        <v>3734</v>
      </c>
      <c r="C1992" s="40">
        <v>4</v>
      </c>
      <c r="D1992" s="38" t="s">
        <v>1334</v>
      </c>
    </row>
    <row r="1993" spans="1:4" x14ac:dyDescent="0.25">
      <c r="A1993" s="41">
        <v>107323</v>
      </c>
      <c r="B1993" s="39" t="s">
        <v>3735</v>
      </c>
      <c r="C1993" s="40">
        <v>4</v>
      </c>
      <c r="D1993" s="38" t="s">
        <v>266</v>
      </c>
    </row>
    <row r="1994" spans="1:4" x14ac:dyDescent="0.25">
      <c r="A1994" s="41">
        <v>107326</v>
      </c>
      <c r="B1994" s="39" t="s">
        <v>3736</v>
      </c>
      <c r="C1994" s="40">
        <v>4</v>
      </c>
      <c r="D1994" s="38" t="s">
        <v>266</v>
      </c>
    </row>
    <row r="1995" spans="1:4" x14ac:dyDescent="0.25">
      <c r="A1995" s="41">
        <v>107333</v>
      </c>
      <c r="B1995" s="39" t="s">
        <v>3737</v>
      </c>
      <c r="C1995" s="40">
        <v>4</v>
      </c>
      <c r="D1995" s="38" t="s">
        <v>266</v>
      </c>
    </row>
    <row r="1996" spans="1:4" x14ac:dyDescent="0.25">
      <c r="A1996" s="41">
        <v>107343</v>
      </c>
      <c r="B1996" s="39" t="s">
        <v>3738</v>
      </c>
      <c r="C1996" s="40">
        <v>4</v>
      </c>
      <c r="D1996" s="38" t="s">
        <v>266</v>
      </c>
    </row>
    <row r="1997" spans="1:4" x14ac:dyDescent="0.25">
      <c r="A1997" s="41">
        <v>107400</v>
      </c>
      <c r="B1997" s="39" t="s">
        <v>3739</v>
      </c>
      <c r="C1997" s="40">
        <v>3</v>
      </c>
      <c r="D1997" s="38" t="s">
        <v>266</v>
      </c>
    </row>
    <row r="1998" spans="1:4" x14ac:dyDescent="0.25">
      <c r="A1998" s="41">
        <v>107413</v>
      </c>
      <c r="B1998" s="39" t="s">
        <v>3740</v>
      </c>
      <c r="C1998" s="40">
        <v>4</v>
      </c>
      <c r="D1998" s="38" t="s">
        <v>266</v>
      </c>
    </row>
    <row r="1999" spans="1:4" x14ac:dyDescent="0.25">
      <c r="A1999" s="41">
        <v>107423</v>
      </c>
      <c r="B1999" s="39" t="s">
        <v>3741</v>
      </c>
      <c r="C1999" s="40">
        <v>4</v>
      </c>
      <c r="D1999" s="38" t="s">
        <v>266</v>
      </c>
    </row>
    <row r="2000" spans="1:4" x14ac:dyDescent="0.25">
      <c r="A2000" s="41">
        <v>107426</v>
      </c>
      <c r="B2000" s="39" t="s">
        <v>3742</v>
      </c>
      <c r="C2000" s="40">
        <v>4</v>
      </c>
      <c r="D2000" s="38" t="s">
        <v>266</v>
      </c>
    </row>
    <row r="2001" spans="1:4" x14ac:dyDescent="0.25">
      <c r="A2001" s="41">
        <v>107429</v>
      </c>
      <c r="B2001" s="39" t="s">
        <v>3743</v>
      </c>
      <c r="C2001" s="40">
        <v>4</v>
      </c>
      <c r="D2001" s="38" t="s">
        <v>266</v>
      </c>
    </row>
    <row r="2002" spans="1:4" x14ac:dyDescent="0.25">
      <c r="A2002" s="41">
        <v>107433</v>
      </c>
      <c r="B2002" s="39" t="s">
        <v>3744</v>
      </c>
      <c r="C2002" s="40">
        <v>4</v>
      </c>
      <c r="D2002" s="38" t="s">
        <v>266</v>
      </c>
    </row>
    <row r="2003" spans="1:4" x14ac:dyDescent="0.25">
      <c r="A2003" s="41">
        <v>107443</v>
      </c>
      <c r="B2003" s="39" t="s">
        <v>3745</v>
      </c>
      <c r="C2003" s="40">
        <v>4</v>
      </c>
      <c r="D2003" s="38" t="s">
        <v>266</v>
      </c>
    </row>
    <row r="2004" spans="1:4" x14ac:dyDescent="0.25">
      <c r="A2004" s="41">
        <v>107446</v>
      </c>
      <c r="B2004" s="39" t="s">
        <v>3746</v>
      </c>
      <c r="C2004" s="40">
        <v>4</v>
      </c>
      <c r="D2004" s="38" t="s">
        <v>266</v>
      </c>
    </row>
    <row r="2005" spans="1:4" x14ac:dyDescent="0.25">
      <c r="A2005" s="41">
        <v>107500</v>
      </c>
      <c r="B2005" s="39" t="s">
        <v>1575</v>
      </c>
      <c r="C2005" s="40">
        <v>3</v>
      </c>
      <c r="D2005" s="39" t="s">
        <v>1574</v>
      </c>
    </row>
    <row r="2006" spans="1:4" x14ac:dyDescent="0.25">
      <c r="A2006" s="41">
        <v>107513</v>
      </c>
      <c r="B2006" s="39" t="s">
        <v>3747</v>
      </c>
      <c r="C2006" s="40">
        <v>4</v>
      </c>
      <c r="D2006" s="38" t="s">
        <v>266</v>
      </c>
    </row>
    <row r="2007" spans="1:4" x14ac:dyDescent="0.25">
      <c r="A2007" s="41">
        <v>107516</v>
      </c>
      <c r="B2007" s="39" t="s">
        <v>3748</v>
      </c>
      <c r="C2007" s="40">
        <v>4</v>
      </c>
      <c r="D2007" s="38" t="s">
        <v>266</v>
      </c>
    </row>
    <row r="2008" spans="1:4" x14ac:dyDescent="0.25">
      <c r="A2008" s="41">
        <v>107519</v>
      </c>
      <c r="B2008" s="39" t="s">
        <v>3749</v>
      </c>
      <c r="C2008" s="40">
        <v>4</v>
      </c>
      <c r="D2008" s="38" t="s">
        <v>266</v>
      </c>
    </row>
    <row r="2009" spans="1:4" x14ac:dyDescent="0.25">
      <c r="A2009" s="41">
        <v>107523</v>
      </c>
      <c r="B2009" s="39" t="s">
        <v>3750</v>
      </c>
      <c r="C2009" s="40">
        <v>4</v>
      </c>
      <c r="D2009" s="38" t="s">
        <v>266</v>
      </c>
    </row>
    <row r="2010" spans="1:4" x14ac:dyDescent="0.25">
      <c r="A2010" s="41">
        <v>108000</v>
      </c>
      <c r="B2010" s="39" t="s">
        <v>3751</v>
      </c>
      <c r="C2010" s="40">
        <v>3</v>
      </c>
      <c r="D2010" s="38" t="s">
        <v>266</v>
      </c>
    </row>
    <row r="2011" spans="1:4" x14ac:dyDescent="0.25">
      <c r="A2011" s="41">
        <v>108100</v>
      </c>
      <c r="B2011" s="39" t="s">
        <v>3752</v>
      </c>
      <c r="C2011" s="40">
        <v>3</v>
      </c>
      <c r="D2011" s="38" t="s">
        <v>266</v>
      </c>
    </row>
    <row r="2012" spans="1:4" x14ac:dyDescent="0.25">
      <c r="A2012" s="41">
        <v>108113</v>
      </c>
      <c r="B2012" s="39" t="s">
        <v>641</v>
      </c>
      <c r="C2012" s="40">
        <v>4</v>
      </c>
      <c r="D2012" s="38" t="s">
        <v>640</v>
      </c>
    </row>
    <row r="2013" spans="1:4" x14ac:dyDescent="0.25">
      <c r="A2013" s="41">
        <v>108116</v>
      </c>
      <c r="B2013" s="39" t="s">
        <v>3753</v>
      </c>
      <c r="C2013" s="40">
        <v>4</v>
      </c>
      <c r="D2013" s="38" t="s">
        <v>266</v>
      </c>
    </row>
    <row r="2014" spans="1:4" x14ac:dyDescent="0.25">
      <c r="A2014" s="41">
        <v>108119</v>
      </c>
      <c r="B2014" s="39" t="s">
        <v>3754</v>
      </c>
      <c r="C2014" s="40">
        <v>4</v>
      </c>
      <c r="D2014" s="38" t="s">
        <v>266</v>
      </c>
    </row>
    <row r="2015" spans="1:4" x14ac:dyDescent="0.25">
      <c r="A2015" s="41">
        <v>108200</v>
      </c>
      <c r="B2015" s="39" t="s">
        <v>3755</v>
      </c>
      <c r="C2015" s="40">
        <v>3</v>
      </c>
      <c r="D2015" s="38" t="s">
        <v>266</v>
      </c>
    </row>
    <row r="2016" spans="1:4" x14ac:dyDescent="0.25">
      <c r="A2016" s="41">
        <v>108213</v>
      </c>
      <c r="B2016" s="39" t="s">
        <v>3756</v>
      </c>
      <c r="C2016" s="40">
        <v>4</v>
      </c>
      <c r="D2016" s="38" t="s">
        <v>266</v>
      </c>
    </row>
    <row r="2017" spans="1:4" x14ac:dyDescent="0.25">
      <c r="A2017" s="41">
        <v>108219</v>
      </c>
      <c r="B2017" s="39" t="s">
        <v>3757</v>
      </c>
      <c r="C2017" s="40">
        <v>4</v>
      </c>
      <c r="D2017" s="38" t="s">
        <v>266</v>
      </c>
    </row>
    <row r="2018" spans="1:4" x14ac:dyDescent="0.25">
      <c r="A2018" s="41">
        <v>108223</v>
      </c>
      <c r="B2018" s="39" t="s">
        <v>3758</v>
      </c>
      <c r="C2018" s="40">
        <v>4</v>
      </c>
      <c r="D2018" s="38" t="s">
        <v>266</v>
      </c>
    </row>
    <row r="2019" spans="1:4" x14ac:dyDescent="0.25">
      <c r="A2019" s="41">
        <v>108300</v>
      </c>
      <c r="B2019" s="39" t="s">
        <v>3759</v>
      </c>
      <c r="C2019" s="40">
        <v>3</v>
      </c>
      <c r="D2019" s="38" t="s">
        <v>266</v>
      </c>
    </row>
    <row r="2020" spans="1:4" x14ac:dyDescent="0.25">
      <c r="A2020" s="41">
        <v>108313</v>
      </c>
      <c r="B2020" s="39" t="s">
        <v>3760</v>
      </c>
      <c r="C2020" s="40">
        <v>4</v>
      </c>
      <c r="D2020" s="38" t="s">
        <v>266</v>
      </c>
    </row>
    <row r="2021" spans="1:4" x14ac:dyDescent="0.25">
      <c r="A2021" s="41">
        <v>108316</v>
      </c>
      <c r="B2021" s="39" t="s">
        <v>3761</v>
      </c>
      <c r="C2021" s="40">
        <v>4</v>
      </c>
      <c r="D2021" s="38" t="s">
        <v>266</v>
      </c>
    </row>
    <row r="2022" spans="1:4" x14ac:dyDescent="0.25">
      <c r="A2022" s="41">
        <v>108400</v>
      </c>
      <c r="B2022" s="39" t="s">
        <v>3762</v>
      </c>
      <c r="C2022" s="40">
        <v>3</v>
      </c>
      <c r="D2022" s="38" t="s">
        <v>266</v>
      </c>
    </row>
    <row r="2023" spans="1:4" x14ac:dyDescent="0.25">
      <c r="A2023" s="41">
        <v>108413</v>
      </c>
      <c r="B2023" s="39" t="s">
        <v>1579</v>
      </c>
      <c r="C2023" s="40">
        <v>4</v>
      </c>
      <c r="D2023" s="38" t="s">
        <v>1578</v>
      </c>
    </row>
    <row r="2024" spans="1:4" x14ac:dyDescent="0.25">
      <c r="A2024" s="41">
        <v>108416</v>
      </c>
      <c r="B2024" s="39" t="s">
        <v>774</v>
      </c>
      <c r="C2024" s="40">
        <v>4</v>
      </c>
      <c r="D2024" s="38" t="s">
        <v>773</v>
      </c>
    </row>
    <row r="2025" spans="1:4" x14ac:dyDescent="0.25">
      <c r="A2025" s="41">
        <v>108600</v>
      </c>
      <c r="B2025" s="39" t="s">
        <v>3763</v>
      </c>
      <c r="C2025" s="40">
        <v>3</v>
      </c>
      <c r="D2025" s="38" t="s">
        <v>266</v>
      </c>
    </row>
    <row r="2026" spans="1:4" x14ac:dyDescent="0.25">
      <c r="A2026" s="41">
        <v>108800</v>
      </c>
      <c r="B2026" s="39" t="s">
        <v>3764</v>
      </c>
      <c r="C2026" s="40">
        <v>3</v>
      </c>
      <c r="D2026" s="38" t="s">
        <v>266</v>
      </c>
    </row>
    <row r="2027" spans="1:4" x14ac:dyDescent="0.25">
      <c r="A2027" s="41">
        <v>110000</v>
      </c>
      <c r="B2027" s="39" t="s">
        <v>1209</v>
      </c>
      <c r="C2027" s="40">
        <v>2</v>
      </c>
      <c r="D2027" s="38" t="s">
        <v>1208</v>
      </c>
    </row>
    <row r="2028" spans="1:4" x14ac:dyDescent="0.25">
      <c r="A2028" s="41">
        <v>110100</v>
      </c>
      <c r="B2028" s="39" t="s">
        <v>3765</v>
      </c>
      <c r="C2028" s="40">
        <v>3</v>
      </c>
      <c r="D2028" s="38" t="s">
        <v>266</v>
      </c>
    </row>
    <row r="2029" spans="1:4" x14ac:dyDescent="0.25">
      <c r="A2029" s="41">
        <v>110110</v>
      </c>
      <c r="B2029" s="39" t="s">
        <v>3766</v>
      </c>
      <c r="C2029" s="40">
        <v>4</v>
      </c>
      <c r="D2029" s="38" t="s">
        <v>266</v>
      </c>
    </row>
    <row r="2030" spans="1:4" x14ac:dyDescent="0.25">
      <c r="A2030" s="41">
        <v>110115</v>
      </c>
      <c r="B2030" s="39" t="s">
        <v>3767</v>
      </c>
      <c r="C2030" s="40">
        <v>4</v>
      </c>
      <c r="D2030" s="38" t="s">
        <v>266</v>
      </c>
    </row>
    <row r="2031" spans="1:4" x14ac:dyDescent="0.25">
      <c r="A2031" s="41">
        <v>110120</v>
      </c>
      <c r="B2031" s="39" t="s">
        <v>3768</v>
      </c>
      <c r="C2031" s="40">
        <v>4</v>
      </c>
      <c r="D2031" s="38" t="s">
        <v>266</v>
      </c>
    </row>
    <row r="2032" spans="1:4" x14ac:dyDescent="0.25">
      <c r="A2032" s="41">
        <v>110130</v>
      </c>
      <c r="B2032" s="39" t="s">
        <v>3769</v>
      </c>
      <c r="C2032" s="40">
        <v>4</v>
      </c>
      <c r="D2032" s="38" t="s">
        <v>266</v>
      </c>
    </row>
    <row r="2033" spans="1:4" x14ac:dyDescent="0.25">
      <c r="A2033" s="41">
        <v>110140</v>
      </c>
      <c r="B2033" s="39" t="s">
        <v>3770</v>
      </c>
      <c r="C2033" s="40">
        <v>4</v>
      </c>
      <c r="D2033" s="38" t="s">
        <v>266</v>
      </c>
    </row>
    <row r="2034" spans="1:4" x14ac:dyDescent="0.25">
      <c r="A2034" s="41">
        <v>110150</v>
      </c>
      <c r="B2034" s="39" t="s">
        <v>3771</v>
      </c>
      <c r="C2034" s="40">
        <v>4</v>
      </c>
      <c r="D2034" s="38" t="s">
        <v>266</v>
      </c>
    </row>
    <row r="2035" spans="1:4" x14ac:dyDescent="0.25">
      <c r="A2035" s="41">
        <v>110156</v>
      </c>
      <c r="B2035" s="39" t="s">
        <v>3772</v>
      </c>
      <c r="C2035" s="40">
        <v>4</v>
      </c>
      <c r="D2035" s="38" t="s">
        <v>266</v>
      </c>
    </row>
    <row r="2036" spans="1:4" x14ac:dyDescent="0.25">
      <c r="A2036" s="41">
        <v>110160</v>
      </c>
      <c r="B2036" s="39" t="s">
        <v>3773</v>
      </c>
      <c r="C2036" s="40">
        <v>4</v>
      </c>
      <c r="D2036" s="38" t="s">
        <v>266</v>
      </c>
    </row>
    <row r="2037" spans="1:4" x14ac:dyDescent="0.25">
      <c r="A2037" s="41">
        <v>110165</v>
      </c>
      <c r="B2037" s="39" t="s">
        <v>3774</v>
      </c>
      <c r="C2037" s="40">
        <v>4</v>
      </c>
      <c r="D2037" s="38" t="s">
        <v>266</v>
      </c>
    </row>
    <row r="2038" spans="1:4" x14ac:dyDescent="0.25">
      <c r="A2038" s="41">
        <v>110170</v>
      </c>
      <c r="B2038" s="39" t="s">
        <v>3775</v>
      </c>
      <c r="C2038" s="40">
        <v>4</v>
      </c>
      <c r="D2038" s="38" t="s">
        <v>266</v>
      </c>
    </row>
    <row r="2039" spans="1:4" x14ac:dyDescent="0.25">
      <c r="A2039" s="41">
        <v>110180</v>
      </c>
      <c r="B2039" s="39" t="s">
        <v>3776</v>
      </c>
      <c r="C2039" s="40">
        <v>4</v>
      </c>
      <c r="D2039" s="38" t="s">
        <v>266</v>
      </c>
    </row>
    <row r="2040" spans="1:4" x14ac:dyDescent="0.25">
      <c r="A2040" s="41">
        <v>110190</v>
      </c>
      <c r="B2040" s="39" t="s">
        <v>3777</v>
      </c>
      <c r="C2040" s="40">
        <v>4</v>
      </c>
      <c r="D2040" s="38" t="s">
        <v>266</v>
      </c>
    </row>
    <row r="2041" spans="1:4" x14ac:dyDescent="0.25">
      <c r="A2041" s="41">
        <v>110500</v>
      </c>
      <c r="B2041" s="39" t="s">
        <v>3778</v>
      </c>
      <c r="C2041" s="40">
        <v>3</v>
      </c>
      <c r="D2041" s="38" t="s">
        <v>266</v>
      </c>
    </row>
    <row r="2042" spans="1:4" x14ac:dyDescent="0.25">
      <c r="A2042" s="41">
        <v>110513</v>
      </c>
      <c r="B2042" s="39" t="s">
        <v>3779</v>
      </c>
      <c r="C2042" s="40">
        <v>4</v>
      </c>
      <c r="D2042" s="38" t="s">
        <v>266</v>
      </c>
    </row>
    <row r="2043" spans="1:4" x14ac:dyDescent="0.25">
      <c r="A2043" s="41">
        <v>110800</v>
      </c>
      <c r="B2043" s="39" t="s">
        <v>3780</v>
      </c>
      <c r="C2043" s="40">
        <v>3</v>
      </c>
      <c r="D2043" s="38" t="s">
        <v>266</v>
      </c>
    </row>
    <row r="2044" spans="1:4" x14ac:dyDescent="0.25">
      <c r="A2044" s="41">
        <v>111000</v>
      </c>
      <c r="B2044" s="39" t="s">
        <v>1211</v>
      </c>
      <c r="C2044" s="40">
        <v>3</v>
      </c>
      <c r="D2044" s="38" t="s">
        <v>1210</v>
      </c>
    </row>
    <row r="2045" spans="1:4" x14ac:dyDescent="0.25">
      <c r="A2045" s="41">
        <v>111100</v>
      </c>
      <c r="B2045" s="39" t="s">
        <v>3781</v>
      </c>
      <c r="C2045" s="40">
        <v>3</v>
      </c>
      <c r="D2045" s="38" t="s">
        <v>266</v>
      </c>
    </row>
    <row r="2046" spans="1:4" x14ac:dyDescent="0.25">
      <c r="A2046" s="41">
        <v>111113</v>
      </c>
      <c r="B2046" s="39" t="s">
        <v>3782</v>
      </c>
      <c r="C2046" s="40">
        <v>4</v>
      </c>
      <c r="D2046" s="38" t="s">
        <v>266</v>
      </c>
    </row>
    <row r="2047" spans="1:4" x14ac:dyDescent="0.25">
      <c r="A2047" s="41">
        <v>111119</v>
      </c>
      <c r="B2047" s="39" t="s">
        <v>3783</v>
      </c>
      <c r="C2047" s="40">
        <v>4</v>
      </c>
      <c r="D2047" s="38" t="s">
        <v>266</v>
      </c>
    </row>
    <row r="2048" spans="1:4" x14ac:dyDescent="0.25">
      <c r="A2048" s="41">
        <v>111123</v>
      </c>
      <c r="B2048" s="39" t="s">
        <v>3784</v>
      </c>
      <c r="C2048" s="40">
        <v>4</v>
      </c>
      <c r="D2048" s="38" t="s">
        <v>266</v>
      </c>
    </row>
    <row r="2049" spans="1:4" x14ac:dyDescent="0.25">
      <c r="A2049" s="41">
        <v>111126</v>
      </c>
      <c r="B2049" s="39" t="s">
        <v>3785</v>
      </c>
      <c r="C2049" s="40">
        <v>4</v>
      </c>
      <c r="D2049" s="38" t="s">
        <v>266</v>
      </c>
    </row>
    <row r="2050" spans="1:4" x14ac:dyDescent="0.25">
      <c r="A2050" s="41">
        <v>111200</v>
      </c>
      <c r="B2050" s="39" t="s">
        <v>3786</v>
      </c>
      <c r="C2050" s="40">
        <v>3</v>
      </c>
      <c r="D2050" s="38" t="s">
        <v>266</v>
      </c>
    </row>
    <row r="2051" spans="1:4" x14ac:dyDescent="0.25">
      <c r="A2051" s="41">
        <v>111213</v>
      </c>
      <c r="B2051" s="39" t="s">
        <v>3787</v>
      </c>
      <c r="C2051" s="40">
        <v>4</v>
      </c>
      <c r="D2051" s="38" t="s">
        <v>266</v>
      </c>
    </row>
    <row r="2052" spans="1:4" x14ac:dyDescent="0.25">
      <c r="A2052" s="41">
        <v>111216</v>
      </c>
      <c r="B2052" s="39" t="s">
        <v>3788</v>
      </c>
      <c r="C2052" s="40">
        <v>4</v>
      </c>
      <c r="D2052" s="38" t="s">
        <v>266</v>
      </c>
    </row>
    <row r="2053" spans="1:4" x14ac:dyDescent="0.25">
      <c r="A2053" s="41">
        <v>111223</v>
      </c>
      <c r="B2053" s="39" t="s">
        <v>3789</v>
      </c>
      <c r="C2053" s="40">
        <v>4</v>
      </c>
      <c r="D2053" s="38" t="s">
        <v>266</v>
      </c>
    </row>
    <row r="2054" spans="1:4" x14ac:dyDescent="0.25">
      <c r="A2054" s="41">
        <v>111226</v>
      </c>
      <c r="B2054" s="39" t="s">
        <v>3790</v>
      </c>
      <c r="C2054" s="40">
        <v>4</v>
      </c>
      <c r="D2054" s="38" t="s">
        <v>266</v>
      </c>
    </row>
    <row r="2055" spans="1:4" x14ac:dyDescent="0.25">
      <c r="A2055" s="42">
        <v>111226.13</v>
      </c>
      <c r="B2055" s="39" t="s">
        <v>3791</v>
      </c>
      <c r="C2055" s="40">
        <v>5</v>
      </c>
      <c r="D2055" s="38" t="s">
        <v>266</v>
      </c>
    </row>
    <row r="2056" spans="1:4" x14ac:dyDescent="0.25">
      <c r="A2056" s="41">
        <v>111233</v>
      </c>
      <c r="B2056" s="39" t="s">
        <v>3792</v>
      </c>
      <c r="C2056" s="40">
        <v>4</v>
      </c>
      <c r="D2056" s="38" t="s">
        <v>266</v>
      </c>
    </row>
    <row r="2057" spans="1:4" x14ac:dyDescent="0.25">
      <c r="A2057" s="41">
        <v>111300</v>
      </c>
      <c r="B2057" s="39" t="s">
        <v>1217</v>
      </c>
      <c r="C2057" s="40">
        <v>3</v>
      </c>
      <c r="D2057" s="39" t="s">
        <v>1216</v>
      </c>
    </row>
    <row r="2058" spans="1:4" x14ac:dyDescent="0.25">
      <c r="A2058" s="41">
        <v>111313</v>
      </c>
      <c r="B2058" s="39" t="s">
        <v>3793</v>
      </c>
      <c r="C2058" s="40">
        <v>4</v>
      </c>
      <c r="D2058" s="38" t="s">
        <v>266</v>
      </c>
    </row>
    <row r="2059" spans="1:4" x14ac:dyDescent="0.25">
      <c r="A2059" s="41">
        <v>111316</v>
      </c>
      <c r="B2059" s="39" t="s">
        <v>3794</v>
      </c>
      <c r="C2059" s="40">
        <v>4</v>
      </c>
      <c r="D2059" s="38" t="s">
        <v>266</v>
      </c>
    </row>
    <row r="2060" spans="1:4" x14ac:dyDescent="0.25">
      <c r="A2060" s="42">
        <v>111316.13</v>
      </c>
      <c r="B2060" s="39" t="s">
        <v>3795</v>
      </c>
      <c r="C2060" s="40">
        <v>5</v>
      </c>
      <c r="D2060" s="38" t="s">
        <v>266</v>
      </c>
    </row>
    <row r="2061" spans="1:4" x14ac:dyDescent="0.25">
      <c r="A2061" s="42">
        <v>111316.23</v>
      </c>
      <c r="B2061" s="39" t="s">
        <v>3796</v>
      </c>
      <c r="C2061" s="40">
        <v>5</v>
      </c>
      <c r="D2061" s="38" t="s">
        <v>266</v>
      </c>
    </row>
    <row r="2062" spans="1:4" x14ac:dyDescent="0.25">
      <c r="A2062" s="42">
        <v>111316.33</v>
      </c>
      <c r="B2062" s="39" t="s">
        <v>3797</v>
      </c>
      <c r="C2062" s="40">
        <v>5</v>
      </c>
      <c r="D2062" s="38" t="s">
        <v>266</v>
      </c>
    </row>
    <row r="2063" spans="1:4" x14ac:dyDescent="0.25">
      <c r="A2063" s="41">
        <v>111319</v>
      </c>
      <c r="B2063" s="39" t="s">
        <v>3798</v>
      </c>
      <c r="C2063" s="40">
        <v>4</v>
      </c>
      <c r="D2063" s="38" t="s">
        <v>266</v>
      </c>
    </row>
    <row r="2064" spans="1:4" x14ac:dyDescent="0.25">
      <c r="A2064" s="42">
        <v>111319.13</v>
      </c>
      <c r="B2064" s="39" t="s">
        <v>3799</v>
      </c>
      <c r="C2064" s="40">
        <v>5</v>
      </c>
      <c r="D2064" s="38" t="s">
        <v>266</v>
      </c>
    </row>
    <row r="2065" spans="1:4" x14ac:dyDescent="0.25">
      <c r="A2065" s="42">
        <v>111319.23</v>
      </c>
      <c r="B2065" s="39" t="s">
        <v>3800</v>
      </c>
      <c r="C2065" s="40">
        <v>5</v>
      </c>
      <c r="D2065" s="38" t="s">
        <v>266</v>
      </c>
    </row>
    <row r="2066" spans="1:4" x14ac:dyDescent="0.25">
      <c r="A2066" s="42">
        <v>111319.26</v>
      </c>
      <c r="B2066" s="39" t="s">
        <v>3801</v>
      </c>
      <c r="C2066" s="40">
        <v>5</v>
      </c>
      <c r="D2066" s="38" t="s">
        <v>266</v>
      </c>
    </row>
    <row r="2067" spans="1:4" x14ac:dyDescent="0.25">
      <c r="A2067" s="42">
        <v>111319.33</v>
      </c>
      <c r="B2067" s="39" t="s">
        <v>3802</v>
      </c>
      <c r="C2067" s="40">
        <v>5</v>
      </c>
      <c r="D2067" s="38" t="s">
        <v>266</v>
      </c>
    </row>
    <row r="2068" spans="1:4" x14ac:dyDescent="0.25">
      <c r="A2068" s="41">
        <v>111323</v>
      </c>
      <c r="B2068" s="39" t="s">
        <v>3803</v>
      </c>
      <c r="C2068" s="40">
        <v>4</v>
      </c>
      <c r="D2068" s="38" t="s">
        <v>266</v>
      </c>
    </row>
    <row r="2069" spans="1:4" x14ac:dyDescent="0.25">
      <c r="A2069" s="42">
        <v>111323.13</v>
      </c>
      <c r="B2069" s="39" t="s">
        <v>3804</v>
      </c>
      <c r="C2069" s="40">
        <v>5</v>
      </c>
      <c r="D2069" s="38" t="s">
        <v>266</v>
      </c>
    </row>
    <row r="2070" spans="1:4" x14ac:dyDescent="0.25">
      <c r="A2070" s="42">
        <v>111323.16</v>
      </c>
      <c r="B2070" s="39" t="s">
        <v>3805</v>
      </c>
      <c r="C2070" s="40">
        <v>5</v>
      </c>
      <c r="D2070" s="38" t="s">
        <v>266</v>
      </c>
    </row>
    <row r="2071" spans="1:4" x14ac:dyDescent="0.25">
      <c r="A2071" s="42">
        <v>111323.19</v>
      </c>
      <c r="B2071" s="39" t="s">
        <v>3806</v>
      </c>
      <c r="C2071" s="40">
        <v>5</v>
      </c>
      <c r="D2071" s="38" t="s">
        <v>266</v>
      </c>
    </row>
    <row r="2072" spans="1:4" x14ac:dyDescent="0.25">
      <c r="A2072" s="42">
        <v>111323.23</v>
      </c>
      <c r="B2072" s="39" t="s">
        <v>3807</v>
      </c>
      <c r="C2072" s="40">
        <v>5</v>
      </c>
      <c r="D2072" s="38" t="s">
        <v>266</v>
      </c>
    </row>
    <row r="2073" spans="1:4" x14ac:dyDescent="0.25">
      <c r="A2073" s="41">
        <v>111326</v>
      </c>
      <c r="B2073" s="39" t="s">
        <v>3808</v>
      </c>
      <c r="C2073" s="40">
        <v>4</v>
      </c>
      <c r="D2073" s="38" t="s">
        <v>266</v>
      </c>
    </row>
    <row r="2074" spans="1:4" x14ac:dyDescent="0.25">
      <c r="A2074" s="41">
        <v>111400</v>
      </c>
      <c r="B2074" s="39" t="s">
        <v>3809</v>
      </c>
      <c r="C2074" s="40">
        <v>3</v>
      </c>
      <c r="D2074" s="38" t="s">
        <v>266</v>
      </c>
    </row>
    <row r="2075" spans="1:4" x14ac:dyDescent="0.25">
      <c r="A2075" s="41">
        <v>111413</v>
      </c>
      <c r="B2075" s="39" t="s">
        <v>3810</v>
      </c>
      <c r="C2075" s="40">
        <v>4</v>
      </c>
      <c r="D2075" s="38" t="s">
        <v>266</v>
      </c>
    </row>
    <row r="2076" spans="1:4" x14ac:dyDescent="0.25">
      <c r="A2076" s="42">
        <v>111413.13</v>
      </c>
      <c r="B2076" s="39" t="s">
        <v>3811</v>
      </c>
      <c r="C2076" s="40">
        <v>5</v>
      </c>
      <c r="D2076" s="38" t="s">
        <v>266</v>
      </c>
    </row>
    <row r="2077" spans="1:4" x14ac:dyDescent="0.25">
      <c r="A2077" s="42">
        <v>111413.16</v>
      </c>
      <c r="B2077" s="39" t="s">
        <v>3812</v>
      </c>
      <c r="C2077" s="40">
        <v>5</v>
      </c>
      <c r="D2077" s="38" t="s">
        <v>266</v>
      </c>
    </row>
    <row r="2078" spans="1:4" x14ac:dyDescent="0.25">
      <c r="A2078" s="42">
        <v>111413.19</v>
      </c>
      <c r="B2078" s="39" t="s">
        <v>3813</v>
      </c>
      <c r="C2078" s="40">
        <v>5</v>
      </c>
      <c r="D2078" s="38" t="s">
        <v>266</v>
      </c>
    </row>
    <row r="2079" spans="1:4" x14ac:dyDescent="0.25">
      <c r="A2079" s="41">
        <v>111416</v>
      </c>
      <c r="B2079" s="39" t="s">
        <v>3814</v>
      </c>
      <c r="C2079" s="40">
        <v>4</v>
      </c>
      <c r="D2079" s="38" t="s">
        <v>266</v>
      </c>
    </row>
    <row r="2080" spans="1:4" x14ac:dyDescent="0.25">
      <c r="A2080" s="42">
        <v>111416.19</v>
      </c>
      <c r="B2080" s="39" t="s">
        <v>3815</v>
      </c>
      <c r="C2080" s="40">
        <v>5</v>
      </c>
      <c r="D2080" s="38" t="s">
        <v>266</v>
      </c>
    </row>
    <row r="2081" spans="1:4" x14ac:dyDescent="0.25">
      <c r="A2081" s="41">
        <v>111426</v>
      </c>
      <c r="B2081" s="39" t="s">
        <v>3816</v>
      </c>
      <c r="C2081" s="40">
        <v>4</v>
      </c>
      <c r="D2081" s="38" t="s">
        <v>266</v>
      </c>
    </row>
    <row r="2082" spans="1:4" x14ac:dyDescent="0.25">
      <c r="A2082" s="42">
        <v>111426.13</v>
      </c>
      <c r="B2082" s="39" t="s">
        <v>3817</v>
      </c>
      <c r="C2082" s="40">
        <v>5</v>
      </c>
      <c r="D2082" s="38" t="s">
        <v>266</v>
      </c>
    </row>
    <row r="2083" spans="1:4" x14ac:dyDescent="0.25">
      <c r="A2083" s="41">
        <v>111443</v>
      </c>
      <c r="B2083" s="39" t="s">
        <v>3818</v>
      </c>
      <c r="C2083" s="40">
        <v>4</v>
      </c>
      <c r="D2083" s="38" t="s">
        <v>266</v>
      </c>
    </row>
    <row r="2084" spans="1:4" x14ac:dyDescent="0.25">
      <c r="A2084" s="42">
        <v>111443.13</v>
      </c>
      <c r="B2084" s="39" t="s">
        <v>3819</v>
      </c>
      <c r="C2084" s="40">
        <v>5</v>
      </c>
      <c r="D2084" s="38" t="s">
        <v>266</v>
      </c>
    </row>
    <row r="2085" spans="1:4" x14ac:dyDescent="0.25">
      <c r="A2085" s="41">
        <v>111453</v>
      </c>
      <c r="B2085" s="39" t="s">
        <v>3820</v>
      </c>
      <c r="C2085" s="40">
        <v>4</v>
      </c>
      <c r="D2085" s="38" t="s">
        <v>266</v>
      </c>
    </row>
    <row r="2086" spans="1:4" x14ac:dyDescent="0.25">
      <c r="A2086" s="41">
        <v>111500</v>
      </c>
      <c r="B2086" s="39" t="s">
        <v>3821</v>
      </c>
      <c r="C2086" s="40">
        <v>3</v>
      </c>
      <c r="D2086" s="38" t="s">
        <v>266</v>
      </c>
    </row>
    <row r="2087" spans="1:4" x14ac:dyDescent="0.25">
      <c r="A2087" s="41">
        <v>111600</v>
      </c>
      <c r="B2087" s="39" t="s">
        <v>1225</v>
      </c>
      <c r="C2087" s="40">
        <v>3</v>
      </c>
      <c r="D2087" s="39" t="s">
        <v>1224</v>
      </c>
    </row>
    <row r="2088" spans="1:4" x14ac:dyDescent="0.25">
      <c r="A2088" s="41">
        <v>111613</v>
      </c>
      <c r="B2088" s="39" t="s">
        <v>3822</v>
      </c>
      <c r="C2088" s="40">
        <v>4</v>
      </c>
      <c r="D2088" s="38" t="s">
        <v>266</v>
      </c>
    </row>
    <row r="2089" spans="1:4" x14ac:dyDescent="0.25">
      <c r="A2089" s="41">
        <v>111616</v>
      </c>
      <c r="B2089" s="39" t="s">
        <v>3823</v>
      </c>
      <c r="C2089" s="40">
        <v>4</v>
      </c>
      <c r="D2089" s="38" t="s">
        <v>266</v>
      </c>
    </row>
    <row r="2090" spans="1:4" x14ac:dyDescent="0.25">
      <c r="A2090" s="41">
        <v>111623</v>
      </c>
      <c r="B2090" s="39" t="s">
        <v>3824</v>
      </c>
      <c r="C2090" s="40">
        <v>4</v>
      </c>
      <c r="D2090" s="38" t="s">
        <v>266</v>
      </c>
    </row>
    <row r="2091" spans="1:4" x14ac:dyDescent="0.25">
      <c r="A2091" s="41">
        <v>111700</v>
      </c>
      <c r="B2091" s="39" t="s">
        <v>1227</v>
      </c>
      <c r="C2091" s="40">
        <v>3</v>
      </c>
      <c r="D2091" s="39" t="s">
        <v>1226</v>
      </c>
    </row>
    <row r="2092" spans="1:4" x14ac:dyDescent="0.25">
      <c r="A2092" s="41">
        <v>111713</v>
      </c>
      <c r="B2092" s="39" t="s">
        <v>3825</v>
      </c>
      <c r="C2092" s="40">
        <v>4</v>
      </c>
      <c r="D2092" s="38" t="s">
        <v>266</v>
      </c>
    </row>
    <row r="2093" spans="1:4" x14ac:dyDescent="0.25">
      <c r="A2093" s="41">
        <v>111716</v>
      </c>
      <c r="B2093" s="39" t="s">
        <v>3826</v>
      </c>
      <c r="C2093" s="40">
        <v>4</v>
      </c>
      <c r="D2093" s="38" t="s">
        <v>266</v>
      </c>
    </row>
    <row r="2094" spans="1:4" x14ac:dyDescent="0.25">
      <c r="A2094" s="41">
        <v>111723</v>
      </c>
      <c r="B2094" s="39" t="s">
        <v>3827</v>
      </c>
      <c r="C2094" s="40">
        <v>4</v>
      </c>
      <c r="D2094" s="38" t="s">
        <v>266</v>
      </c>
    </row>
    <row r="2095" spans="1:4" x14ac:dyDescent="0.25">
      <c r="A2095" s="41">
        <v>111733</v>
      </c>
      <c r="B2095" s="39" t="s">
        <v>3828</v>
      </c>
      <c r="C2095" s="40">
        <v>4</v>
      </c>
      <c r="D2095" s="38" t="s">
        <v>266</v>
      </c>
    </row>
    <row r="2096" spans="1:4" x14ac:dyDescent="0.25">
      <c r="A2096" s="41">
        <v>111736</v>
      </c>
      <c r="B2096" s="39" t="s">
        <v>3829</v>
      </c>
      <c r="C2096" s="40">
        <v>4</v>
      </c>
      <c r="D2096" s="38" t="s">
        <v>266</v>
      </c>
    </row>
    <row r="2097" spans="1:4" x14ac:dyDescent="0.25">
      <c r="A2097" s="41">
        <v>111800</v>
      </c>
      <c r="B2097" s="39" t="s">
        <v>1255</v>
      </c>
      <c r="C2097" s="40">
        <v>3</v>
      </c>
      <c r="D2097" s="39" t="s">
        <v>1254</v>
      </c>
    </row>
    <row r="2098" spans="1:4" x14ac:dyDescent="0.25">
      <c r="A2098" s="41">
        <v>111813</v>
      </c>
      <c r="B2098" s="39" t="s">
        <v>3830</v>
      </c>
      <c r="C2098" s="40">
        <v>4</v>
      </c>
      <c r="D2098" s="38" t="s">
        <v>266</v>
      </c>
    </row>
    <row r="2099" spans="1:4" x14ac:dyDescent="0.25">
      <c r="A2099" s="41">
        <v>111816</v>
      </c>
      <c r="B2099" s="39" t="s">
        <v>3831</v>
      </c>
      <c r="C2099" s="40">
        <v>4</v>
      </c>
      <c r="D2099" s="38" t="s">
        <v>266</v>
      </c>
    </row>
    <row r="2100" spans="1:4" x14ac:dyDescent="0.25">
      <c r="A2100" s="41">
        <v>111823</v>
      </c>
      <c r="B2100" s="39" t="s">
        <v>3832</v>
      </c>
      <c r="C2100" s="40">
        <v>4</v>
      </c>
      <c r="D2100" s="38" t="s">
        <v>266</v>
      </c>
    </row>
    <row r="2101" spans="1:4" x14ac:dyDescent="0.25">
      <c r="A2101" s="41">
        <v>111900</v>
      </c>
      <c r="B2101" s="39" t="s">
        <v>1257</v>
      </c>
      <c r="C2101" s="40">
        <v>3</v>
      </c>
      <c r="D2101" s="39" t="s">
        <v>1256</v>
      </c>
    </row>
    <row r="2102" spans="1:4" x14ac:dyDescent="0.25">
      <c r="A2102" s="41">
        <v>111913</v>
      </c>
      <c r="B2102" s="39" t="s">
        <v>3833</v>
      </c>
      <c r="C2102" s="40">
        <v>4</v>
      </c>
      <c r="D2102" s="38" t="s">
        <v>266</v>
      </c>
    </row>
    <row r="2103" spans="1:4" x14ac:dyDescent="0.25">
      <c r="A2103" s="41">
        <v>111916</v>
      </c>
      <c r="B2103" s="39" t="s">
        <v>3834</v>
      </c>
      <c r="C2103" s="40">
        <v>4</v>
      </c>
      <c r="D2103" s="38" t="s">
        <v>266</v>
      </c>
    </row>
    <row r="2104" spans="1:4" x14ac:dyDescent="0.25">
      <c r="A2104" s="41">
        <v>112000</v>
      </c>
      <c r="B2104" s="39" t="s">
        <v>1221</v>
      </c>
      <c r="C2104" s="40">
        <v>3</v>
      </c>
      <c r="D2104" s="38" t="s">
        <v>1220</v>
      </c>
    </row>
    <row r="2105" spans="1:4" x14ac:dyDescent="0.25">
      <c r="A2105" s="41">
        <v>112100</v>
      </c>
      <c r="B2105" s="39" t="s">
        <v>1223</v>
      </c>
      <c r="C2105" s="40">
        <v>3</v>
      </c>
      <c r="D2105" s="39" t="s">
        <v>1222</v>
      </c>
    </row>
    <row r="2106" spans="1:4" x14ac:dyDescent="0.25">
      <c r="A2106" s="41">
        <v>112113</v>
      </c>
      <c r="B2106" s="39" t="s">
        <v>3835</v>
      </c>
      <c r="C2106" s="40">
        <v>4</v>
      </c>
      <c r="D2106" s="38" t="s">
        <v>266</v>
      </c>
    </row>
    <row r="2107" spans="1:4" x14ac:dyDescent="0.25">
      <c r="A2107" s="41">
        <v>112123</v>
      </c>
      <c r="B2107" s="39" t="s">
        <v>3836</v>
      </c>
      <c r="C2107" s="40">
        <v>4</v>
      </c>
      <c r="D2107" s="38" t="s">
        <v>266</v>
      </c>
    </row>
    <row r="2108" spans="1:4" x14ac:dyDescent="0.25">
      <c r="A2108" s="42">
        <v>112123.13</v>
      </c>
      <c r="B2108" s="39" t="s">
        <v>3837</v>
      </c>
      <c r="C2108" s="40">
        <v>5</v>
      </c>
      <c r="D2108" s="38" t="s">
        <v>266</v>
      </c>
    </row>
    <row r="2109" spans="1:4" x14ac:dyDescent="0.25">
      <c r="A2109" s="41">
        <v>112133</v>
      </c>
      <c r="B2109" s="39" t="s">
        <v>3838</v>
      </c>
      <c r="C2109" s="40">
        <v>4</v>
      </c>
      <c r="D2109" s="38" t="s">
        <v>266</v>
      </c>
    </row>
    <row r="2110" spans="1:4" x14ac:dyDescent="0.25">
      <c r="A2110" s="41">
        <v>112143</v>
      </c>
      <c r="B2110" s="39" t="s">
        <v>3839</v>
      </c>
      <c r="C2110" s="40">
        <v>4</v>
      </c>
      <c r="D2110" s="38" t="s">
        <v>266</v>
      </c>
    </row>
    <row r="2111" spans="1:4" x14ac:dyDescent="0.25">
      <c r="A2111" s="41">
        <v>112153</v>
      </c>
      <c r="B2111" s="39" t="s">
        <v>3840</v>
      </c>
      <c r="C2111" s="40">
        <v>4</v>
      </c>
      <c r="D2111" s="38" t="s">
        <v>266</v>
      </c>
    </row>
    <row r="2112" spans="1:4" x14ac:dyDescent="0.25">
      <c r="A2112" s="41">
        <v>112200</v>
      </c>
      <c r="B2112" s="39" t="s">
        <v>1229</v>
      </c>
      <c r="C2112" s="40">
        <v>3</v>
      </c>
      <c r="D2112" s="38" t="s">
        <v>1228</v>
      </c>
    </row>
    <row r="2113" spans="1:4" x14ac:dyDescent="0.25">
      <c r="A2113" s="41">
        <v>112300</v>
      </c>
      <c r="B2113" s="39" t="s">
        <v>3841</v>
      </c>
      <c r="C2113" s="40">
        <v>3</v>
      </c>
      <c r="D2113" s="38" t="s">
        <v>266</v>
      </c>
    </row>
    <row r="2114" spans="1:4" x14ac:dyDescent="0.25">
      <c r="A2114" s="41">
        <v>112313</v>
      </c>
      <c r="B2114" s="39" t="s">
        <v>3842</v>
      </c>
      <c r="C2114" s="40">
        <v>4</v>
      </c>
      <c r="D2114" s="38" t="s">
        <v>266</v>
      </c>
    </row>
    <row r="2115" spans="1:4" x14ac:dyDescent="0.25">
      <c r="A2115" s="41">
        <v>112316</v>
      </c>
      <c r="B2115" s="39" t="s">
        <v>3843</v>
      </c>
      <c r="C2115" s="40">
        <v>4</v>
      </c>
      <c r="D2115" s="38" t="s">
        <v>266</v>
      </c>
    </row>
    <row r="2116" spans="1:4" x14ac:dyDescent="0.25">
      <c r="A2116" s="41">
        <v>112319</v>
      </c>
      <c r="B2116" s="39" t="s">
        <v>3844</v>
      </c>
      <c r="C2116" s="40">
        <v>4</v>
      </c>
      <c r="D2116" s="38" t="s">
        <v>266</v>
      </c>
    </row>
    <row r="2117" spans="1:4" x14ac:dyDescent="0.25">
      <c r="A2117" s="41">
        <v>112323</v>
      </c>
      <c r="B2117" s="39" t="s">
        <v>3845</v>
      </c>
      <c r="C2117" s="40">
        <v>4</v>
      </c>
      <c r="D2117" s="38" t="s">
        <v>266</v>
      </c>
    </row>
    <row r="2118" spans="1:4" x14ac:dyDescent="0.25">
      <c r="A2118" s="41">
        <v>112326</v>
      </c>
      <c r="B2118" s="39" t="s">
        <v>3846</v>
      </c>
      <c r="C2118" s="40">
        <v>4</v>
      </c>
      <c r="D2118" s="38" t="s">
        <v>266</v>
      </c>
    </row>
    <row r="2119" spans="1:4" x14ac:dyDescent="0.25">
      <c r="A2119" s="41">
        <v>112333</v>
      </c>
      <c r="B2119" s="39" t="s">
        <v>3847</v>
      </c>
      <c r="C2119" s="40">
        <v>4</v>
      </c>
      <c r="D2119" s="38" t="s">
        <v>266</v>
      </c>
    </row>
    <row r="2120" spans="1:4" x14ac:dyDescent="0.25">
      <c r="A2120" s="41">
        <v>112343</v>
      </c>
      <c r="B2120" s="39" t="s">
        <v>3848</v>
      </c>
      <c r="C2120" s="40">
        <v>4</v>
      </c>
      <c r="D2120" s="38" t="s">
        <v>266</v>
      </c>
    </row>
    <row r="2121" spans="1:4" x14ac:dyDescent="0.25">
      <c r="A2121" s="41">
        <v>112400</v>
      </c>
      <c r="B2121" s="39" t="s">
        <v>1233</v>
      </c>
      <c r="C2121" s="40">
        <v>3</v>
      </c>
      <c r="D2121" s="39" t="s">
        <v>1232</v>
      </c>
    </row>
    <row r="2122" spans="1:4" x14ac:dyDescent="0.25">
      <c r="A2122" s="41">
        <v>112413</v>
      </c>
      <c r="B2122" s="39" t="s">
        <v>3849</v>
      </c>
      <c r="C2122" s="40">
        <v>4</v>
      </c>
      <c r="D2122" s="38" t="s">
        <v>266</v>
      </c>
    </row>
    <row r="2123" spans="1:4" x14ac:dyDescent="0.25">
      <c r="A2123" s="41">
        <v>112416</v>
      </c>
      <c r="B2123" s="39" t="s">
        <v>3850</v>
      </c>
      <c r="C2123" s="40">
        <v>4</v>
      </c>
      <c r="D2123" s="38" t="s">
        <v>266</v>
      </c>
    </row>
    <row r="2124" spans="1:4" x14ac:dyDescent="0.25">
      <c r="A2124" s="41">
        <v>112419</v>
      </c>
      <c r="B2124" s="39" t="s">
        <v>3851</v>
      </c>
      <c r="C2124" s="40">
        <v>4</v>
      </c>
      <c r="D2124" s="38" t="s">
        <v>266</v>
      </c>
    </row>
    <row r="2125" spans="1:4" x14ac:dyDescent="0.25">
      <c r="A2125" s="41">
        <v>112423</v>
      </c>
      <c r="B2125" s="39" t="s">
        <v>3852</v>
      </c>
      <c r="C2125" s="40">
        <v>4</v>
      </c>
      <c r="D2125" s="38" t="s">
        <v>915</v>
      </c>
    </row>
    <row r="2126" spans="1:4" x14ac:dyDescent="0.25">
      <c r="A2126" s="42">
        <v>112423.13</v>
      </c>
      <c r="B2126" s="39" t="s">
        <v>3853</v>
      </c>
      <c r="C2126" s="40">
        <v>5</v>
      </c>
      <c r="D2126" s="38" t="s">
        <v>266</v>
      </c>
    </row>
    <row r="2127" spans="1:4" x14ac:dyDescent="0.25">
      <c r="A2127" s="41">
        <v>112429</v>
      </c>
      <c r="B2127" s="39" t="s">
        <v>3854</v>
      </c>
      <c r="C2127" s="40">
        <v>4</v>
      </c>
      <c r="D2127" s="38" t="s">
        <v>266</v>
      </c>
    </row>
    <row r="2128" spans="1:4" x14ac:dyDescent="0.25">
      <c r="A2128" s="41">
        <v>112500</v>
      </c>
      <c r="B2128" s="39" t="s">
        <v>1235</v>
      </c>
      <c r="C2128" s="40">
        <v>3</v>
      </c>
      <c r="D2128" s="39" t="s">
        <v>1234</v>
      </c>
    </row>
    <row r="2129" spans="1:4" x14ac:dyDescent="0.25">
      <c r="A2129" s="41">
        <v>112513</v>
      </c>
      <c r="B2129" s="39" t="s">
        <v>3855</v>
      </c>
      <c r="C2129" s="40">
        <v>4</v>
      </c>
      <c r="D2129" s="38" t="s">
        <v>266</v>
      </c>
    </row>
    <row r="2130" spans="1:4" x14ac:dyDescent="0.25">
      <c r="A2130" s="41">
        <v>112600</v>
      </c>
      <c r="B2130" s="39" t="s">
        <v>1237</v>
      </c>
      <c r="C2130" s="40">
        <v>3</v>
      </c>
      <c r="D2130" s="38" t="s">
        <v>1236</v>
      </c>
    </row>
    <row r="2131" spans="1:4" x14ac:dyDescent="0.25">
      <c r="A2131" s="41">
        <v>112613</v>
      </c>
      <c r="B2131" s="39" t="s">
        <v>3856</v>
      </c>
      <c r="C2131" s="40">
        <v>4</v>
      </c>
      <c r="D2131" s="38" t="s">
        <v>266</v>
      </c>
    </row>
    <row r="2132" spans="1:4" x14ac:dyDescent="0.25">
      <c r="A2132" s="41">
        <v>112616</v>
      </c>
      <c r="B2132" s="39" t="s">
        <v>3857</v>
      </c>
      <c r="C2132" s="40">
        <v>4</v>
      </c>
      <c r="D2132" s="38" t="s">
        <v>266</v>
      </c>
    </row>
    <row r="2133" spans="1:4" x14ac:dyDescent="0.25">
      <c r="A2133" s="41">
        <v>112619</v>
      </c>
      <c r="B2133" s="39" t="s">
        <v>3858</v>
      </c>
      <c r="C2133" s="40">
        <v>4</v>
      </c>
      <c r="D2133" s="38" t="s">
        <v>266</v>
      </c>
    </row>
    <row r="2134" spans="1:4" x14ac:dyDescent="0.25">
      <c r="A2134" s="41">
        <v>112700</v>
      </c>
      <c r="B2134" s="39" t="s">
        <v>1239</v>
      </c>
      <c r="C2134" s="40">
        <v>3</v>
      </c>
      <c r="D2134" s="39" t="s">
        <v>1238</v>
      </c>
    </row>
    <row r="2135" spans="1:4" x14ac:dyDescent="0.25">
      <c r="A2135" s="41">
        <v>112713</v>
      </c>
      <c r="B2135" s="39" t="s">
        <v>3859</v>
      </c>
      <c r="C2135" s="40">
        <v>4</v>
      </c>
      <c r="D2135" s="38" t="s">
        <v>266</v>
      </c>
    </row>
    <row r="2136" spans="1:4" x14ac:dyDescent="0.25">
      <c r="A2136" s="41">
        <v>112716</v>
      </c>
      <c r="B2136" s="39" t="s">
        <v>3860</v>
      </c>
      <c r="C2136" s="40">
        <v>4</v>
      </c>
      <c r="D2136" s="38" t="s">
        <v>266</v>
      </c>
    </row>
    <row r="2137" spans="1:4" x14ac:dyDescent="0.25">
      <c r="A2137" s="41">
        <v>112800</v>
      </c>
      <c r="B2137" s="39" t="s">
        <v>1243</v>
      </c>
      <c r="C2137" s="40">
        <v>3</v>
      </c>
      <c r="D2137" s="39" t="s">
        <v>1242</v>
      </c>
    </row>
    <row r="2138" spans="1:4" x14ac:dyDescent="0.25">
      <c r="A2138" s="41">
        <v>112813</v>
      </c>
      <c r="B2138" s="39" t="s">
        <v>3861</v>
      </c>
      <c r="C2138" s="40">
        <v>4</v>
      </c>
      <c r="D2138" s="38" t="s">
        <v>266</v>
      </c>
    </row>
    <row r="2139" spans="1:4" x14ac:dyDescent="0.25">
      <c r="A2139" s="41">
        <v>112816</v>
      </c>
      <c r="B2139" s="39" t="s">
        <v>3862</v>
      </c>
      <c r="C2139" s="40">
        <v>4</v>
      </c>
      <c r="D2139" s="38" t="s">
        <v>266</v>
      </c>
    </row>
    <row r="2140" spans="1:4" x14ac:dyDescent="0.25">
      <c r="A2140" s="41">
        <v>112819</v>
      </c>
      <c r="B2140" s="39" t="s">
        <v>3863</v>
      </c>
      <c r="C2140" s="40">
        <v>4</v>
      </c>
      <c r="D2140" s="38" t="s">
        <v>266</v>
      </c>
    </row>
    <row r="2141" spans="1:4" x14ac:dyDescent="0.25">
      <c r="A2141" s="41">
        <v>112823</v>
      </c>
      <c r="B2141" s="39" t="s">
        <v>3864</v>
      </c>
      <c r="C2141" s="40">
        <v>4</v>
      </c>
      <c r="D2141" s="38" t="s">
        <v>266</v>
      </c>
    </row>
    <row r="2142" spans="1:4" x14ac:dyDescent="0.25">
      <c r="A2142" s="41">
        <v>112900</v>
      </c>
      <c r="B2142" s="39" t="s">
        <v>1241</v>
      </c>
      <c r="C2142" s="40">
        <v>3</v>
      </c>
      <c r="D2142" s="39" t="s">
        <v>1240</v>
      </c>
    </row>
    <row r="2143" spans="1:4" x14ac:dyDescent="0.25">
      <c r="A2143" s="41">
        <v>112923</v>
      </c>
      <c r="B2143" s="39" t="s">
        <v>3865</v>
      </c>
      <c r="C2143" s="40">
        <v>4</v>
      </c>
      <c r="D2143" s="38" t="s">
        <v>266</v>
      </c>
    </row>
    <row r="2144" spans="1:4" x14ac:dyDescent="0.25">
      <c r="A2144" s="41">
        <v>112933</v>
      </c>
      <c r="B2144" s="39" t="s">
        <v>3866</v>
      </c>
      <c r="C2144" s="40">
        <v>4</v>
      </c>
      <c r="D2144" s="38" t="s">
        <v>266</v>
      </c>
    </row>
    <row r="2145" spans="1:4" x14ac:dyDescent="0.25">
      <c r="A2145" s="41">
        <v>112955</v>
      </c>
      <c r="B2145" s="39" t="s">
        <v>3867</v>
      </c>
      <c r="C2145" s="40">
        <v>4</v>
      </c>
      <c r="D2145" s="38" t="s">
        <v>266</v>
      </c>
    </row>
    <row r="2146" spans="1:4" x14ac:dyDescent="0.25">
      <c r="A2146" s="41">
        <v>113000</v>
      </c>
      <c r="B2146" s="39" t="s">
        <v>1259</v>
      </c>
      <c r="C2146" s="40">
        <v>3</v>
      </c>
      <c r="D2146" s="38" t="s">
        <v>1258</v>
      </c>
    </row>
    <row r="2147" spans="1:4" x14ac:dyDescent="0.25">
      <c r="A2147" s="41">
        <v>113100</v>
      </c>
      <c r="B2147" s="39" t="s">
        <v>1261</v>
      </c>
      <c r="C2147" s="40">
        <v>3</v>
      </c>
      <c r="D2147" s="38" t="s">
        <v>266</v>
      </c>
    </row>
    <row r="2148" spans="1:4" x14ac:dyDescent="0.25">
      <c r="A2148" s="41">
        <v>113113</v>
      </c>
      <c r="B2148" s="39" t="s">
        <v>3868</v>
      </c>
      <c r="C2148" s="40">
        <v>4</v>
      </c>
      <c r="D2148" s="38" t="s">
        <v>266</v>
      </c>
    </row>
    <row r="2149" spans="1:4" x14ac:dyDescent="0.25">
      <c r="A2149" s="41">
        <v>113123</v>
      </c>
      <c r="B2149" s="39" t="s">
        <v>3869</v>
      </c>
      <c r="C2149" s="40">
        <v>4</v>
      </c>
      <c r="D2149" s="38" t="s">
        <v>266</v>
      </c>
    </row>
    <row r="2150" spans="1:4" x14ac:dyDescent="0.25">
      <c r="A2150" s="41">
        <v>113300</v>
      </c>
      <c r="B2150" s="39" t="s">
        <v>1263</v>
      </c>
      <c r="C2150" s="40">
        <v>3</v>
      </c>
      <c r="D2150" s="38" t="s">
        <v>1262</v>
      </c>
    </row>
    <row r="2151" spans="1:4" x14ac:dyDescent="0.25">
      <c r="A2151" s="41">
        <v>113400</v>
      </c>
      <c r="B2151" s="39" t="s">
        <v>1265</v>
      </c>
      <c r="C2151" s="40">
        <v>3</v>
      </c>
      <c r="D2151" s="38" t="s">
        <v>1264</v>
      </c>
    </row>
    <row r="2152" spans="1:4" x14ac:dyDescent="0.25">
      <c r="A2152" s="41">
        <v>114000</v>
      </c>
      <c r="B2152" s="39" t="s">
        <v>1245</v>
      </c>
      <c r="C2152" s="40">
        <v>3</v>
      </c>
      <c r="D2152" s="39" t="s">
        <v>1244</v>
      </c>
    </row>
    <row r="2153" spans="1:4" x14ac:dyDescent="0.25">
      <c r="A2153" s="41">
        <v>114100</v>
      </c>
      <c r="B2153" s="39" t="s">
        <v>3870</v>
      </c>
      <c r="C2153" s="40">
        <v>3</v>
      </c>
      <c r="D2153" s="38" t="s">
        <v>266</v>
      </c>
    </row>
    <row r="2154" spans="1:4" x14ac:dyDescent="0.25">
      <c r="A2154" s="41">
        <v>114113</v>
      </c>
      <c r="B2154" s="39" t="s">
        <v>3871</v>
      </c>
      <c r="C2154" s="40">
        <v>4</v>
      </c>
      <c r="D2154" s="38" t="s">
        <v>266</v>
      </c>
    </row>
    <row r="2155" spans="1:4" x14ac:dyDescent="0.25">
      <c r="A2155" s="41">
        <v>114123</v>
      </c>
      <c r="B2155" s="39" t="s">
        <v>3872</v>
      </c>
      <c r="C2155" s="40">
        <v>4</v>
      </c>
      <c r="D2155" s="38" t="s">
        <v>266</v>
      </c>
    </row>
    <row r="2156" spans="1:4" x14ac:dyDescent="0.25">
      <c r="A2156" s="41">
        <v>114126</v>
      </c>
      <c r="B2156" s="39" t="s">
        <v>3873</v>
      </c>
      <c r="C2156" s="40">
        <v>4</v>
      </c>
      <c r="D2156" s="38" t="s">
        <v>266</v>
      </c>
    </row>
    <row r="2157" spans="1:4" x14ac:dyDescent="0.25">
      <c r="A2157" s="41">
        <v>114133</v>
      </c>
      <c r="B2157" s="39" t="s">
        <v>3874</v>
      </c>
      <c r="C2157" s="40">
        <v>4</v>
      </c>
      <c r="D2157" s="38" t="s">
        <v>266</v>
      </c>
    </row>
    <row r="2158" spans="1:4" x14ac:dyDescent="0.25">
      <c r="A2158" s="41">
        <v>114200</v>
      </c>
      <c r="B2158" s="39" t="s">
        <v>3875</v>
      </c>
      <c r="C2158" s="40">
        <v>3</v>
      </c>
      <c r="D2158" s="38" t="s">
        <v>266</v>
      </c>
    </row>
    <row r="2159" spans="1:4" x14ac:dyDescent="0.25">
      <c r="A2159" s="41">
        <v>114213</v>
      </c>
      <c r="B2159" s="39" t="s">
        <v>3876</v>
      </c>
      <c r="C2159" s="40">
        <v>4</v>
      </c>
      <c r="D2159" s="38" t="s">
        <v>266</v>
      </c>
    </row>
    <row r="2160" spans="1:4" x14ac:dyDescent="0.25">
      <c r="A2160" s="41">
        <v>114219</v>
      </c>
      <c r="B2160" s="39" t="s">
        <v>3877</v>
      </c>
      <c r="C2160" s="40">
        <v>4</v>
      </c>
      <c r="D2160" s="38" t="s">
        <v>266</v>
      </c>
    </row>
    <row r="2161" spans="1:4" x14ac:dyDescent="0.25">
      <c r="A2161" s="41">
        <v>114300</v>
      </c>
      <c r="B2161" s="39" t="s">
        <v>3878</v>
      </c>
      <c r="C2161" s="40">
        <v>3</v>
      </c>
      <c r="D2161" s="38" t="s">
        <v>266</v>
      </c>
    </row>
    <row r="2162" spans="1:4" x14ac:dyDescent="0.25">
      <c r="A2162" s="41">
        <v>114313</v>
      </c>
      <c r="B2162" s="39" t="s">
        <v>3879</v>
      </c>
      <c r="C2162" s="40">
        <v>4</v>
      </c>
      <c r="D2162" s="38" t="s">
        <v>266</v>
      </c>
    </row>
    <row r="2163" spans="1:4" x14ac:dyDescent="0.25">
      <c r="A2163" s="41">
        <v>114316</v>
      </c>
      <c r="B2163" s="39" t="s">
        <v>3880</v>
      </c>
      <c r="C2163" s="40">
        <v>4</v>
      </c>
      <c r="D2163" s="38" t="s">
        <v>266</v>
      </c>
    </row>
    <row r="2164" spans="1:4" x14ac:dyDescent="0.25">
      <c r="A2164" s="41">
        <v>114400</v>
      </c>
      <c r="B2164" s="39" t="s">
        <v>3881</v>
      </c>
      <c r="C2164" s="40">
        <v>3</v>
      </c>
      <c r="D2164" s="38" t="s">
        <v>266</v>
      </c>
    </row>
    <row r="2165" spans="1:4" x14ac:dyDescent="0.25">
      <c r="A2165" s="41">
        <v>114413</v>
      </c>
      <c r="B2165" s="39" t="s">
        <v>3882</v>
      </c>
      <c r="C2165" s="40">
        <v>4</v>
      </c>
      <c r="D2165" s="38" t="s">
        <v>266</v>
      </c>
    </row>
    <row r="2166" spans="1:4" x14ac:dyDescent="0.25">
      <c r="A2166" s="41">
        <v>114416</v>
      </c>
      <c r="B2166" s="39" t="s">
        <v>3883</v>
      </c>
      <c r="C2166" s="40">
        <v>4</v>
      </c>
      <c r="D2166" s="38" t="s">
        <v>266</v>
      </c>
    </row>
    <row r="2167" spans="1:4" x14ac:dyDescent="0.25">
      <c r="A2167" s="41">
        <v>114600</v>
      </c>
      <c r="B2167" s="39" t="s">
        <v>3884</v>
      </c>
      <c r="C2167" s="40">
        <v>3</v>
      </c>
      <c r="D2167" s="38" t="s">
        <v>266</v>
      </c>
    </row>
    <row r="2168" spans="1:4" x14ac:dyDescent="0.25">
      <c r="A2168" s="41">
        <v>114613</v>
      </c>
      <c r="B2168" s="39" t="s">
        <v>3885</v>
      </c>
      <c r="C2168" s="40">
        <v>4</v>
      </c>
      <c r="D2168" s="38" t="s">
        <v>266</v>
      </c>
    </row>
    <row r="2169" spans="1:4" x14ac:dyDescent="0.25">
      <c r="A2169" s="41">
        <v>114616</v>
      </c>
      <c r="B2169" s="39" t="s">
        <v>3886</v>
      </c>
      <c r="C2169" s="40">
        <v>4</v>
      </c>
      <c r="D2169" s="38" t="s">
        <v>266</v>
      </c>
    </row>
    <row r="2170" spans="1:4" x14ac:dyDescent="0.25">
      <c r="A2170" s="41">
        <v>114619</v>
      </c>
      <c r="B2170" s="39" t="s">
        <v>3887</v>
      </c>
      <c r="C2170" s="40">
        <v>4</v>
      </c>
      <c r="D2170" s="38" t="s">
        <v>266</v>
      </c>
    </row>
    <row r="2171" spans="1:4" x14ac:dyDescent="0.25">
      <c r="A2171" s="41">
        <v>114700</v>
      </c>
      <c r="B2171" s="39" t="s">
        <v>3888</v>
      </c>
      <c r="C2171" s="40">
        <v>3</v>
      </c>
      <c r="D2171" s="38" t="s">
        <v>266</v>
      </c>
    </row>
    <row r="2172" spans="1:4" x14ac:dyDescent="0.25">
      <c r="A2172" s="41">
        <v>114800</v>
      </c>
      <c r="B2172" s="39" t="s">
        <v>3889</v>
      </c>
      <c r="C2172" s="40">
        <v>3</v>
      </c>
      <c r="D2172" s="38" t="s">
        <v>266</v>
      </c>
    </row>
    <row r="2173" spans="1:4" x14ac:dyDescent="0.25">
      <c r="A2173" s="41">
        <v>114813</v>
      </c>
      <c r="B2173" s="39" t="s">
        <v>3890</v>
      </c>
      <c r="C2173" s="40">
        <v>4</v>
      </c>
      <c r="D2173" s="38" t="s">
        <v>266</v>
      </c>
    </row>
    <row r="2174" spans="1:4" x14ac:dyDescent="0.25">
      <c r="A2174" s="41">
        <v>115000</v>
      </c>
      <c r="B2174" s="39" t="s">
        <v>1249</v>
      </c>
      <c r="C2174" s="40">
        <v>3</v>
      </c>
      <c r="D2174" s="38" t="s">
        <v>1246</v>
      </c>
    </row>
    <row r="2175" spans="1:4" x14ac:dyDescent="0.25">
      <c r="A2175" s="41">
        <v>115100</v>
      </c>
      <c r="B2175" s="39" t="s">
        <v>3891</v>
      </c>
      <c r="C2175" s="40">
        <v>3</v>
      </c>
      <c r="D2175" s="38" t="s">
        <v>266</v>
      </c>
    </row>
    <row r="2176" spans="1:4" x14ac:dyDescent="0.25">
      <c r="A2176" s="41">
        <v>115113</v>
      </c>
      <c r="B2176" s="39" t="s">
        <v>3892</v>
      </c>
      <c r="C2176" s="40">
        <v>4</v>
      </c>
      <c r="D2176" s="38" t="s">
        <v>266</v>
      </c>
    </row>
    <row r="2177" spans="1:4" x14ac:dyDescent="0.25">
      <c r="A2177" s="41">
        <v>115116</v>
      </c>
      <c r="B2177" s="39" t="s">
        <v>3893</v>
      </c>
      <c r="C2177" s="40">
        <v>4</v>
      </c>
      <c r="D2177" s="38" t="s">
        <v>266</v>
      </c>
    </row>
    <row r="2178" spans="1:4" x14ac:dyDescent="0.25">
      <c r="A2178" s="41">
        <v>115119</v>
      </c>
      <c r="B2178" s="39" t="s">
        <v>3894</v>
      </c>
      <c r="C2178" s="40">
        <v>4</v>
      </c>
      <c r="D2178" s="38" t="s">
        <v>266</v>
      </c>
    </row>
    <row r="2179" spans="1:4" x14ac:dyDescent="0.25">
      <c r="A2179" s="41">
        <v>115123</v>
      </c>
      <c r="B2179" s="39" t="s">
        <v>3895</v>
      </c>
      <c r="C2179" s="40">
        <v>4</v>
      </c>
      <c r="D2179" s="38" t="s">
        <v>266</v>
      </c>
    </row>
    <row r="2180" spans="1:4" x14ac:dyDescent="0.25">
      <c r="A2180" s="42">
        <v>115123.13</v>
      </c>
      <c r="B2180" s="39" t="s">
        <v>3896</v>
      </c>
      <c r="C2180" s="40">
        <v>5</v>
      </c>
      <c r="D2180" s="38" t="s">
        <v>266</v>
      </c>
    </row>
    <row r="2181" spans="1:4" x14ac:dyDescent="0.25">
      <c r="A2181" s="41">
        <v>115200</v>
      </c>
      <c r="B2181" s="39" t="s">
        <v>3897</v>
      </c>
      <c r="C2181" s="40">
        <v>3</v>
      </c>
      <c r="D2181" s="38" t="s">
        <v>266</v>
      </c>
    </row>
    <row r="2182" spans="1:4" x14ac:dyDescent="0.25">
      <c r="A2182" s="41">
        <v>115213</v>
      </c>
      <c r="B2182" s="39" t="s">
        <v>3898</v>
      </c>
      <c r="C2182" s="40">
        <v>4</v>
      </c>
      <c r="D2182" s="38" t="s">
        <v>266</v>
      </c>
    </row>
    <row r="2183" spans="1:4" x14ac:dyDescent="0.25">
      <c r="A2183" s="42">
        <v>115213.13</v>
      </c>
      <c r="B2183" s="39" t="s">
        <v>3899</v>
      </c>
      <c r="C2183" s="40">
        <v>5</v>
      </c>
      <c r="D2183" s="38" t="s">
        <v>266</v>
      </c>
    </row>
    <row r="2184" spans="1:4" x14ac:dyDescent="0.25">
      <c r="A2184" s="42">
        <v>115213.16</v>
      </c>
      <c r="B2184" s="39" t="s">
        <v>3900</v>
      </c>
      <c r="C2184" s="40">
        <v>5</v>
      </c>
      <c r="D2184" s="38" t="s">
        <v>266</v>
      </c>
    </row>
    <row r="2185" spans="1:4" x14ac:dyDescent="0.25">
      <c r="A2185" s="42">
        <v>115213.19</v>
      </c>
      <c r="B2185" s="39" t="s">
        <v>3901</v>
      </c>
      <c r="C2185" s="40">
        <v>5</v>
      </c>
      <c r="D2185" s="38" t="s">
        <v>266</v>
      </c>
    </row>
    <row r="2186" spans="1:4" x14ac:dyDescent="0.25">
      <c r="A2186" s="41">
        <v>115216</v>
      </c>
      <c r="B2186" s="39" t="s">
        <v>3902</v>
      </c>
      <c r="C2186" s="40">
        <v>4</v>
      </c>
      <c r="D2186" s="38" t="s">
        <v>266</v>
      </c>
    </row>
    <row r="2187" spans="1:4" x14ac:dyDescent="0.25">
      <c r="A2187" s="42">
        <v>115216.13</v>
      </c>
      <c r="B2187" s="39" t="s">
        <v>3903</v>
      </c>
      <c r="C2187" s="40">
        <v>5</v>
      </c>
      <c r="D2187" s="38" t="s">
        <v>266</v>
      </c>
    </row>
    <row r="2188" spans="1:4" x14ac:dyDescent="0.25">
      <c r="A2188" s="42">
        <v>115216.16</v>
      </c>
      <c r="B2188" s="39" t="s">
        <v>3904</v>
      </c>
      <c r="C2188" s="40">
        <v>5</v>
      </c>
      <c r="D2188" s="38" t="s">
        <v>266</v>
      </c>
    </row>
    <row r="2189" spans="1:4" x14ac:dyDescent="0.25">
      <c r="A2189" s="42">
        <v>115216.19</v>
      </c>
      <c r="B2189" s="39" t="s">
        <v>3905</v>
      </c>
      <c r="C2189" s="40">
        <v>5</v>
      </c>
      <c r="D2189" s="38" t="s">
        <v>266</v>
      </c>
    </row>
    <row r="2190" spans="1:4" x14ac:dyDescent="0.25">
      <c r="A2190" s="42">
        <v>115216.23</v>
      </c>
      <c r="B2190" s="39" t="s">
        <v>3906</v>
      </c>
      <c r="C2190" s="40">
        <v>5</v>
      </c>
      <c r="D2190" s="38" t="s">
        <v>266</v>
      </c>
    </row>
    <row r="2191" spans="1:4" x14ac:dyDescent="0.25">
      <c r="A2191" s="42">
        <v>115216.26</v>
      </c>
      <c r="B2191" s="39" t="s">
        <v>3907</v>
      </c>
      <c r="C2191" s="40">
        <v>5</v>
      </c>
      <c r="D2191" s="38" t="s">
        <v>266</v>
      </c>
    </row>
    <row r="2192" spans="1:4" x14ac:dyDescent="0.25">
      <c r="A2192" s="41">
        <v>115219</v>
      </c>
      <c r="B2192" s="39" t="s">
        <v>3908</v>
      </c>
      <c r="C2192" s="40">
        <v>4</v>
      </c>
      <c r="D2192" s="38" t="s">
        <v>266</v>
      </c>
    </row>
    <row r="2193" spans="1:4" x14ac:dyDescent="0.25">
      <c r="A2193" s="41">
        <v>115223</v>
      </c>
      <c r="B2193" s="39" t="s">
        <v>3909</v>
      </c>
      <c r="C2193" s="40">
        <v>4</v>
      </c>
      <c r="D2193" s="38" t="s">
        <v>266</v>
      </c>
    </row>
    <row r="2194" spans="1:4" x14ac:dyDescent="0.25">
      <c r="A2194" s="41">
        <v>115300</v>
      </c>
      <c r="B2194" s="39" t="s">
        <v>3910</v>
      </c>
      <c r="C2194" s="40">
        <v>3</v>
      </c>
      <c r="D2194" s="38" t="s">
        <v>266</v>
      </c>
    </row>
    <row r="2195" spans="1:4" x14ac:dyDescent="0.25">
      <c r="A2195" s="41">
        <v>115313</v>
      </c>
      <c r="B2195" s="39" t="s">
        <v>3911</v>
      </c>
      <c r="C2195" s="40">
        <v>4</v>
      </c>
      <c r="D2195" s="38" t="s">
        <v>266</v>
      </c>
    </row>
    <row r="2196" spans="1:4" x14ac:dyDescent="0.25">
      <c r="A2196" s="42">
        <v>115313.13</v>
      </c>
      <c r="B2196" s="39" t="s">
        <v>3912</v>
      </c>
      <c r="C2196" s="40">
        <v>5</v>
      </c>
      <c r="D2196" s="38" t="s">
        <v>266</v>
      </c>
    </row>
    <row r="2197" spans="1:4" x14ac:dyDescent="0.25">
      <c r="A2197" s="41">
        <v>115316</v>
      </c>
      <c r="B2197" s="39" t="s">
        <v>3913</v>
      </c>
      <c r="C2197" s="40">
        <v>4</v>
      </c>
      <c r="D2197" s="38" t="s">
        <v>266</v>
      </c>
    </row>
    <row r="2198" spans="1:4" x14ac:dyDescent="0.25">
      <c r="A2198" s="41">
        <v>115317</v>
      </c>
      <c r="B2198" s="39" t="s">
        <v>3914</v>
      </c>
      <c r="C2198" s="40">
        <v>4</v>
      </c>
      <c r="D2198" s="38" t="s">
        <v>266</v>
      </c>
    </row>
    <row r="2199" spans="1:4" x14ac:dyDescent="0.25">
      <c r="A2199" s="41">
        <v>115319</v>
      </c>
      <c r="B2199" s="39" t="s">
        <v>3915</v>
      </c>
      <c r="C2199" s="40">
        <v>4</v>
      </c>
      <c r="D2199" s="38" t="s">
        <v>266</v>
      </c>
    </row>
    <row r="2200" spans="1:4" x14ac:dyDescent="0.25">
      <c r="A2200" s="41">
        <v>115323</v>
      </c>
      <c r="B2200" s="39" t="s">
        <v>3916</v>
      </c>
      <c r="C2200" s="40">
        <v>4</v>
      </c>
      <c r="D2200" s="38" t="s">
        <v>266</v>
      </c>
    </row>
    <row r="2201" spans="1:4" x14ac:dyDescent="0.25">
      <c r="A2201" s="41">
        <v>115326</v>
      </c>
      <c r="B2201" s="39" t="s">
        <v>3917</v>
      </c>
      <c r="C2201" s="40">
        <v>4</v>
      </c>
      <c r="D2201" s="38" t="s">
        <v>266</v>
      </c>
    </row>
    <row r="2202" spans="1:4" x14ac:dyDescent="0.25">
      <c r="A2202" s="41">
        <v>115329</v>
      </c>
      <c r="B2202" s="39" t="s">
        <v>3918</v>
      </c>
      <c r="C2202" s="40">
        <v>4</v>
      </c>
      <c r="D2202" s="38" t="s">
        <v>266</v>
      </c>
    </row>
    <row r="2203" spans="1:4" x14ac:dyDescent="0.25">
      <c r="A2203" s="41">
        <v>115333</v>
      </c>
      <c r="B2203" s="39" t="s">
        <v>3919</v>
      </c>
      <c r="C2203" s="40">
        <v>4</v>
      </c>
      <c r="D2203" s="38" t="s">
        <v>266</v>
      </c>
    </row>
    <row r="2204" spans="1:4" x14ac:dyDescent="0.25">
      <c r="A2204" s="41">
        <v>115343</v>
      </c>
      <c r="B2204" s="39" t="s">
        <v>3920</v>
      </c>
      <c r="C2204" s="40">
        <v>4</v>
      </c>
      <c r="D2204" s="38" t="s">
        <v>266</v>
      </c>
    </row>
    <row r="2205" spans="1:4" x14ac:dyDescent="0.25">
      <c r="A2205" s="41">
        <v>115353</v>
      </c>
      <c r="B2205" s="39" t="s">
        <v>3921</v>
      </c>
      <c r="C2205" s="40">
        <v>4</v>
      </c>
      <c r="D2205" s="38" t="s">
        <v>266</v>
      </c>
    </row>
    <row r="2206" spans="1:4" x14ac:dyDescent="0.25">
      <c r="A2206" s="41">
        <v>115500</v>
      </c>
      <c r="B2206" s="39" t="s">
        <v>3922</v>
      </c>
      <c r="C2206" s="40">
        <v>3</v>
      </c>
      <c r="D2206" s="38" t="s">
        <v>266</v>
      </c>
    </row>
    <row r="2207" spans="1:4" x14ac:dyDescent="0.25">
      <c r="A2207" s="41">
        <v>115513</v>
      </c>
      <c r="B2207" s="39" t="s">
        <v>3923</v>
      </c>
      <c r="C2207" s="40">
        <v>4</v>
      </c>
      <c r="D2207" s="38" t="s">
        <v>266</v>
      </c>
    </row>
    <row r="2208" spans="1:4" x14ac:dyDescent="0.25">
      <c r="A2208" s="41">
        <v>115516</v>
      </c>
      <c r="B2208" s="39" t="s">
        <v>3924</v>
      </c>
      <c r="C2208" s="40">
        <v>4</v>
      </c>
      <c r="D2208" s="38" t="s">
        <v>266</v>
      </c>
    </row>
    <row r="2209" spans="1:4" x14ac:dyDescent="0.25">
      <c r="A2209" s="41">
        <v>115600</v>
      </c>
      <c r="B2209" s="39" t="s">
        <v>3925</v>
      </c>
      <c r="C2209" s="40">
        <v>3</v>
      </c>
      <c r="D2209" s="38" t="s">
        <v>266</v>
      </c>
    </row>
    <row r="2210" spans="1:4" x14ac:dyDescent="0.25">
      <c r="A2210" s="41">
        <v>115613</v>
      </c>
      <c r="B2210" s="39" t="s">
        <v>3926</v>
      </c>
      <c r="C2210" s="40">
        <v>4</v>
      </c>
      <c r="D2210" s="38" t="s">
        <v>266</v>
      </c>
    </row>
    <row r="2211" spans="1:4" x14ac:dyDescent="0.25">
      <c r="A2211" s="41">
        <v>115616</v>
      </c>
      <c r="B2211" s="39" t="s">
        <v>3927</v>
      </c>
      <c r="C2211" s="40">
        <v>4</v>
      </c>
      <c r="D2211" s="38" t="s">
        <v>266</v>
      </c>
    </row>
    <row r="2212" spans="1:4" x14ac:dyDescent="0.25">
      <c r="A2212" s="41">
        <v>115619</v>
      </c>
      <c r="B2212" s="39" t="s">
        <v>3928</v>
      </c>
      <c r="C2212" s="40">
        <v>4</v>
      </c>
      <c r="D2212" s="38" t="s">
        <v>266</v>
      </c>
    </row>
    <row r="2213" spans="1:4" x14ac:dyDescent="0.25">
      <c r="A2213" s="41">
        <v>115623</v>
      </c>
      <c r="B2213" s="39" t="s">
        <v>3929</v>
      </c>
      <c r="C2213" s="40">
        <v>4</v>
      </c>
      <c r="D2213" s="38" t="s">
        <v>266</v>
      </c>
    </row>
    <row r="2214" spans="1:4" x14ac:dyDescent="0.25">
      <c r="A2214" s="41">
        <v>115700</v>
      </c>
      <c r="B2214" s="39" t="s">
        <v>3930</v>
      </c>
      <c r="C2214" s="40">
        <v>3</v>
      </c>
      <c r="D2214" s="38" t="s">
        <v>266</v>
      </c>
    </row>
    <row r="2215" spans="1:4" x14ac:dyDescent="0.25">
      <c r="A2215" s="41">
        <v>115900</v>
      </c>
      <c r="B2215" s="39" t="s">
        <v>3931</v>
      </c>
      <c r="C2215" s="40">
        <v>3</v>
      </c>
      <c r="D2215" s="38" t="s">
        <v>266</v>
      </c>
    </row>
    <row r="2216" spans="1:4" x14ac:dyDescent="0.25">
      <c r="A2216" s="41">
        <v>116000</v>
      </c>
      <c r="B2216" s="39" t="s">
        <v>3932</v>
      </c>
      <c r="C2216" s="40">
        <v>3</v>
      </c>
      <c r="D2216" s="38" t="s">
        <v>266</v>
      </c>
    </row>
    <row r="2217" spans="1:4" x14ac:dyDescent="0.25">
      <c r="A2217" s="41">
        <v>116100</v>
      </c>
      <c r="B2217" s="39" t="s">
        <v>1269</v>
      </c>
      <c r="C2217" s="40">
        <v>3</v>
      </c>
      <c r="D2217" s="39" t="s">
        <v>1268</v>
      </c>
    </row>
    <row r="2218" spans="1:4" x14ac:dyDescent="0.25">
      <c r="A2218" s="41">
        <v>116113</v>
      </c>
      <c r="B2218" s="39" t="s">
        <v>3933</v>
      </c>
      <c r="C2218" s="40">
        <v>4</v>
      </c>
      <c r="D2218" s="38" t="s">
        <v>266</v>
      </c>
    </row>
    <row r="2219" spans="1:4" x14ac:dyDescent="0.25">
      <c r="A2219" s="41">
        <v>116123</v>
      </c>
      <c r="B2219" s="39" t="s">
        <v>3934</v>
      </c>
      <c r="C2219" s="40">
        <v>4</v>
      </c>
      <c r="D2219" s="38" t="s">
        <v>266</v>
      </c>
    </row>
    <row r="2220" spans="1:4" x14ac:dyDescent="0.25">
      <c r="A2220" s="41">
        <v>116133</v>
      </c>
      <c r="B2220" s="39" t="s">
        <v>3935</v>
      </c>
      <c r="C2220" s="40">
        <v>4</v>
      </c>
      <c r="D2220" s="38" t="s">
        <v>266</v>
      </c>
    </row>
    <row r="2221" spans="1:4" x14ac:dyDescent="0.25">
      <c r="A2221" s="41">
        <v>116143</v>
      </c>
      <c r="B2221" s="39" t="s">
        <v>3936</v>
      </c>
      <c r="C2221" s="40">
        <v>4</v>
      </c>
      <c r="D2221" s="38" t="s">
        <v>266</v>
      </c>
    </row>
    <row r="2222" spans="1:4" x14ac:dyDescent="0.25">
      <c r="A2222" s="41">
        <v>116200</v>
      </c>
      <c r="B2222" s="39" t="s">
        <v>1271</v>
      </c>
      <c r="C2222" s="40">
        <v>3</v>
      </c>
      <c r="D2222" s="39" t="s">
        <v>1270</v>
      </c>
    </row>
    <row r="2223" spans="1:4" x14ac:dyDescent="0.25">
      <c r="A2223" s="41">
        <v>116213</v>
      </c>
      <c r="B2223" s="39" t="s">
        <v>3937</v>
      </c>
      <c r="C2223" s="40">
        <v>4</v>
      </c>
      <c r="D2223" s="38" t="s">
        <v>266</v>
      </c>
    </row>
    <row r="2224" spans="1:4" x14ac:dyDescent="0.25">
      <c r="A2224" s="41">
        <v>116216</v>
      </c>
      <c r="B2224" s="39" t="s">
        <v>3938</v>
      </c>
      <c r="C2224" s="40">
        <v>4</v>
      </c>
      <c r="D2224" s="38" t="s">
        <v>266</v>
      </c>
    </row>
    <row r="2225" spans="1:4" x14ac:dyDescent="0.25">
      <c r="A2225" s="41">
        <v>116219</v>
      </c>
      <c r="B2225" s="39" t="s">
        <v>3939</v>
      </c>
      <c r="C2225" s="40">
        <v>4</v>
      </c>
      <c r="D2225" s="38" t="s">
        <v>266</v>
      </c>
    </row>
    <row r="2226" spans="1:4" x14ac:dyDescent="0.25">
      <c r="A2226" s="41">
        <v>116500</v>
      </c>
      <c r="B2226" s="39" t="s">
        <v>3940</v>
      </c>
      <c r="C2226" s="40">
        <v>3</v>
      </c>
      <c r="D2226" s="38" t="s">
        <v>266</v>
      </c>
    </row>
    <row r="2227" spans="1:4" x14ac:dyDescent="0.25">
      <c r="A2227" s="41">
        <v>116600</v>
      </c>
      <c r="B2227" s="39" t="s">
        <v>1273</v>
      </c>
      <c r="C2227" s="40">
        <v>3</v>
      </c>
      <c r="D2227" s="39" t="s">
        <v>1272</v>
      </c>
    </row>
    <row r="2228" spans="1:4" x14ac:dyDescent="0.25">
      <c r="A2228" s="41">
        <v>116613</v>
      </c>
      <c r="B2228" s="39" t="s">
        <v>3941</v>
      </c>
      <c r="C2228" s="40">
        <v>4</v>
      </c>
      <c r="D2228" s="38" t="s">
        <v>266</v>
      </c>
    </row>
    <row r="2229" spans="1:4" x14ac:dyDescent="0.25">
      <c r="A2229" s="41">
        <v>116623</v>
      </c>
      <c r="B2229" s="39" t="s">
        <v>3942</v>
      </c>
      <c r="C2229" s="40">
        <v>4</v>
      </c>
      <c r="D2229" s="38" t="s">
        <v>266</v>
      </c>
    </row>
    <row r="2230" spans="1:4" x14ac:dyDescent="0.25">
      <c r="A2230" s="42">
        <v>116623.13</v>
      </c>
      <c r="B2230" s="39" t="s">
        <v>3943</v>
      </c>
      <c r="C2230" s="40">
        <v>5</v>
      </c>
      <c r="D2230" s="38" t="s">
        <v>266</v>
      </c>
    </row>
    <row r="2231" spans="1:4" x14ac:dyDescent="0.25">
      <c r="A2231" s="42">
        <v>116623.23</v>
      </c>
      <c r="B2231" s="39" t="s">
        <v>3944</v>
      </c>
      <c r="C2231" s="40">
        <v>5</v>
      </c>
      <c r="D2231" s="38" t="s">
        <v>266</v>
      </c>
    </row>
    <row r="2232" spans="1:4" x14ac:dyDescent="0.25">
      <c r="A2232" s="42">
        <v>116623.33</v>
      </c>
      <c r="B2232" s="39" t="s">
        <v>3945</v>
      </c>
      <c r="C2232" s="40">
        <v>5</v>
      </c>
      <c r="D2232" s="38" t="s">
        <v>266</v>
      </c>
    </row>
    <row r="2233" spans="1:4" x14ac:dyDescent="0.25">
      <c r="A2233" s="42">
        <v>116623.43</v>
      </c>
      <c r="B2233" s="39" t="s">
        <v>3946</v>
      </c>
      <c r="C2233" s="40">
        <v>5</v>
      </c>
      <c r="D2233" s="38" t="s">
        <v>266</v>
      </c>
    </row>
    <row r="2234" spans="1:4" x14ac:dyDescent="0.25">
      <c r="A2234" s="42">
        <v>116623.53</v>
      </c>
      <c r="B2234" s="39" t="s">
        <v>3947</v>
      </c>
      <c r="C2234" s="40">
        <v>5</v>
      </c>
      <c r="D2234" s="38" t="s">
        <v>266</v>
      </c>
    </row>
    <row r="2235" spans="1:4" x14ac:dyDescent="0.25">
      <c r="A2235" s="42">
        <v>116623.56</v>
      </c>
      <c r="B2235" s="39" t="s">
        <v>3948</v>
      </c>
      <c r="C2235" s="40">
        <v>5</v>
      </c>
      <c r="D2235" s="38" t="s">
        <v>266</v>
      </c>
    </row>
    <row r="2236" spans="1:4" x14ac:dyDescent="0.25">
      <c r="A2236" s="41">
        <v>116643</v>
      </c>
      <c r="B2236" s="39" t="s">
        <v>3949</v>
      </c>
      <c r="C2236" s="40">
        <v>4</v>
      </c>
      <c r="D2236" s="38" t="s">
        <v>266</v>
      </c>
    </row>
    <row r="2237" spans="1:4" x14ac:dyDescent="0.25">
      <c r="A2237" s="41">
        <v>116653</v>
      </c>
      <c r="B2237" s="39" t="s">
        <v>3950</v>
      </c>
      <c r="C2237" s="40">
        <v>4</v>
      </c>
      <c r="D2237" s="38" t="s">
        <v>266</v>
      </c>
    </row>
    <row r="2238" spans="1:4" x14ac:dyDescent="0.25">
      <c r="A2238" s="42">
        <v>116653.13</v>
      </c>
      <c r="B2238" s="39" t="s">
        <v>3951</v>
      </c>
      <c r="C2238" s="40">
        <v>5</v>
      </c>
      <c r="D2238" s="38" t="s">
        <v>266</v>
      </c>
    </row>
    <row r="2239" spans="1:4" x14ac:dyDescent="0.25">
      <c r="A2239" s="41">
        <v>116700</v>
      </c>
      <c r="B2239" s="39" t="s">
        <v>1275</v>
      </c>
      <c r="C2239" s="40">
        <v>3</v>
      </c>
      <c r="D2239" s="39" t="s">
        <v>1266</v>
      </c>
    </row>
    <row r="2240" spans="1:4" x14ac:dyDescent="0.25">
      <c r="A2240" s="41">
        <v>116713</v>
      </c>
      <c r="B2240" s="39" t="s">
        <v>3952</v>
      </c>
      <c r="C2240" s="40">
        <v>4</v>
      </c>
      <c r="D2240" s="38" t="s">
        <v>266</v>
      </c>
    </row>
    <row r="2241" spans="1:4" x14ac:dyDescent="0.25">
      <c r="A2241" s="41">
        <v>116723</v>
      </c>
      <c r="B2241" s="39" t="s">
        <v>3953</v>
      </c>
      <c r="C2241" s="40">
        <v>4</v>
      </c>
      <c r="D2241" s="38" t="s">
        <v>266</v>
      </c>
    </row>
    <row r="2242" spans="1:4" x14ac:dyDescent="0.25">
      <c r="A2242" s="41">
        <v>116733</v>
      </c>
      <c r="B2242" s="39" t="s">
        <v>3954</v>
      </c>
      <c r="C2242" s="40">
        <v>4</v>
      </c>
      <c r="D2242" s="38" t="s">
        <v>266</v>
      </c>
    </row>
    <row r="2243" spans="1:4" x14ac:dyDescent="0.25">
      <c r="A2243" s="41">
        <v>116743</v>
      </c>
      <c r="B2243" s="39" t="s">
        <v>3955</v>
      </c>
      <c r="C2243" s="40">
        <v>4</v>
      </c>
      <c r="D2243" s="38" t="s">
        <v>266</v>
      </c>
    </row>
    <row r="2244" spans="1:4" x14ac:dyDescent="0.25">
      <c r="A2244" s="42">
        <v>116743.13</v>
      </c>
      <c r="B2244" s="39" t="s">
        <v>3956</v>
      </c>
      <c r="C2244" s="40">
        <v>5</v>
      </c>
      <c r="D2244" s="38" t="s">
        <v>266</v>
      </c>
    </row>
    <row r="2245" spans="1:4" x14ac:dyDescent="0.25">
      <c r="A2245" s="42">
        <v>116743.23</v>
      </c>
      <c r="B2245" s="39" t="s">
        <v>3957</v>
      </c>
      <c r="C2245" s="40">
        <v>5</v>
      </c>
      <c r="D2245" s="38" t="s">
        <v>266</v>
      </c>
    </row>
    <row r="2246" spans="1:4" x14ac:dyDescent="0.25">
      <c r="A2246" s="41">
        <v>116753</v>
      </c>
      <c r="B2246" s="39" t="s">
        <v>3958</v>
      </c>
      <c r="C2246" s="40">
        <v>4</v>
      </c>
      <c r="D2246" s="38" t="s">
        <v>266</v>
      </c>
    </row>
    <row r="2247" spans="1:4" x14ac:dyDescent="0.25">
      <c r="A2247" s="42">
        <v>116753.13</v>
      </c>
      <c r="B2247" s="39" t="s">
        <v>3959</v>
      </c>
      <c r="C2247" s="40">
        <v>5</v>
      </c>
      <c r="D2247" s="38" t="s">
        <v>266</v>
      </c>
    </row>
    <row r="2248" spans="1:4" x14ac:dyDescent="0.25">
      <c r="A2248" s="42">
        <v>116753.23</v>
      </c>
      <c r="B2248" s="39" t="s">
        <v>3960</v>
      </c>
      <c r="C2248" s="40">
        <v>5</v>
      </c>
      <c r="D2248" s="38" t="s">
        <v>266</v>
      </c>
    </row>
    <row r="2249" spans="1:4" x14ac:dyDescent="0.25">
      <c r="A2249" s="41">
        <v>116800</v>
      </c>
      <c r="B2249" s="39" t="s">
        <v>3961</v>
      </c>
      <c r="C2249" s="40">
        <v>3</v>
      </c>
      <c r="D2249" s="38" t="s">
        <v>266</v>
      </c>
    </row>
    <row r="2250" spans="1:4" x14ac:dyDescent="0.25">
      <c r="A2250" s="41">
        <v>116813</v>
      </c>
      <c r="B2250" s="39" t="s">
        <v>3962</v>
      </c>
      <c r="C2250" s="40">
        <v>4</v>
      </c>
      <c r="D2250" s="38" t="s">
        <v>266</v>
      </c>
    </row>
    <row r="2251" spans="1:4" x14ac:dyDescent="0.25">
      <c r="A2251" s="41">
        <v>116816</v>
      </c>
      <c r="B2251" s="39" t="s">
        <v>3963</v>
      </c>
      <c r="C2251" s="40">
        <v>4</v>
      </c>
      <c r="D2251" s="38" t="s">
        <v>266</v>
      </c>
    </row>
    <row r="2252" spans="1:4" x14ac:dyDescent="0.25">
      <c r="A2252" s="41">
        <v>116823</v>
      </c>
      <c r="B2252" s="39" t="s">
        <v>3964</v>
      </c>
      <c r="C2252" s="40">
        <v>4</v>
      </c>
      <c r="D2252" s="38" t="s">
        <v>266</v>
      </c>
    </row>
    <row r="2253" spans="1:4" x14ac:dyDescent="0.25">
      <c r="A2253" s="42">
        <v>116823.13</v>
      </c>
      <c r="B2253" s="39" t="s">
        <v>3965</v>
      </c>
      <c r="C2253" s="40">
        <v>5</v>
      </c>
      <c r="D2253" s="38" t="s">
        <v>266</v>
      </c>
    </row>
    <row r="2254" spans="1:4" x14ac:dyDescent="0.25">
      <c r="A2254" s="42">
        <v>116823.23</v>
      </c>
      <c r="B2254" s="39" t="s">
        <v>3966</v>
      </c>
      <c r="C2254" s="40">
        <v>5</v>
      </c>
      <c r="D2254" s="38" t="s">
        <v>266</v>
      </c>
    </row>
    <row r="2255" spans="1:4" x14ac:dyDescent="0.25">
      <c r="A2255" s="42">
        <v>116823.33</v>
      </c>
      <c r="B2255" s="39" t="s">
        <v>3967</v>
      </c>
      <c r="C2255" s="40">
        <v>5</v>
      </c>
      <c r="D2255" s="38" t="s">
        <v>266</v>
      </c>
    </row>
    <row r="2256" spans="1:4" x14ac:dyDescent="0.25">
      <c r="A2256" s="41">
        <v>116833</v>
      </c>
      <c r="B2256" s="39" t="s">
        <v>3968</v>
      </c>
      <c r="C2256" s="40">
        <v>4</v>
      </c>
      <c r="D2256" s="38" t="s">
        <v>266</v>
      </c>
    </row>
    <row r="2257" spans="1:4" x14ac:dyDescent="0.25">
      <c r="A2257" s="42">
        <v>116833.13</v>
      </c>
      <c r="B2257" s="39" t="s">
        <v>3969</v>
      </c>
      <c r="C2257" s="40">
        <v>5</v>
      </c>
      <c r="D2257" s="38" t="s">
        <v>266</v>
      </c>
    </row>
    <row r="2258" spans="1:4" x14ac:dyDescent="0.25">
      <c r="A2258" s="42">
        <v>116833.23</v>
      </c>
      <c r="B2258" s="39" t="s">
        <v>3970</v>
      </c>
      <c r="C2258" s="40">
        <v>5</v>
      </c>
      <c r="D2258" s="38" t="s">
        <v>266</v>
      </c>
    </row>
    <row r="2259" spans="1:4" x14ac:dyDescent="0.25">
      <c r="A2259" s="42">
        <v>116833.33</v>
      </c>
      <c r="B2259" s="39" t="s">
        <v>3971</v>
      </c>
      <c r="C2259" s="40">
        <v>5</v>
      </c>
      <c r="D2259" s="38" t="s">
        <v>266</v>
      </c>
    </row>
    <row r="2260" spans="1:4" x14ac:dyDescent="0.25">
      <c r="A2260" s="42">
        <v>116833.43</v>
      </c>
      <c r="B2260" s="39" t="s">
        <v>3972</v>
      </c>
      <c r="C2260" s="40">
        <v>5</v>
      </c>
      <c r="D2260" s="38" t="s">
        <v>266</v>
      </c>
    </row>
    <row r="2261" spans="1:4" x14ac:dyDescent="0.25">
      <c r="A2261" s="41">
        <v>116843</v>
      </c>
      <c r="B2261" s="39" t="s">
        <v>3973</v>
      </c>
      <c r="C2261" s="40">
        <v>4</v>
      </c>
      <c r="D2261" s="38" t="s">
        <v>266</v>
      </c>
    </row>
    <row r="2262" spans="1:4" x14ac:dyDescent="0.25">
      <c r="A2262" s="41">
        <v>117000</v>
      </c>
      <c r="B2262" s="39" t="s">
        <v>1251</v>
      </c>
      <c r="C2262" s="40">
        <v>3</v>
      </c>
      <c r="D2262" s="39" t="s">
        <v>1250</v>
      </c>
    </row>
    <row r="2263" spans="1:4" x14ac:dyDescent="0.25">
      <c r="A2263" s="41">
        <v>117100</v>
      </c>
      <c r="B2263" s="39" t="s">
        <v>3974</v>
      </c>
      <c r="C2263" s="40">
        <v>3</v>
      </c>
      <c r="D2263" s="38" t="s">
        <v>266</v>
      </c>
    </row>
    <row r="2264" spans="1:4" x14ac:dyDescent="0.25">
      <c r="A2264" s="41">
        <v>117200</v>
      </c>
      <c r="B2264" s="39" t="s">
        <v>3975</v>
      </c>
      <c r="C2264" s="40">
        <v>3</v>
      </c>
      <c r="D2264" s="38" t="s">
        <v>266</v>
      </c>
    </row>
    <row r="2265" spans="1:4" x14ac:dyDescent="0.25">
      <c r="A2265" s="41">
        <v>117213</v>
      </c>
      <c r="B2265" s="39" t="s">
        <v>3976</v>
      </c>
      <c r="C2265" s="40">
        <v>4</v>
      </c>
      <c r="D2265" s="38" t="s">
        <v>266</v>
      </c>
    </row>
    <row r="2266" spans="1:4" x14ac:dyDescent="0.25">
      <c r="A2266" s="41">
        <v>117253</v>
      </c>
      <c r="B2266" s="39" t="s">
        <v>3977</v>
      </c>
      <c r="C2266" s="40">
        <v>4</v>
      </c>
      <c r="D2266" s="38" t="s">
        <v>266</v>
      </c>
    </row>
    <row r="2267" spans="1:4" x14ac:dyDescent="0.25">
      <c r="A2267" s="41">
        <v>117300</v>
      </c>
      <c r="B2267" s="39" t="s">
        <v>3978</v>
      </c>
      <c r="C2267" s="40">
        <v>3</v>
      </c>
      <c r="D2267" s="38" t="s">
        <v>266</v>
      </c>
    </row>
    <row r="2268" spans="1:4" x14ac:dyDescent="0.25">
      <c r="A2268" s="41">
        <v>117400</v>
      </c>
      <c r="B2268" s="39" t="s">
        <v>3979</v>
      </c>
      <c r="C2268" s="40">
        <v>3</v>
      </c>
      <c r="D2268" s="38" t="s">
        <v>266</v>
      </c>
    </row>
    <row r="2269" spans="1:4" x14ac:dyDescent="0.25">
      <c r="A2269" s="41">
        <v>117500</v>
      </c>
      <c r="B2269" s="39" t="s">
        <v>3980</v>
      </c>
      <c r="C2269" s="40">
        <v>3</v>
      </c>
      <c r="D2269" s="38" t="s">
        <v>266</v>
      </c>
    </row>
    <row r="2270" spans="1:4" x14ac:dyDescent="0.25">
      <c r="A2270" s="41">
        <v>117600</v>
      </c>
      <c r="B2270" s="39" t="s">
        <v>3981</v>
      </c>
      <c r="C2270" s="40">
        <v>3</v>
      </c>
      <c r="D2270" s="38" t="s">
        <v>266</v>
      </c>
    </row>
    <row r="2271" spans="1:4" x14ac:dyDescent="0.25">
      <c r="A2271" s="41">
        <v>117700</v>
      </c>
      <c r="B2271" s="39" t="s">
        <v>3982</v>
      </c>
      <c r="C2271" s="40">
        <v>3</v>
      </c>
      <c r="D2271" s="38" t="s">
        <v>266</v>
      </c>
    </row>
    <row r="2272" spans="1:4" x14ac:dyDescent="0.25">
      <c r="A2272" s="41">
        <v>117800</v>
      </c>
      <c r="B2272" s="39" t="s">
        <v>3983</v>
      </c>
      <c r="C2272" s="40">
        <v>3</v>
      </c>
      <c r="D2272" s="38" t="s">
        <v>266</v>
      </c>
    </row>
    <row r="2273" spans="1:4" x14ac:dyDescent="0.25">
      <c r="A2273" s="41">
        <v>117813</v>
      </c>
      <c r="B2273" s="39" t="s">
        <v>3984</v>
      </c>
      <c r="C2273" s="40">
        <v>4</v>
      </c>
      <c r="D2273" s="38" t="s">
        <v>266</v>
      </c>
    </row>
    <row r="2274" spans="1:4" x14ac:dyDescent="0.25">
      <c r="A2274" s="41">
        <v>117816</v>
      </c>
      <c r="B2274" s="39" t="s">
        <v>3985</v>
      </c>
      <c r="C2274" s="40">
        <v>4</v>
      </c>
      <c r="D2274" s="38" t="s">
        <v>266</v>
      </c>
    </row>
    <row r="2275" spans="1:4" x14ac:dyDescent="0.25">
      <c r="A2275" s="41">
        <v>117819</v>
      </c>
      <c r="B2275" s="39" t="s">
        <v>3986</v>
      </c>
      <c r="C2275" s="40">
        <v>4</v>
      </c>
      <c r="D2275" s="38" t="s">
        <v>266</v>
      </c>
    </row>
    <row r="2276" spans="1:4" x14ac:dyDescent="0.25">
      <c r="A2276" s="41">
        <v>117900</v>
      </c>
      <c r="B2276" s="39" t="s">
        <v>3987</v>
      </c>
      <c r="C2276" s="40">
        <v>3</v>
      </c>
      <c r="D2276" s="38" t="s">
        <v>266</v>
      </c>
    </row>
    <row r="2277" spans="1:4" x14ac:dyDescent="0.25">
      <c r="A2277" s="41">
        <v>118000</v>
      </c>
      <c r="B2277" s="39" t="s">
        <v>3988</v>
      </c>
      <c r="C2277" s="40">
        <v>3</v>
      </c>
      <c r="D2277" s="38" t="s">
        <v>266</v>
      </c>
    </row>
    <row r="2278" spans="1:4" x14ac:dyDescent="0.25">
      <c r="A2278" s="41">
        <v>118200</v>
      </c>
      <c r="B2278" s="39" t="s">
        <v>1279</v>
      </c>
      <c r="C2278" s="40">
        <v>3</v>
      </c>
      <c r="D2278" s="39" t="s">
        <v>1278</v>
      </c>
    </row>
    <row r="2279" spans="1:4" x14ac:dyDescent="0.25">
      <c r="A2279" s="41">
        <v>118213</v>
      </c>
      <c r="B2279" s="39" t="s">
        <v>3989</v>
      </c>
      <c r="C2279" s="40">
        <v>4</v>
      </c>
      <c r="D2279" s="38" t="s">
        <v>266</v>
      </c>
    </row>
    <row r="2280" spans="1:4" x14ac:dyDescent="0.25">
      <c r="A2280" s="41">
        <v>118219</v>
      </c>
      <c r="B2280" s="39" t="s">
        <v>3990</v>
      </c>
      <c r="C2280" s="40">
        <v>4</v>
      </c>
      <c r="D2280" s="38" t="s">
        <v>266</v>
      </c>
    </row>
    <row r="2281" spans="1:4" x14ac:dyDescent="0.25">
      <c r="A2281" s="41">
        <v>118223</v>
      </c>
      <c r="B2281" s="39" t="s">
        <v>3991</v>
      </c>
      <c r="C2281" s="40">
        <v>4</v>
      </c>
      <c r="D2281" s="38" t="s">
        <v>266</v>
      </c>
    </row>
    <row r="2282" spans="1:4" x14ac:dyDescent="0.25">
      <c r="A2282" s="41">
        <v>118226</v>
      </c>
      <c r="B2282" s="39" t="s">
        <v>3992</v>
      </c>
      <c r="C2282" s="40">
        <v>4</v>
      </c>
      <c r="D2282" s="38" t="s">
        <v>266</v>
      </c>
    </row>
    <row r="2283" spans="1:4" x14ac:dyDescent="0.25">
      <c r="A2283" s="41">
        <v>118229</v>
      </c>
      <c r="B2283" s="39" t="s">
        <v>3993</v>
      </c>
      <c r="C2283" s="40">
        <v>4</v>
      </c>
      <c r="D2283" s="38" t="s">
        <v>266</v>
      </c>
    </row>
    <row r="2284" spans="1:4" x14ac:dyDescent="0.25">
      <c r="A2284" s="41">
        <v>118233</v>
      </c>
      <c r="B2284" s="39" t="s">
        <v>3994</v>
      </c>
      <c r="C2284" s="40">
        <v>4</v>
      </c>
      <c r="D2284" s="38" t="s">
        <v>266</v>
      </c>
    </row>
    <row r="2285" spans="1:4" x14ac:dyDescent="0.25">
      <c r="A2285" s="41">
        <v>118236</v>
      </c>
      <c r="B2285" s="39" t="s">
        <v>3995</v>
      </c>
      <c r="C2285" s="40">
        <v>4</v>
      </c>
      <c r="D2285" s="38" t="s">
        <v>266</v>
      </c>
    </row>
    <row r="2286" spans="1:4" x14ac:dyDescent="0.25">
      <c r="A2286" s="41">
        <v>119000</v>
      </c>
      <c r="B2286" s="39" t="s">
        <v>1277</v>
      </c>
      <c r="C2286" s="40">
        <v>3</v>
      </c>
      <c r="D2286" s="38" t="s">
        <v>1276</v>
      </c>
    </row>
    <row r="2287" spans="1:4" x14ac:dyDescent="0.25">
      <c r="A2287" s="41">
        <v>119100</v>
      </c>
      <c r="B2287" s="39" t="s">
        <v>1253</v>
      </c>
      <c r="C2287" s="40">
        <v>3</v>
      </c>
      <c r="D2287" s="39" t="s">
        <v>1252</v>
      </c>
    </row>
    <row r="2288" spans="1:4" x14ac:dyDescent="0.25">
      <c r="A2288" s="41">
        <v>119113</v>
      </c>
      <c r="B2288" s="39" t="s">
        <v>3996</v>
      </c>
      <c r="C2288" s="40">
        <v>4</v>
      </c>
      <c r="D2288" s="38" t="s">
        <v>266</v>
      </c>
    </row>
    <row r="2289" spans="1:4" x14ac:dyDescent="0.25">
      <c r="A2289" s="41">
        <v>119200</v>
      </c>
      <c r="B2289" s="39" t="s">
        <v>1281</v>
      </c>
      <c r="C2289" s="40">
        <v>3</v>
      </c>
      <c r="D2289" s="39" t="s">
        <v>1280</v>
      </c>
    </row>
    <row r="2290" spans="1:4" x14ac:dyDescent="0.25">
      <c r="A2290" s="41">
        <v>119213</v>
      </c>
      <c r="B2290" s="39" t="s">
        <v>3997</v>
      </c>
      <c r="C2290" s="40">
        <v>4</v>
      </c>
      <c r="D2290" s="38" t="s">
        <v>266</v>
      </c>
    </row>
    <row r="2291" spans="1:4" x14ac:dyDescent="0.25">
      <c r="A2291" s="41">
        <v>119216</v>
      </c>
      <c r="B2291" s="39" t="s">
        <v>3998</v>
      </c>
      <c r="C2291" s="40">
        <v>4</v>
      </c>
      <c r="D2291" s="38" t="s">
        <v>266</v>
      </c>
    </row>
    <row r="2292" spans="1:4" x14ac:dyDescent="0.25">
      <c r="A2292" s="41">
        <v>119219</v>
      </c>
      <c r="B2292" s="39" t="s">
        <v>3999</v>
      </c>
      <c r="C2292" s="40">
        <v>4</v>
      </c>
      <c r="D2292" s="38" t="s">
        <v>266</v>
      </c>
    </row>
    <row r="2293" spans="1:4" x14ac:dyDescent="0.25">
      <c r="A2293" s="41">
        <v>119223</v>
      </c>
      <c r="B2293" s="39" t="s">
        <v>4000</v>
      </c>
      <c r="C2293" s="40">
        <v>4</v>
      </c>
      <c r="D2293" s="38" t="s">
        <v>266</v>
      </c>
    </row>
    <row r="2294" spans="1:4" x14ac:dyDescent="0.25">
      <c r="A2294" s="41">
        <v>119300</v>
      </c>
      <c r="B2294" s="39" t="s">
        <v>1283</v>
      </c>
      <c r="C2294" s="40">
        <v>3</v>
      </c>
      <c r="D2294" s="39" t="s">
        <v>1282</v>
      </c>
    </row>
    <row r="2295" spans="1:4" x14ac:dyDescent="0.25">
      <c r="A2295" s="41">
        <v>119313</v>
      </c>
      <c r="B2295" s="39" t="s">
        <v>4001</v>
      </c>
      <c r="C2295" s="40">
        <v>4</v>
      </c>
      <c r="D2295" s="38" t="s">
        <v>266</v>
      </c>
    </row>
    <row r="2296" spans="1:4" x14ac:dyDescent="0.25">
      <c r="A2296" s="41">
        <v>119316</v>
      </c>
      <c r="B2296" s="39" t="s">
        <v>4002</v>
      </c>
      <c r="C2296" s="40">
        <v>4</v>
      </c>
      <c r="D2296" s="38" t="s">
        <v>266</v>
      </c>
    </row>
    <row r="2297" spans="1:4" x14ac:dyDescent="0.25">
      <c r="A2297" s="41">
        <v>119319</v>
      </c>
      <c r="B2297" s="39" t="s">
        <v>4003</v>
      </c>
      <c r="C2297" s="40">
        <v>4</v>
      </c>
      <c r="D2297" s="38" t="s">
        <v>266</v>
      </c>
    </row>
    <row r="2298" spans="1:4" x14ac:dyDescent="0.25">
      <c r="A2298" s="41">
        <v>119323</v>
      </c>
      <c r="B2298" s="39" t="s">
        <v>4004</v>
      </c>
      <c r="C2298" s="40">
        <v>4</v>
      </c>
      <c r="D2298" s="38" t="s">
        <v>266</v>
      </c>
    </row>
    <row r="2299" spans="1:4" x14ac:dyDescent="0.25">
      <c r="A2299" s="41">
        <v>119326</v>
      </c>
      <c r="B2299" s="39" t="s">
        <v>4005</v>
      </c>
      <c r="C2299" s="40">
        <v>4</v>
      </c>
      <c r="D2299" s="38" t="s">
        <v>266</v>
      </c>
    </row>
    <row r="2300" spans="1:4" x14ac:dyDescent="0.25">
      <c r="A2300" s="41">
        <v>119329</v>
      </c>
      <c r="B2300" s="39" t="s">
        <v>4006</v>
      </c>
      <c r="C2300" s="40">
        <v>4</v>
      </c>
      <c r="D2300" s="38" t="s">
        <v>266</v>
      </c>
    </row>
    <row r="2301" spans="1:4" x14ac:dyDescent="0.25">
      <c r="A2301" s="41">
        <v>119333</v>
      </c>
      <c r="B2301" s="39" t="s">
        <v>4007</v>
      </c>
      <c r="C2301" s="40">
        <v>4</v>
      </c>
      <c r="D2301" s="38" t="s">
        <v>266</v>
      </c>
    </row>
    <row r="2302" spans="1:4" x14ac:dyDescent="0.25">
      <c r="A2302" s="41">
        <v>119500</v>
      </c>
      <c r="B2302" s="39" t="s">
        <v>4008</v>
      </c>
      <c r="C2302" s="40">
        <v>3</v>
      </c>
      <c r="D2302" s="38" t="s">
        <v>266</v>
      </c>
    </row>
    <row r="2303" spans="1:4" x14ac:dyDescent="0.25">
      <c r="A2303" s="41">
        <v>119513</v>
      </c>
      <c r="B2303" s="39" t="s">
        <v>4009</v>
      </c>
      <c r="C2303" s="40">
        <v>4</v>
      </c>
      <c r="D2303" s="38" t="s">
        <v>266</v>
      </c>
    </row>
    <row r="2304" spans="1:4" x14ac:dyDescent="0.25">
      <c r="A2304" s="41">
        <v>120000</v>
      </c>
      <c r="B2304" s="39" t="s">
        <v>1287</v>
      </c>
      <c r="C2304" s="40">
        <v>2</v>
      </c>
      <c r="D2304" s="38" t="s">
        <v>1286</v>
      </c>
    </row>
    <row r="2305" spans="1:4" x14ac:dyDescent="0.25">
      <c r="A2305" s="41">
        <v>120100</v>
      </c>
      <c r="B2305" s="39" t="s">
        <v>4010</v>
      </c>
      <c r="C2305" s="40">
        <v>3</v>
      </c>
      <c r="D2305" s="38" t="s">
        <v>266</v>
      </c>
    </row>
    <row r="2306" spans="1:4" x14ac:dyDescent="0.25">
      <c r="A2306" s="41">
        <v>120110</v>
      </c>
      <c r="B2306" s="39" t="s">
        <v>4011</v>
      </c>
      <c r="C2306" s="40">
        <v>4</v>
      </c>
      <c r="D2306" s="38" t="s">
        <v>266</v>
      </c>
    </row>
    <row r="2307" spans="1:4" x14ac:dyDescent="0.25">
      <c r="A2307" s="41">
        <v>120120</v>
      </c>
      <c r="B2307" s="39" t="s">
        <v>4012</v>
      </c>
      <c r="C2307" s="40">
        <v>4</v>
      </c>
      <c r="D2307" s="38" t="s">
        <v>266</v>
      </c>
    </row>
    <row r="2308" spans="1:4" x14ac:dyDescent="0.25">
      <c r="A2308" s="41">
        <v>120130</v>
      </c>
      <c r="B2308" s="39" t="s">
        <v>4013</v>
      </c>
      <c r="C2308" s="40">
        <v>4</v>
      </c>
      <c r="D2308" s="38" t="s">
        <v>266</v>
      </c>
    </row>
    <row r="2309" spans="1:4" x14ac:dyDescent="0.25">
      <c r="A2309" s="41">
        <v>120140</v>
      </c>
      <c r="B2309" s="39" t="s">
        <v>4014</v>
      </c>
      <c r="C2309" s="40">
        <v>4</v>
      </c>
      <c r="D2309" s="38" t="s">
        <v>266</v>
      </c>
    </row>
    <row r="2310" spans="1:4" x14ac:dyDescent="0.25">
      <c r="A2310" s="41">
        <v>120150</v>
      </c>
      <c r="B2310" s="39" t="s">
        <v>4015</v>
      </c>
      <c r="C2310" s="40">
        <v>4</v>
      </c>
      <c r="D2310" s="38" t="s">
        <v>266</v>
      </c>
    </row>
    <row r="2311" spans="1:4" x14ac:dyDescent="0.25">
      <c r="A2311" s="41">
        <v>120160</v>
      </c>
      <c r="B2311" s="39" t="s">
        <v>4016</v>
      </c>
      <c r="C2311" s="40">
        <v>4</v>
      </c>
      <c r="D2311" s="38" t="s">
        <v>266</v>
      </c>
    </row>
    <row r="2312" spans="1:4" x14ac:dyDescent="0.25">
      <c r="A2312" s="41">
        <v>120190</v>
      </c>
      <c r="B2312" s="39" t="s">
        <v>4017</v>
      </c>
      <c r="C2312" s="40">
        <v>4</v>
      </c>
      <c r="D2312" s="38" t="s">
        <v>266</v>
      </c>
    </row>
    <row r="2313" spans="1:4" x14ac:dyDescent="0.25">
      <c r="A2313" s="41">
        <v>120500</v>
      </c>
      <c r="B2313" s="39" t="s">
        <v>4018</v>
      </c>
      <c r="C2313" s="40">
        <v>3</v>
      </c>
      <c r="D2313" s="38" t="s">
        <v>266</v>
      </c>
    </row>
    <row r="2314" spans="1:4" x14ac:dyDescent="0.25">
      <c r="A2314" s="41">
        <v>120513</v>
      </c>
      <c r="B2314" s="39" t="s">
        <v>4019</v>
      </c>
      <c r="C2314" s="40">
        <v>4</v>
      </c>
      <c r="D2314" s="38" t="s">
        <v>266</v>
      </c>
    </row>
    <row r="2315" spans="1:4" x14ac:dyDescent="0.25">
      <c r="A2315" s="41">
        <v>120800</v>
      </c>
      <c r="B2315" s="39" t="s">
        <v>4020</v>
      </c>
      <c r="C2315" s="40">
        <v>3</v>
      </c>
      <c r="D2315" s="38" t="s">
        <v>266</v>
      </c>
    </row>
    <row r="2316" spans="1:4" x14ac:dyDescent="0.25">
      <c r="A2316" s="41">
        <v>121000</v>
      </c>
      <c r="B2316" s="39" t="s">
        <v>4021</v>
      </c>
      <c r="C2316" s="40">
        <v>3</v>
      </c>
      <c r="D2316" s="38" t="s">
        <v>266</v>
      </c>
    </row>
    <row r="2317" spans="1:4" x14ac:dyDescent="0.25">
      <c r="A2317" s="41">
        <v>121100</v>
      </c>
      <c r="B2317" s="39" t="s">
        <v>4022</v>
      </c>
      <c r="C2317" s="40">
        <v>3</v>
      </c>
      <c r="D2317" s="38" t="s">
        <v>266</v>
      </c>
    </row>
    <row r="2318" spans="1:4" x14ac:dyDescent="0.25">
      <c r="A2318" s="41">
        <v>121113</v>
      </c>
      <c r="B2318" s="39" t="s">
        <v>4023</v>
      </c>
      <c r="C2318" s="40">
        <v>4</v>
      </c>
      <c r="D2318" s="38" t="s">
        <v>266</v>
      </c>
    </row>
    <row r="2319" spans="1:4" x14ac:dyDescent="0.25">
      <c r="A2319" s="41">
        <v>121116</v>
      </c>
      <c r="B2319" s="39" t="s">
        <v>4024</v>
      </c>
      <c r="C2319" s="40">
        <v>4</v>
      </c>
      <c r="D2319" s="38" t="s">
        <v>266</v>
      </c>
    </row>
    <row r="2320" spans="1:4" x14ac:dyDescent="0.25">
      <c r="A2320" s="41">
        <v>121123</v>
      </c>
      <c r="B2320" s="39" t="s">
        <v>4025</v>
      </c>
      <c r="C2320" s="40">
        <v>4</v>
      </c>
      <c r="D2320" s="38" t="s">
        <v>266</v>
      </c>
    </row>
    <row r="2321" spans="1:4" x14ac:dyDescent="0.25">
      <c r="A2321" s="41">
        <v>121126</v>
      </c>
      <c r="B2321" s="39" t="s">
        <v>4026</v>
      </c>
      <c r="C2321" s="40">
        <v>4</v>
      </c>
      <c r="D2321" s="38" t="s">
        <v>266</v>
      </c>
    </row>
    <row r="2322" spans="1:4" x14ac:dyDescent="0.25">
      <c r="A2322" s="41">
        <v>121133</v>
      </c>
      <c r="B2322" s="39" t="s">
        <v>4027</v>
      </c>
      <c r="C2322" s="40">
        <v>4</v>
      </c>
      <c r="D2322" s="38" t="s">
        <v>266</v>
      </c>
    </row>
    <row r="2323" spans="1:4" x14ac:dyDescent="0.25">
      <c r="A2323" s="41">
        <v>121200</v>
      </c>
      <c r="B2323" s="39" t="s">
        <v>4028</v>
      </c>
      <c r="C2323" s="40">
        <v>3</v>
      </c>
      <c r="D2323" s="38" t="s">
        <v>266</v>
      </c>
    </row>
    <row r="2324" spans="1:4" x14ac:dyDescent="0.25">
      <c r="A2324" s="41">
        <v>121213</v>
      </c>
      <c r="B2324" s="39" t="s">
        <v>4029</v>
      </c>
      <c r="C2324" s="40">
        <v>4</v>
      </c>
      <c r="D2324" s="38" t="s">
        <v>266</v>
      </c>
    </row>
    <row r="2325" spans="1:4" x14ac:dyDescent="0.25">
      <c r="A2325" s="41">
        <v>121216</v>
      </c>
      <c r="B2325" s="39" t="s">
        <v>4030</v>
      </c>
      <c r="C2325" s="40">
        <v>4</v>
      </c>
      <c r="D2325" s="38" t="s">
        <v>266</v>
      </c>
    </row>
    <row r="2326" spans="1:4" x14ac:dyDescent="0.25">
      <c r="A2326" s="41">
        <v>121219</v>
      </c>
      <c r="B2326" s="39" t="s">
        <v>4031</v>
      </c>
      <c r="C2326" s="40">
        <v>4</v>
      </c>
      <c r="D2326" s="38" t="s">
        <v>266</v>
      </c>
    </row>
    <row r="2327" spans="1:4" x14ac:dyDescent="0.25">
      <c r="A2327" s="41">
        <v>121223</v>
      </c>
      <c r="B2327" s="39" t="s">
        <v>4032</v>
      </c>
      <c r="C2327" s="40">
        <v>4</v>
      </c>
      <c r="D2327" s="38" t="s">
        <v>266</v>
      </c>
    </row>
    <row r="2328" spans="1:4" x14ac:dyDescent="0.25">
      <c r="A2328" s="41">
        <v>121226</v>
      </c>
      <c r="B2328" s="39" t="s">
        <v>4033</v>
      </c>
      <c r="C2328" s="40">
        <v>4</v>
      </c>
      <c r="D2328" s="38" t="s">
        <v>266</v>
      </c>
    </row>
    <row r="2329" spans="1:4" x14ac:dyDescent="0.25">
      <c r="A2329" s="41">
        <v>121400</v>
      </c>
      <c r="B2329" s="39" t="s">
        <v>4034</v>
      </c>
      <c r="C2329" s="40">
        <v>3</v>
      </c>
      <c r="D2329" s="38" t="s">
        <v>266</v>
      </c>
    </row>
    <row r="2330" spans="1:4" x14ac:dyDescent="0.25">
      <c r="A2330" s="41">
        <v>121413</v>
      </c>
      <c r="B2330" s="39" t="s">
        <v>4035</v>
      </c>
      <c r="C2330" s="40">
        <v>4</v>
      </c>
      <c r="D2330" s="38" t="s">
        <v>266</v>
      </c>
    </row>
    <row r="2331" spans="1:4" x14ac:dyDescent="0.25">
      <c r="A2331" s="41">
        <v>121416</v>
      </c>
      <c r="B2331" s="39" t="s">
        <v>4036</v>
      </c>
      <c r="C2331" s="40">
        <v>4</v>
      </c>
      <c r="D2331" s="38" t="s">
        <v>266</v>
      </c>
    </row>
    <row r="2332" spans="1:4" x14ac:dyDescent="0.25">
      <c r="A2332" s="41">
        <v>121419</v>
      </c>
      <c r="B2332" s="39" t="s">
        <v>4037</v>
      </c>
      <c r="C2332" s="40">
        <v>4</v>
      </c>
      <c r="D2332" s="38" t="s">
        <v>266</v>
      </c>
    </row>
    <row r="2333" spans="1:4" x14ac:dyDescent="0.25">
      <c r="A2333" s="41">
        <v>121423</v>
      </c>
      <c r="B2333" s="39" t="s">
        <v>4038</v>
      </c>
      <c r="C2333" s="40">
        <v>4</v>
      </c>
      <c r="D2333" s="38" t="s">
        <v>266</v>
      </c>
    </row>
    <row r="2334" spans="1:4" x14ac:dyDescent="0.25">
      <c r="A2334" s="41">
        <v>121700</v>
      </c>
      <c r="B2334" s="39" t="s">
        <v>4039</v>
      </c>
      <c r="C2334" s="40">
        <v>3</v>
      </c>
      <c r="D2334" s="38" t="s">
        <v>266</v>
      </c>
    </row>
    <row r="2335" spans="1:4" x14ac:dyDescent="0.25">
      <c r="A2335" s="41">
        <v>121713</v>
      </c>
      <c r="B2335" s="39" t="s">
        <v>4040</v>
      </c>
      <c r="C2335" s="40">
        <v>4</v>
      </c>
      <c r="D2335" s="38" t="s">
        <v>266</v>
      </c>
    </row>
    <row r="2336" spans="1:4" x14ac:dyDescent="0.25">
      <c r="A2336" s="41">
        <v>121716</v>
      </c>
      <c r="B2336" s="39" t="s">
        <v>4041</v>
      </c>
      <c r="C2336" s="40">
        <v>4</v>
      </c>
      <c r="D2336" s="38" t="s">
        <v>266</v>
      </c>
    </row>
    <row r="2337" spans="1:4" x14ac:dyDescent="0.25">
      <c r="A2337" s="41">
        <v>121900</v>
      </c>
      <c r="B2337" s="39" t="s">
        <v>4042</v>
      </c>
      <c r="C2337" s="40">
        <v>3</v>
      </c>
      <c r="D2337" s="38" t="s">
        <v>266</v>
      </c>
    </row>
    <row r="2338" spans="1:4" x14ac:dyDescent="0.25">
      <c r="A2338" s="41">
        <v>122000</v>
      </c>
      <c r="B2338" s="39" t="s">
        <v>1293</v>
      </c>
      <c r="C2338" s="40">
        <v>3</v>
      </c>
      <c r="D2338" s="39" t="s">
        <v>1292</v>
      </c>
    </row>
    <row r="2339" spans="1:4" x14ac:dyDescent="0.25">
      <c r="A2339" s="41">
        <v>122100</v>
      </c>
      <c r="B2339" s="39" t="s">
        <v>4043</v>
      </c>
      <c r="C2339" s="40">
        <v>3</v>
      </c>
      <c r="D2339" s="38" t="s">
        <v>266</v>
      </c>
    </row>
    <row r="2340" spans="1:4" x14ac:dyDescent="0.25">
      <c r="A2340" s="41">
        <v>122113</v>
      </c>
      <c r="B2340" s="39" t="s">
        <v>4044</v>
      </c>
      <c r="C2340" s="40">
        <v>4</v>
      </c>
      <c r="D2340" s="38" t="s">
        <v>266</v>
      </c>
    </row>
    <row r="2341" spans="1:4" x14ac:dyDescent="0.25">
      <c r="A2341" s="42">
        <v>122113.13</v>
      </c>
      <c r="B2341" s="39" t="s">
        <v>4045</v>
      </c>
      <c r="C2341" s="40">
        <v>5</v>
      </c>
      <c r="D2341" s="38" t="s">
        <v>266</v>
      </c>
    </row>
    <row r="2342" spans="1:4" x14ac:dyDescent="0.25">
      <c r="A2342" s="42">
        <v>122113.23</v>
      </c>
      <c r="B2342" s="39" t="s">
        <v>4046</v>
      </c>
      <c r="C2342" s="40">
        <v>5</v>
      </c>
      <c r="D2342" s="38" t="s">
        <v>266</v>
      </c>
    </row>
    <row r="2343" spans="1:4" x14ac:dyDescent="0.25">
      <c r="A2343" s="42">
        <v>122113.33</v>
      </c>
      <c r="B2343" s="39" t="s">
        <v>4047</v>
      </c>
      <c r="C2343" s="40">
        <v>5</v>
      </c>
      <c r="D2343" s="38" t="s">
        <v>266</v>
      </c>
    </row>
    <row r="2344" spans="1:4" x14ac:dyDescent="0.25">
      <c r="A2344" s="41">
        <v>122116</v>
      </c>
      <c r="B2344" s="39" t="s">
        <v>4048</v>
      </c>
      <c r="C2344" s="40">
        <v>4</v>
      </c>
      <c r="D2344" s="38" t="s">
        <v>266</v>
      </c>
    </row>
    <row r="2345" spans="1:4" x14ac:dyDescent="0.25">
      <c r="A2345" s="42">
        <v>122116.13</v>
      </c>
      <c r="B2345" s="39" t="s">
        <v>4049</v>
      </c>
      <c r="C2345" s="40">
        <v>5</v>
      </c>
      <c r="D2345" s="38" t="s">
        <v>266</v>
      </c>
    </row>
    <row r="2346" spans="1:4" x14ac:dyDescent="0.25">
      <c r="A2346" s="42">
        <v>122116.23</v>
      </c>
      <c r="B2346" s="39" t="s">
        <v>4050</v>
      </c>
      <c r="C2346" s="40">
        <v>5</v>
      </c>
      <c r="D2346" s="38" t="s">
        <v>266</v>
      </c>
    </row>
    <row r="2347" spans="1:4" x14ac:dyDescent="0.25">
      <c r="A2347" s="42">
        <v>122116.33</v>
      </c>
      <c r="B2347" s="39" t="s">
        <v>4051</v>
      </c>
      <c r="C2347" s="40">
        <v>5</v>
      </c>
      <c r="D2347" s="38" t="s">
        <v>266</v>
      </c>
    </row>
    <row r="2348" spans="1:4" x14ac:dyDescent="0.25">
      <c r="A2348" s="41">
        <v>122123</v>
      </c>
      <c r="B2348" s="39" t="s">
        <v>4052</v>
      </c>
      <c r="C2348" s="40">
        <v>4</v>
      </c>
      <c r="D2348" s="38" t="s">
        <v>266</v>
      </c>
    </row>
    <row r="2349" spans="1:4" x14ac:dyDescent="0.25">
      <c r="A2349" s="41">
        <v>122126</v>
      </c>
      <c r="B2349" s="39" t="s">
        <v>4053</v>
      </c>
      <c r="C2349" s="40">
        <v>4</v>
      </c>
      <c r="D2349" s="38" t="s">
        <v>266</v>
      </c>
    </row>
    <row r="2350" spans="1:4" x14ac:dyDescent="0.25">
      <c r="A2350" s="41">
        <v>122200</v>
      </c>
      <c r="B2350" s="39" t="s">
        <v>4054</v>
      </c>
      <c r="C2350" s="40">
        <v>3</v>
      </c>
      <c r="D2350" s="38" t="s">
        <v>266</v>
      </c>
    </row>
    <row r="2351" spans="1:4" x14ac:dyDescent="0.25">
      <c r="A2351" s="41">
        <v>122213</v>
      </c>
      <c r="B2351" s="39" t="s">
        <v>4055</v>
      </c>
      <c r="C2351" s="40">
        <v>4</v>
      </c>
      <c r="D2351" s="38" t="s">
        <v>266</v>
      </c>
    </row>
    <row r="2352" spans="1:4" x14ac:dyDescent="0.25">
      <c r="A2352" s="41">
        <v>122216</v>
      </c>
      <c r="B2352" s="39" t="s">
        <v>4056</v>
      </c>
      <c r="C2352" s="40">
        <v>4</v>
      </c>
      <c r="D2352" s="38" t="s">
        <v>266</v>
      </c>
    </row>
    <row r="2353" spans="1:4" x14ac:dyDescent="0.25">
      <c r="A2353" s="41">
        <v>122300</v>
      </c>
      <c r="B2353" s="39" t="s">
        <v>4057</v>
      </c>
      <c r="C2353" s="40">
        <v>3</v>
      </c>
      <c r="D2353" s="38" t="s">
        <v>266</v>
      </c>
    </row>
    <row r="2354" spans="1:4" x14ac:dyDescent="0.25">
      <c r="A2354" s="41">
        <v>122313</v>
      </c>
      <c r="B2354" s="39" t="s">
        <v>4058</v>
      </c>
      <c r="C2354" s="40">
        <v>4</v>
      </c>
      <c r="D2354" s="38" t="s">
        <v>266</v>
      </c>
    </row>
    <row r="2355" spans="1:4" x14ac:dyDescent="0.25">
      <c r="A2355" s="41">
        <v>122400</v>
      </c>
      <c r="B2355" s="39" t="s">
        <v>4059</v>
      </c>
      <c r="C2355" s="40">
        <v>3</v>
      </c>
      <c r="D2355" s="38" t="s">
        <v>266</v>
      </c>
    </row>
    <row r="2356" spans="1:4" x14ac:dyDescent="0.25">
      <c r="A2356" s="41">
        <v>122413</v>
      </c>
      <c r="B2356" s="39" t="s">
        <v>4060</v>
      </c>
      <c r="C2356" s="40">
        <v>4</v>
      </c>
      <c r="D2356" s="38" t="s">
        <v>266</v>
      </c>
    </row>
    <row r="2357" spans="1:4" x14ac:dyDescent="0.25">
      <c r="A2357" s="41">
        <v>122416</v>
      </c>
      <c r="B2357" s="39" t="s">
        <v>4061</v>
      </c>
      <c r="C2357" s="40">
        <v>4</v>
      </c>
      <c r="D2357" s="38" t="s">
        <v>266</v>
      </c>
    </row>
    <row r="2358" spans="1:4" x14ac:dyDescent="0.25">
      <c r="A2358" s="42">
        <v>122416.13</v>
      </c>
      <c r="B2358" s="39" t="s">
        <v>4062</v>
      </c>
      <c r="C2358" s="40">
        <v>5</v>
      </c>
      <c r="D2358" s="38" t="s">
        <v>266</v>
      </c>
    </row>
    <row r="2359" spans="1:4" x14ac:dyDescent="0.25">
      <c r="A2359" s="42">
        <v>122416.23</v>
      </c>
      <c r="B2359" s="39" t="s">
        <v>4063</v>
      </c>
      <c r="C2359" s="40">
        <v>5</v>
      </c>
      <c r="D2359" s="38" t="s">
        <v>266</v>
      </c>
    </row>
    <row r="2360" spans="1:4" x14ac:dyDescent="0.25">
      <c r="A2360" s="42">
        <v>122416.33</v>
      </c>
      <c r="B2360" s="39" t="s">
        <v>4064</v>
      </c>
      <c r="C2360" s="40">
        <v>5</v>
      </c>
      <c r="D2360" s="38" t="s">
        <v>266</v>
      </c>
    </row>
    <row r="2361" spans="1:4" x14ac:dyDescent="0.25">
      <c r="A2361" s="41">
        <v>122500</v>
      </c>
      <c r="B2361" s="39" t="s">
        <v>4065</v>
      </c>
      <c r="C2361" s="40">
        <v>3</v>
      </c>
      <c r="D2361" s="38" t="s">
        <v>266</v>
      </c>
    </row>
    <row r="2362" spans="1:4" x14ac:dyDescent="0.25">
      <c r="A2362" s="41">
        <v>122509</v>
      </c>
      <c r="B2362" s="39" t="s">
        <v>4066</v>
      </c>
      <c r="C2362" s="40">
        <v>4</v>
      </c>
      <c r="D2362" s="38" t="s">
        <v>266</v>
      </c>
    </row>
    <row r="2363" spans="1:4" x14ac:dyDescent="0.25">
      <c r="A2363" s="41">
        <v>122513</v>
      </c>
      <c r="B2363" s="39" t="s">
        <v>4067</v>
      </c>
      <c r="C2363" s="40">
        <v>4</v>
      </c>
      <c r="D2363" s="38" t="s">
        <v>266</v>
      </c>
    </row>
    <row r="2364" spans="1:4" x14ac:dyDescent="0.25">
      <c r="A2364" s="41">
        <v>123000</v>
      </c>
      <c r="B2364" s="39" t="s">
        <v>1295</v>
      </c>
      <c r="C2364" s="40">
        <v>3</v>
      </c>
      <c r="D2364" s="39" t="s">
        <v>1294</v>
      </c>
    </row>
    <row r="2365" spans="1:4" x14ac:dyDescent="0.25">
      <c r="A2365" s="41">
        <v>123100</v>
      </c>
      <c r="B2365" s="39" t="s">
        <v>4068</v>
      </c>
      <c r="C2365" s="40">
        <v>3</v>
      </c>
      <c r="D2365" s="38" t="s">
        <v>266</v>
      </c>
    </row>
    <row r="2366" spans="1:4" x14ac:dyDescent="0.25">
      <c r="A2366" s="41">
        <v>123116</v>
      </c>
      <c r="B2366" s="39" t="s">
        <v>4069</v>
      </c>
      <c r="C2366" s="40">
        <v>4</v>
      </c>
      <c r="D2366" s="38" t="s">
        <v>266</v>
      </c>
    </row>
    <row r="2367" spans="1:4" x14ac:dyDescent="0.25">
      <c r="A2367" s="41">
        <v>123200</v>
      </c>
      <c r="B2367" s="39" t="s">
        <v>4070</v>
      </c>
      <c r="C2367" s="40">
        <v>3</v>
      </c>
      <c r="D2367" s="38" t="s">
        <v>266</v>
      </c>
    </row>
    <row r="2368" spans="1:4" x14ac:dyDescent="0.25">
      <c r="A2368" s="41">
        <v>123213</v>
      </c>
      <c r="B2368" s="39" t="s">
        <v>4071</v>
      </c>
      <c r="C2368" s="40">
        <v>4</v>
      </c>
      <c r="D2368" s="38" t="s">
        <v>266</v>
      </c>
    </row>
    <row r="2369" spans="1:4" x14ac:dyDescent="0.25">
      <c r="A2369" s="41">
        <v>123216</v>
      </c>
      <c r="B2369" s="39" t="s">
        <v>4072</v>
      </c>
      <c r="C2369" s="40">
        <v>4</v>
      </c>
      <c r="D2369" s="38" t="s">
        <v>266</v>
      </c>
    </row>
    <row r="2370" spans="1:4" x14ac:dyDescent="0.25">
      <c r="A2370" s="41">
        <v>123400</v>
      </c>
      <c r="B2370" s="39" t="s">
        <v>4073</v>
      </c>
      <c r="C2370" s="40">
        <v>3</v>
      </c>
      <c r="D2370" s="38" t="s">
        <v>266</v>
      </c>
    </row>
    <row r="2371" spans="1:4" x14ac:dyDescent="0.25">
      <c r="A2371" s="41">
        <v>123416</v>
      </c>
      <c r="B2371" s="39" t="s">
        <v>4074</v>
      </c>
      <c r="C2371" s="40">
        <v>4</v>
      </c>
      <c r="D2371" s="38" t="s">
        <v>266</v>
      </c>
    </row>
    <row r="2372" spans="1:4" x14ac:dyDescent="0.25">
      <c r="A2372" s="41">
        <v>123500</v>
      </c>
      <c r="B2372" s="39" t="s">
        <v>4075</v>
      </c>
      <c r="C2372" s="40">
        <v>3</v>
      </c>
      <c r="D2372" s="38" t="s">
        <v>266</v>
      </c>
    </row>
    <row r="2373" spans="1:4" x14ac:dyDescent="0.25">
      <c r="A2373" s="41">
        <v>123517</v>
      </c>
      <c r="B2373" s="39" t="s">
        <v>4076</v>
      </c>
      <c r="C2373" s="40">
        <v>4</v>
      </c>
      <c r="D2373" s="38" t="s">
        <v>266</v>
      </c>
    </row>
    <row r="2374" spans="1:4" x14ac:dyDescent="0.25">
      <c r="A2374" s="41">
        <v>123525</v>
      </c>
      <c r="B2374" s="39" t="s">
        <v>4077</v>
      </c>
      <c r="C2374" s="40">
        <v>4</v>
      </c>
      <c r="D2374" s="38" t="s">
        <v>266</v>
      </c>
    </row>
    <row r="2375" spans="1:4" x14ac:dyDescent="0.25">
      <c r="A2375" s="41">
        <v>123530</v>
      </c>
      <c r="B2375" s="39" t="s">
        <v>4078</v>
      </c>
      <c r="C2375" s="40">
        <v>4</v>
      </c>
      <c r="D2375" s="38" t="s">
        <v>266</v>
      </c>
    </row>
    <row r="2376" spans="1:4" x14ac:dyDescent="0.25">
      <c r="A2376" s="42">
        <v>123530.13</v>
      </c>
      <c r="B2376" s="39" t="s">
        <v>4079</v>
      </c>
      <c r="C2376" s="40">
        <v>5</v>
      </c>
      <c r="D2376" s="38" t="s">
        <v>266</v>
      </c>
    </row>
    <row r="2377" spans="1:4" x14ac:dyDescent="0.25">
      <c r="A2377" s="42">
        <v>123530.23</v>
      </c>
      <c r="B2377" s="39" t="s">
        <v>4080</v>
      </c>
      <c r="C2377" s="40">
        <v>5</v>
      </c>
      <c r="D2377" s="38" t="s">
        <v>266</v>
      </c>
    </row>
    <row r="2378" spans="1:4" x14ac:dyDescent="0.25">
      <c r="A2378" s="42">
        <v>123530.43</v>
      </c>
      <c r="B2378" s="39" t="s">
        <v>4081</v>
      </c>
      <c r="C2378" s="40">
        <v>5</v>
      </c>
      <c r="D2378" s="38" t="s">
        <v>266</v>
      </c>
    </row>
    <row r="2379" spans="1:4" x14ac:dyDescent="0.25">
      <c r="A2379" s="41">
        <v>123533</v>
      </c>
      <c r="B2379" s="39" t="s">
        <v>4082</v>
      </c>
      <c r="C2379" s="40">
        <v>4</v>
      </c>
      <c r="D2379" s="38" t="s">
        <v>266</v>
      </c>
    </row>
    <row r="2380" spans="1:4" x14ac:dyDescent="0.25">
      <c r="A2380" s="41">
        <v>123536</v>
      </c>
      <c r="B2380" s="39" t="s">
        <v>4083</v>
      </c>
      <c r="C2380" s="40">
        <v>4</v>
      </c>
      <c r="D2380" s="38" t="s">
        <v>266</v>
      </c>
    </row>
    <row r="2381" spans="1:4" x14ac:dyDescent="0.25">
      <c r="A2381" s="41">
        <v>123539</v>
      </c>
      <c r="B2381" s="39" t="s">
        <v>4084</v>
      </c>
      <c r="C2381" s="40">
        <v>4</v>
      </c>
      <c r="D2381" s="38" t="s">
        <v>266</v>
      </c>
    </row>
    <row r="2382" spans="1:4" x14ac:dyDescent="0.25">
      <c r="A2382" s="41">
        <v>123550</v>
      </c>
      <c r="B2382" s="39" t="s">
        <v>4085</v>
      </c>
      <c r="C2382" s="40">
        <v>4</v>
      </c>
      <c r="D2382" s="38" t="s">
        <v>266</v>
      </c>
    </row>
    <row r="2383" spans="1:4" x14ac:dyDescent="0.25">
      <c r="A2383" s="42">
        <v>123550.13</v>
      </c>
      <c r="B2383" s="39" t="s">
        <v>4086</v>
      </c>
      <c r="C2383" s="40">
        <v>5</v>
      </c>
      <c r="D2383" s="38" t="s">
        <v>266</v>
      </c>
    </row>
    <row r="2384" spans="1:4" x14ac:dyDescent="0.25">
      <c r="A2384" s="42">
        <v>123550.53</v>
      </c>
      <c r="B2384" s="39" t="s">
        <v>4087</v>
      </c>
      <c r="C2384" s="40">
        <v>5</v>
      </c>
      <c r="D2384" s="38" t="s">
        <v>266</v>
      </c>
    </row>
    <row r="2385" spans="1:4" x14ac:dyDescent="0.25">
      <c r="A2385" s="42">
        <v>123550.56</v>
      </c>
      <c r="B2385" s="39" t="s">
        <v>4088</v>
      </c>
      <c r="C2385" s="40">
        <v>5</v>
      </c>
      <c r="D2385" s="38" t="s">
        <v>266</v>
      </c>
    </row>
    <row r="2386" spans="1:4" x14ac:dyDescent="0.25">
      <c r="A2386" s="41">
        <v>123553</v>
      </c>
      <c r="B2386" s="39" t="s">
        <v>4089</v>
      </c>
      <c r="C2386" s="40">
        <v>4</v>
      </c>
      <c r="D2386" s="38" t="s">
        <v>266</v>
      </c>
    </row>
    <row r="2387" spans="1:4" x14ac:dyDescent="0.25">
      <c r="A2387" s="42">
        <v>123553.13</v>
      </c>
      <c r="B2387" s="39" t="s">
        <v>4090</v>
      </c>
      <c r="C2387" s="40">
        <v>5</v>
      </c>
      <c r="D2387" s="38" t="s">
        <v>266</v>
      </c>
    </row>
    <row r="2388" spans="1:4" x14ac:dyDescent="0.25">
      <c r="A2388" s="42">
        <v>123553.16</v>
      </c>
      <c r="B2388" s="39" t="s">
        <v>4091</v>
      </c>
      <c r="C2388" s="40">
        <v>5</v>
      </c>
      <c r="D2388" s="38" t="s">
        <v>266</v>
      </c>
    </row>
    <row r="2389" spans="1:4" x14ac:dyDescent="0.25">
      <c r="A2389" s="42">
        <v>123553.19</v>
      </c>
      <c r="B2389" s="39" t="s">
        <v>4092</v>
      </c>
      <c r="C2389" s="40">
        <v>5</v>
      </c>
      <c r="D2389" s="38" t="s">
        <v>266</v>
      </c>
    </row>
    <row r="2390" spans="1:4" x14ac:dyDescent="0.25">
      <c r="A2390" s="42">
        <v>123553.23</v>
      </c>
      <c r="B2390" s="39" t="s">
        <v>4093</v>
      </c>
      <c r="C2390" s="40">
        <v>5</v>
      </c>
      <c r="D2390" s="38" t="s">
        <v>266</v>
      </c>
    </row>
    <row r="2391" spans="1:4" x14ac:dyDescent="0.25">
      <c r="A2391" s="41">
        <v>123559</v>
      </c>
      <c r="B2391" s="39" t="s">
        <v>4094</v>
      </c>
      <c r="C2391" s="40">
        <v>4</v>
      </c>
      <c r="D2391" s="38" t="s">
        <v>266</v>
      </c>
    </row>
    <row r="2392" spans="1:4" x14ac:dyDescent="0.25">
      <c r="A2392" s="41">
        <v>123570</v>
      </c>
      <c r="B2392" s="39" t="s">
        <v>4095</v>
      </c>
      <c r="C2392" s="40">
        <v>4</v>
      </c>
      <c r="D2392" s="38" t="s">
        <v>266</v>
      </c>
    </row>
    <row r="2393" spans="1:4" x14ac:dyDescent="0.25">
      <c r="A2393" s="42">
        <v>123570.13</v>
      </c>
      <c r="B2393" s="39" t="s">
        <v>4096</v>
      </c>
      <c r="C2393" s="40">
        <v>5</v>
      </c>
      <c r="D2393" s="38" t="s">
        <v>266</v>
      </c>
    </row>
    <row r="2394" spans="1:4" x14ac:dyDescent="0.25">
      <c r="A2394" s="42">
        <v>123570.16</v>
      </c>
      <c r="B2394" s="39" t="s">
        <v>4097</v>
      </c>
      <c r="C2394" s="40">
        <v>5</v>
      </c>
      <c r="D2394" s="38" t="s">
        <v>266</v>
      </c>
    </row>
    <row r="2395" spans="1:4" x14ac:dyDescent="0.25">
      <c r="A2395" s="42">
        <v>123570.19</v>
      </c>
      <c r="B2395" s="39" t="s">
        <v>4098</v>
      </c>
      <c r="C2395" s="40">
        <v>5</v>
      </c>
      <c r="D2395" s="38" t="s">
        <v>266</v>
      </c>
    </row>
    <row r="2396" spans="1:4" x14ac:dyDescent="0.25">
      <c r="A2396" s="42">
        <v>123570.74</v>
      </c>
      <c r="B2396" s="39" t="s">
        <v>4099</v>
      </c>
      <c r="C2396" s="40">
        <v>5</v>
      </c>
      <c r="D2396" s="38" t="s">
        <v>266</v>
      </c>
    </row>
    <row r="2397" spans="1:4" x14ac:dyDescent="0.25">
      <c r="A2397" s="41">
        <v>123583</v>
      </c>
      <c r="B2397" s="39" t="s">
        <v>4100</v>
      </c>
      <c r="C2397" s="40">
        <v>4</v>
      </c>
      <c r="D2397" s="38" t="s">
        <v>266</v>
      </c>
    </row>
    <row r="2398" spans="1:4" x14ac:dyDescent="0.25">
      <c r="A2398" s="41">
        <v>123591</v>
      </c>
      <c r="B2398" s="39" t="s">
        <v>4101</v>
      </c>
      <c r="C2398" s="40">
        <v>4</v>
      </c>
      <c r="D2398" s="38" t="s">
        <v>266</v>
      </c>
    </row>
    <row r="2399" spans="1:4" x14ac:dyDescent="0.25">
      <c r="A2399" s="41">
        <v>123600</v>
      </c>
      <c r="B2399" s="39" t="s">
        <v>4102</v>
      </c>
      <c r="C2399" s="40">
        <v>3</v>
      </c>
      <c r="D2399" s="38" t="s">
        <v>266</v>
      </c>
    </row>
    <row r="2400" spans="1:4" x14ac:dyDescent="0.25">
      <c r="A2400" s="41">
        <v>123613</v>
      </c>
      <c r="B2400" s="39" t="s">
        <v>4103</v>
      </c>
      <c r="C2400" s="40">
        <v>4</v>
      </c>
      <c r="D2400" s="38" t="s">
        <v>266</v>
      </c>
    </row>
    <row r="2401" spans="1:4" x14ac:dyDescent="0.25">
      <c r="A2401" s="41">
        <v>123616</v>
      </c>
      <c r="B2401" s="39" t="s">
        <v>4104</v>
      </c>
      <c r="C2401" s="40">
        <v>4</v>
      </c>
      <c r="D2401" s="38" t="s">
        <v>266</v>
      </c>
    </row>
    <row r="2402" spans="1:4" x14ac:dyDescent="0.25">
      <c r="A2402" s="41">
        <v>123619</v>
      </c>
      <c r="B2402" s="39" t="s">
        <v>4105</v>
      </c>
      <c r="C2402" s="40">
        <v>4</v>
      </c>
      <c r="D2402" s="38" t="s">
        <v>266</v>
      </c>
    </row>
    <row r="2403" spans="1:4" x14ac:dyDescent="0.25">
      <c r="A2403" s="41">
        <v>123623</v>
      </c>
      <c r="B2403" s="39" t="s">
        <v>4106</v>
      </c>
      <c r="C2403" s="40">
        <v>4</v>
      </c>
      <c r="D2403" s="38" t="s">
        <v>266</v>
      </c>
    </row>
    <row r="2404" spans="1:4" x14ac:dyDescent="0.25">
      <c r="A2404" s="42">
        <v>123623.13</v>
      </c>
      <c r="B2404" s="39" t="s">
        <v>4107</v>
      </c>
      <c r="C2404" s="40">
        <v>5</v>
      </c>
      <c r="D2404" s="38" t="s">
        <v>266</v>
      </c>
    </row>
    <row r="2405" spans="1:4" x14ac:dyDescent="0.25">
      <c r="A2405" s="41">
        <v>123640</v>
      </c>
      <c r="B2405" s="39" t="s">
        <v>4108</v>
      </c>
      <c r="C2405" s="40">
        <v>4</v>
      </c>
      <c r="D2405" s="38" t="s">
        <v>266</v>
      </c>
    </row>
    <row r="2406" spans="1:4" x14ac:dyDescent="0.25">
      <c r="A2406" s="41">
        <v>123653</v>
      </c>
      <c r="B2406" s="39" t="s">
        <v>4109</v>
      </c>
      <c r="C2406" s="40">
        <v>4</v>
      </c>
      <c r="D2406" s="38" t="s">
        <v>266</v>
      </c>
    </row>
    <row r="2407" spans="1:4" x14ac:dyDescent="0.25">
      <c r="A2407" s="41">
        <v>123661</v>
      </c>
      <c r="B2407" s="39" t="s">
        <v>4110</v>
      </c>
      <c r="C2407" s="40">
        <v>4</v>
      </c>
      <c r="D2407" s="38" t="s">
        <v>266</v>
      </c>
    </row>
    <row r="2408" spans="1:4" x14ac:dyDescent="0.25">
      <c r="A2408" s="42">
        <v>123661.13</v>
      </c>
      <c r="B2408" s="39" t="s">
        <v>4111</v>
      </c>
      <c r="C2408" s="40">
        <v>5</v>
      </c>
      <c r="D2408" s="38" t="s">
        <v>266</v>
      </c>
    </row>
    <row r="2409" spans="1:4" x14ac:dyDescent="0.25">
      <c r="A2409" s="42">
        <v>123661.16</v>
      </c>
      <c r="B2409" s="39" t="s">
        <v>4112</v>
      </c>
      <c r="C2409" s="40">
        <v>5</v>
      </c>
      <c r="D2409" s="38" t="s">
        <v>266</v>
      </c>
    </row>
    <row r="2410" spans="1:4" x14ac:dyDescent="0.25">
      <c r="A2410" s="42">
        <v>123661.19</v>
      </c>
      <c r="B2410" s="39" t="s">
        <v>4113</v>
      </c>
      <c r="C2410" s="40">
        <v>5</v>
      </c>
      <c r="D2410" s="38" t="s">
        <v>266</v>
      </c>
    </row>
    <row r="2411" spans="1:4" x14ac:dyDescent="0.25">
      <c r="A2411" s="41">
        <v>124000</v>
      </c>
      <c r="B2411" s="39" t="s">
        <v>4114</v>
      </c>
      <c r="C2411" s="40">
        <v>3</v>
      </c>
      <c r="D2411" s="38" t="s">
        <v>266</v>
      </c>
    </row>
    <row r="2412" spans="1:4" x14ac:dyDescent="0.25">
      <c r="A2412" s="41">
        <v>124100</v>
      </c>
      <c r="B2412" s="39" t="s">
        <v>4115</v>
      </c>
      <c r="C2412" s="40">
        <v>3</v>
      </c>
      <c r="D2412" s="38" t="s">
        <v>266</v>
      </c>
    </row>
    <row r="2413" spans="1:4" x14ac:dyDescent="0.25">
      <c r="A2413" s="41">
        <v>124113</v>
      </c>
      <c r="B2413" s="39" t="s">
        <v>4116</v>
      </c>
      <c r="C2413" s="40">
        <v>4</v>
      </c>
      <c r="D2413" s="38" t="s">
        <v>266</v>
      </c>
    </row>
    <row r="2414" spans="1:4" x14ac:dyDescent="0.25">
      <c r="A2414" s="41">
        <v>124200</v>
      </c>
      <c r="B2414" s="39" t="s">
        <v>4117</v>
      </c>
      <c r="C2414" s="40">
        <v>3</v>
      </c>
      <c r="D2414" s="38" t="s">
        <v>266</v>
      </c>
    </row>
    <row r="2415" spans="1:4" x14ac:dyDescent="0.25">
      <c r="A2415" s="41">
        <v>124213</v>
      </c>
      <c r="B2415" s="39" t="s">
        <v>4118</v>
      </c>
      <c r="C2415" s="40">
        <v>4</v>
      </c>
      <c r="D2415" s="38" t="s">
        <v>266</v>
      </c>
    </row>
    <row r="2416" spans="1:4" x14ac:dyDescent="0.25">
      <c r="A2416" s="41">
        <v>124216</v>
      </c>
      <c r="B2416" s="39" t="s">
        <v>4119</v>
      </c>
      <c r="C2416" s="40">
        <v>4</v>
      </c>
      <c r="D2416" s="38" t="s">
        <v>266</v>
      </c>
    </row>
    <row r="2417" spans="1:4" x14ac:dyDescent="0.25">
      <c r="A2417" s="42">
        <v>124216.13</v>
      </c>
      <c r="B2417" s="39" t="s">
        <v>4120</v>
      </c>
      <c r="C2417" s="40">
        <v>5</v>
      </c>
      <c r="D2417" s="38" t="s">
        <v>266</v>
      </c>
    </row>
    <row r="2418" spans="1:4" x14ac:dyDescent="0.25">
      <c r="A2418" s="41">
        <v>124219</v>
      </c>
      <c r="B2418" s="39" t="s">
        <v>4121</v>
      </c>
      <c r="C2418" s="40">
        <v>4</v>
      </c>
      <c r="D2418" s="38" t="s">
        <v>266</v>
      </c>
    </row>
    <row r="2419" spans="1:4" x14ac:dyDescent="0.25">
      <c r="A2419" s="41">
        <v>124223</v>
      </c>
      <c r="B2419" s="39" t="s">
        <v>4122</v>
      </c>
      <c r="C2419" s="40">
        <v>4</v>
      </c>
      <c r="D2419" s="38" t="s">
        <v>266</v>
      </c>
    </row>
    <row r="2420" spans="1:4" x14ac:dyDescent="0.25">
      <c r="A2420" s="41">
        <v>124226</v>
      </c>
      <c r="B2420" s="39" t="s">
        <v>4123</v>
      </c>
      <c r="C2420" s="40">
        <v>4</v>
      </c>
      <c r="D2420" s="38" t="s">
        <v>266</v>
      </c>
    </row>
    <row r="2421" spans="1:4" x14ac:dyDescent="0.25">
      <c r="A2421" s="42">
        <v>124226.13</v>
      </c>
      <c r="B2421" s="39" t="s">
        <v>4124</v>
      </c>
      <c r="C2421" s="40">
        <v>5</v>
      </c>
      <c r="D2421" s="38" t="s">
        <v>266</v>
      </c>
    </row>
    <row r="2422" spans="1:4" x14ac:dyDescent="0.25">
      <c r="A2422" s="41">
        <v>124300</v>
      </c>
      <c r="B2422" s="39" t="s">
        <v>4125</v>
      </c>
      <c r="C2422" s="40">
        <v>3</v>
      </c>
      <c r="D2422" s="38" t="s">
        <v>266</v>
      </c>
    </row>
    <row r="2423" spans="1:4" x14ac:dyDescent="0.25">
      <c r="A2423" s="41">
        <v>124313</v>
      </c>
      <c r="B2423" s="39" t="s">
        <v>4126</v>
      </c>
      <c r="C2423" s="40">
        <v>4</v>
      </c>
      <c r="D2423" s="38" t="s">
        <v>266</v>
      </c>
    </row>
    <row r="2424" spans="1:4" x14ac:dyDescent="0.25">
      <c r="A2424" s="42">
        <v>124313.13</v>
      </c>
      <c r="B2424" s="39" t="s">
        <v>4127</v>
      </c>
      <c r="C2424" s="40">
        <v>5</v>
      </c>
      <c r="D2424" s="38" t="s">
        <v>266</v>
      </c>
    </row>
    <row r="2425" spans="1:4" x14ac:dyDescent="0.25">
      <c r="A2425" s="42">
        <v>124313.16</v>
      </c>
      <c r="B2425" s="39" t="s">
        <v>4128</v>
      </c>
      <c r="C2425" s="40">
        <v>5</v>
      </c>
      <c r="D2425" s="38" t="s">
        <v>266</v>
      </c>
    </row>
    <row r="2426" spans="1:4" x14ac:dyDescent="0.25">
      <c r="A2426" s="42">
        <v>124313.19</v>
      </c>
      <c r="B2426" s="39" t="s">
        <v>4129</v>
      </c>
      <c r="C2426" s="40">
        <v>5</v>
      </c>
      <c r="D2426" s="38" t="s">
        <v>266</v>
      </c>
    </row>
    <row r="2427" spans="1:4" x14ac:dyDescent="0.25">
      <c r="A2427" s="41">
        <v>124400</v>
      </c>
      <c r="B2427" s="39" t="s">
        <v>4130</v>
      </c>
      <c r="C2427" s="40">
        <v>3</v>
      </c>
      <c r="D2427" s="38" t="s">
        <v>266</v>
      </c>
    </row>
    <row r="2428" spans="1:4" x14ac:dyDescent="0.25">
      <c r="A2428" s="41">
        <v>124413</v>
      </c>
      <c r="B2428" s="39" t="s">
        <v>4131</v>
      </c>
      <c r="C2428" s="40">
        <v>4</v>
      </c>
      <c r="D2428" s="38" t="s">
        <v>266</v>
      </c>
    </row>
    <row r="2429" spans="1:4" x14ac:dyDescent="0.25">
      <c r="A2429" s="42">
        <v>124413.13</v>
      </c>
      <c r="B2429" s="39" t="s">
        <v>4132</v>
      </c>
      <c r="C2429" s="40">
        <v>5</v>
      </c>
      <c r="D2429" s="38" t="s">
        <v>266</v>
      </c>
    </row>
    <row r="2430" spans="1:4" x14ac:dyDescent="0.25">
      <c r="A2430" s="42">
        <v>124413.16</v>
      </c>
      <c r="B2430" s="39" t="s">
        <v>4133</v>
      </c>
      <c r="C2430" s="40">
        <v>5</v>
      </c>
      <c r="D2430" s="38" t="s">
        <v>266</v>
      </c>
    </row>
    <row r="2431" spans="1:4" x14ac:dyDescent="0.25">
      <c r="A2431" s="41">
        <v>124416</v>
      </c>
      <c r="B2431" s="39" t="s">
        <v>4134</v>
      </c>
      <c r="C2431" s="40">
        <v>4</v>
      </c>
      <c r="D2431" s="38" t="s">
        <v>266</v>
      </c>
    </row>
    <row r="2432" spans="1:4" x14ac:dyDescent="0.25">
      <c r="A2432" s="41">
        <v>124500</v>
      </c>
      <c r="B2432" s="39" t="s">
        <v>4135</v>
      </c>
      <c r="C2432" s="40">
        <v>3</v>
      </c>
      <c r="D2432" s="38" t="s">
        <v>266</v>
      </c>
    </row>
    <row r="2433" spans="1:4" x14ac:dyDescent="0.25">
      <c r="A2433" s="41">
        <v>124513</v>
      </c>
      <c r="B2433" s="39" t="s">
        <v>4136</v>
      </c>
      <c r="C2433" s="40">
        <v>4</v>
      </c>
      <c r="D2433" s="38" t="s">
        <v>266</v>
      </c>
    </row>
    <row r="2434" spans="1:4" x14ac:dyDescent="0.25">
      <c r="A2434" s="42">
        <v>124513.13</v>
      </c>
      <c r="B2434" s="39" t="s">
        <v>4137</v>
      </c>
      <c r="C2434" s="40">
        <v>5</v>
      </c>
      <c r="D2434" s="38" t="s">
        <v>266</v>
      </c>
    </row>
    <row r="2435" spans="1:4" x14ac:dyDescent="0.25">
      <c r="A2435" s="42">
        <v>124513.16</v>
      </c>
      <c r="B2435" s="39" t="s">
        <v>4138</v>
      </c>
      <c r="C2435" s="40">
        <v>5</v>
      </c>
      <c r="D2435" s="38" t="s">
        <v>266</v>
      </c>
    </row>
    <row r="2436" spans="1:4" x14ac:dyDescent="0.25">
      <c r="A2436" s="41">
        <v>124516</v>
      </c>
      <c r="B2436" s="39" t="s">
        <v>4139</v>
      </c>
      <c r="C2436" s="40">
        <v>4</v>
      </c>
      <c r="D2436" s="38" t="s">
        <v>266</v>
      </c>
    </row>
    <row r="2437" spans="1:4" x14ac:dyDescent="0.25">
      <c r="A2437" s="41">
        <v>124600</v>
      </c>
      <c r="B2437" s="39" t="s">
        <v>4140</v>
      </c>
      <c r="C2437" s="40">
        <v>3</v>
      </c>
      <c r="D2437" s="38" t="s">
        <v>266</v>
      </c>
    </row>
    <row r="2438" spans="1:4" x14ac:dyDescent="0.25">
      <c r="A2438" s="41">
        <v>124613</v>
      </c>
      <c r="B2438" s="39" t="s">
        <v>4141</v>
      </c>
      <c r="C2438" s="40">
        <v>4</v>
      </c>
      <c r="D2438" s="38" t="s">
        <v>266</v>
      </c>
    </row>
    <row r="2439" spans="1:4" x14ac:dyDescent="0.25">
      <c r="A2439" s="41">
        <v>124616</v>
      </c>
      <c r="B2439" s="39" t="s">
        <v>4142</v>
      </c>
      <c r="C2439" s="40">
        <v>4</v>
      </c>
      <c r="D2439" s="38" t="s">
        <v>266</v>
      </c>
    </row>
    <row r="2440" spans="1:4" x14ac:dyDescent="0.25">
      <c r="A2440" s="41">
        <v>124619</v>
      </c>
      <c r="B2440" s="39" t="s">
        <v>4143</v>
      </c>
      <c r="C2440" s="40">
        <v>4</v>
      </c>
      <c r="D2440" s="38" t="s">
        <v>266</v>
      </c>
    </row>
    <row r="2441" spans="1:4" x14ac:dyDescent="0.25">
      <c r="A2441" s="41">
        <v>124623</v>
      </c>
      <c r="B2441" s="39" t="s">
        <v>4144</v>
      </c>
      <c r="C2441" s="40">
        <v>4</v>
      </c>
      <c r="D2441" s="38" t="s">
        <v>266</v>
      </c>
    </row>
    <row r="2442" spans="1:4" x14ac:dyDescent="0.25">
      <c r="A2442" s="41">
        <v>124626</v>
      </c>
      <c r="B2442" s="39" t="s">
        <v>4145</v>
      </c>
      <c r="C2442" s="40">
        <v>4</v>
      </c>
      <c r="D2442" s="38" t="s">
        <v>266</v>
      </c>
    </row>
    <row r="2443" spans="1:4" x14ac:dyDescent="0.25">
      <c r="A2443" s="41">
        <v>124629</v>
      </c>
      <c r="B2443" s="39" t="s">
        <v>4146</v>
      </c>
      <c r="C2443" s="40">
        <v>4</v>
      </c>
      <c r="D2443" s="38" t="s">
        <v>266</v>
      </c>
    </row>
    <row r="2444" spans="1:4" x14ac:dyDescent="0.25">
      <c r="A2444" s="41">
        <v>124633</v>
      </c>
      <c r="B2444" s="39" t="s">
        <v>4147</v>
      </c>
      <c r="C2444" s="40">
        <v>4</v>
      </c>
      <c r="D2444" s="38" t="s">
        <v>266</v>
      </c>
    </row>
    <row r="2445" spans="1:4" x14ac:dyDescent="0.25">
      <c r="A2445" s="41">
        <v>124800</v>
      </c>
      <c r="B2445" s="39" t="s">
        <v>4148</v>
      </c>
      <c r="C2445" s="40">
        <v>3</v>
      </c>
      <c r="D2445" s="38" t="s">
        <v>266</v>
      </c>
    </row>
    <row r="2446" spans="1:4" x14ac:dyDescent="0.25">
      <c r="A2446" s="41">
        <v>124813</v>
      </c>
      <c r="B2446" s="39" t="s">
        <v>4149</v>
      </c>
      <c r="C2446" s="40">
        <v>4</v>
      </c>
      <c r="D2446" s="38" t="s">
        <v>266</v>
      </c>
    </row>
    <row r="2447" spans="1:4" x14ac:dyDescent="0.25">
      <c r="A2447" s="42">
        <v>124813.13</v>
      </c>
      <c r="B2447" s="39" t="s">
        <v>4150</v>
      </c>
      <c r="C2447" s="40">
        <v>5</v>
      </c>
      <c r="D2447" s="38" t="s">
        <v>266</v>
      </c>
    </row>
    <row r="2448" spans="1:4" x14ac:dyDescent="0.25">
      <c r="A2448" s="42">
        <v>124813.16</v>
      </c>
      <c r="B2448" s="39" t="s">
        <v>4151</v>
      </c>
      <c r="C2448" s="40">
        <v>5</v>
      </c>
      <c r="D2448" s="38" t="s">
        <v>266</v>
      </c>
    </row>
    <row r="2449" spans="1:4" x14ac:dyDescent="0.25">
      <c r="A2449" s="41">
        <v>124816</v>
      </c>
      <c r="B2449" s="39" t="s">
        <v>4152</v>
      </c>
      <c r="C2449" s="40">
        <v>4</v>
      </c>
      <c r="D2449" s="38" t="s">
        <v>266</v>
      </c>
    </row>
    <row r="2450" spans="1:4" x14ac:dyDescent="0.25">
      <c r="A2450" s="41">
        <v>124819</v>
      </c>
      <c r="B2450" s="39" t="s">
        <v>4153</v>
      </c>
      <c r="C2450" s="40">
        <v>4</v>
      </c>
      <c r="D2450" s="38" t="s">
        <v>266</v>
      </c>
    </row>
    <row r="2451" spans="1:4" x14ac:dyDescent="0.25">
      <c r="A2451" s="41">
        <v>124823</v>
      </c>
      <c r="B2451" s="39" t="s">
        <v>4154</v>
      </c>
      <c r="C2451" s="40">
        <v>4</v>
      </c>
      <c r="D2451" s="38" t="s">
        <v>266</v>
      </c>
    </row>
    <row r="2452" spans="1:4" x14ac:dyDescent="0.25">
      <c r="A2452" s="41">
        <v>124826</v>
      </c>
      <c r="B2452" s="39" t="s">
        <v>4155</v>
      </c>
      <c r="C2452" s="40">
        <v>4</v>
      </c>
      <c r="D2452" s="38" t="s">
        <v>266</v>
      </c>
    </row>
    <row r="2453" spans="1:4" x14ac:dyDescent="0.25">
      <c r="A2453" s="41">
        <v>124843</v>
      </c>
      <c r="B2453" s="39" t="s">
        <v>4156</v>
      </c>
      <c r="C2453" s="40">
        <v>4</v>
      </c>
      <c r="D2453" s="38" t="s">
        <v>266</v>
      </c>
    </row>
    <row r="2454" spans="1:4" x14ac:dyDescent="0.25">
      <c r="A2454" s="42">
        <v>124843.13</v>
      </c>
      <c r="B2454" s="39" t="s">
        <v>4157</v>
      </c>
      <c r="C2454" s="40">
        <v>5</v>
      </c>
      <c r="D2454" s="38" t="s">
        <v>266</v>
      </c>
    </row>
    <row r="2455" spans="1:4" x14ac:dyDescent="0.25">
      <c r="A2455" s="41">
        <v>124853</v>
      </c>
      <c r="B2455" s="39" t="s">
        <v>4158</v>
      </c>
      <c r="C2455" s="40">
        <v>4</v>
      </c>
      <c r="D2455" s="38" t="s">
        <v>266</v>
      </c>
    </row>
    <row r="2456" spans="1:4" x14ac:dyDescent="0.25">
      <c r="A2456" s="42">
        <v>124853.13</v>
      </c>
      <c r="B2456" s="39" t="s">
        <v>4159</v>
      </c>
      <c r="C2456" s="40">
        <v>5</v>
      </c>
      <c r="D2456" s="38" t="s">
        <v>266</v>
      </c>
    </row>
    <row r="2457" spans="1:4" x14ac:dyDescent="0.25">
      <c r="A2457" s="42">
        <v>124853.16</v>
      </c>
      <c r="B2457" s="39" t="s">
        <v>4160</v>
      </c>
      <c r="C2457" s="40">
        <v>5</v>
      </c>
      <c r="D2457" s="38" t="s">
        <v>266</v>
      </c>
    </row>
    <row r="2458" spans="1:4" x14ac:dyDescent="0.25">
      <c r="A2458" s="41">
        <v>125000</v>
      </c>
      <c r="B2458" s="39" t="s">
        <v>1305</v>
      </c>
      <c r="C2458" s="40">
        <v>3</v>
      </c>
      <c r="D2458" s="39" t="s">
        <v>1304</v>
      </c>
    </row>
    <row r="2459" spans="1:4" x14ac:dyDescent="0.25">
      <c r="A2459" s="41">
        <v>125100</v>
      </c>
      <c r="B2459" s="39" t="s">
        <v>4161</v>
      </c>
      <c r="C2459" s="40">
        <v>3</v>
      </c>
      <c r="D2459" s="38" t="s">
        <v>266</v>
      </c>
    </row>
    <row r="2460" spans="1:4" x14ac:dyDescent="0.25">
      <c r="A2460" s="41">
        <v>125116</v>
      </c>
      <c r="B2460" s="39" t="s">
        <v>4162</v>
      </c>
      <c r="C2460" s="40">
        <v>4</v>
      </c>
      <c r="D2460" s="38" t="s">
        <v>266</v>
      </c>
    </row>
    <row r="2461" spans="1:4" x14ac:dyDescent="0.25">
      <c r="A2461" s="42">
        <v>125116.13</v>
      </c>
      <c r="B2461" s="39" t="s">
        <v>4163</v>
      </c>
      <c r="C2461" s="40">
        <v>5</v>
      </c>
      <c r="D2461" s="38" t="s">
        <v>266</v>
      </c>
    </row>
    <row r="2462" spans="1:4" x14ac:dyDescent="0.25">
      <c r="A2462" s="42">
        <v>125116.16</v>
      </c>
      <c r="B2462" s="39" t="s">
        <v>4164</v>
      </c>
      <c r="C2462" s="40">
        <v>5</v>
      </c>
      <c r="D2462" s="38" t="s">
        <v>266</v>
      </c>
    </row>
    <row r="2463" spans="1:4" x14ac:dyDescent="0.25">
      <c r="A2463" s="42">
        <v>125116.19</v>
      </c>
      <c r="B2463" s="39" t="s">
        <v>4165</v>
      </c>
      <c r="C2463" s="40">
        <v>5</v>
      </c>
      <c r="D2463" s="38" t="s">
        <v>266</v>
      </c>
    </row>
    <row r="2464" spans="1:4" x14ac:dyDescent="0.25">
      <c r="A2464" s="41">
        <v>125119</v>
      </c>
      <c r="B2464" s="39" t="s">
        <v>4166</v>
      </c>
      <c r="C2464" s="40">
        <v>4</v>
      </c>
      <c r="D2464" s="38" t="s">
        <v>266</v>
      </c>
    </row>
    <row r="2465" spans="1:4" x14ac:dyDescent="0.25">
      <c r="A2465" s="42">
        <v>125119.13</v>
      </c>
      <c r="B2465" s="39" t="s">
        <v>4167</v>
      </c>
      <c r="C2465" s="40">
        <v>5</v>
      </c>
      <c r="D2465" s="38" t="s">
        <v>266</v>
      </c>
    </row>
    <row r="2466" spans="1:4" x14ac:dyDescent="0.25">
      <c r="A2466" s="42">
        <v>125119.16</v>
      </c>
      <c r="B2466" s="39" t="s">
        <v>4168</v>
      </c>
      <c r="C2466" s="40">
        <v>5</v>
      </c>
      <c r="D2466" s="38" t="s">
        <v>266</v>
      </c>
    </row>
    <row r="2467" spans="1:4" x14ac:dyDescent="0.25">
      <c r="A2467" s="41">
        <v>125123</v>
      </c>
      <c r="B2467" s="39" t="s">
        <v>4169</v>
      </c>
      <c r="C2467" s="40">
        <v>4</v>
      </c>
      <c r="D2467" s="38" t="s">
        <v>266</v>
      </c>
    </row>
    <row r="2468" spans="1:4" x14ac:dyDescent="0.25">
      <c r="A2468" s="41">
        <v>125183</v>
      </c>
      <c r="B2468" s="39" t="s">
        <v>4170</v>
      </c>
      <c r="C2468" s="40">
        <v>4</v>
      </c>
      <c r="D2468" s="38" t="s">
        <v>266</v>
      </c>
    </row>
    <row r="2469" spans="1:4" x14ac:dyDescent="0.25">
      <c r="A2469" s="41">
        <v>125200</v>
      </c>
      <c r="B2469" s="39" t="s">
        <v>4171</v>
      </c>
      <c r="C2469" s="40">
        <v>3</v>
      </c>
      <c r="D2469" s="38" t="s">
        <v>266</v>
      </c>
    </row>
    <row r="2470" spans="1:4" x14ac:dyDescent="0.25">
      <c r="A2470" s="41">
        <v>125213</v>
      </c>
      <c r="B2470" s="39" t="s">
        <v>4172</v>
      </c>
      <c r="C2470" s="40">
        <v>4</v>
      </c>
      <c r="D2470" s="38" t="s">
        <v>266</v>
      </c>
    </row>
    <row r="2471" spans="1:4" x14ac:dyDescent="0.25">
      <c r="A2471" s="41">
        <v>125219</v>
      </c>
      <c r="B2471" s="39" t="s">
        <v>4173</v>
      </c>
      <c r="C2471" s="40">
        <v>4</v>
      </c>
      <c r="D2471" s="38" t="s">
        <v>266</v>
      </c>
    </row>
    <row r="2472" spans="1:4" x14ac:dyDescent="0.25">
      <c r="A2472" s="41">
        <v>125223</v>
      </c>
      <c r="B2472" s="39" t="s">
        <v>4174</v>
      </c>
      <c r="C2472" s="40">
        <v>4</v>
      </c>
      <c r="D2472" s="38" t="s">
        <v>266</v>
      </c>
    </row>
    <row r="2473" spans="1:4" x14ac:dyDescent="0.25">
      <c r="A2473" s="41">
        <v>125270</v>
      </c>
      <c r="B2473" s="39" t="s">
        <v>4175</v>
      </c>
      <c r="C2473" s="40">
        <v>4</v>
      </c>
      <c r="D2473" s="38" t="s">
        <v>266</v>
      </c>
    </row>
    <row r="2474" spans="1:4" x14ac:dyDescent="0.25">
      <c r="A2474" s="41">
        <v>125283</v>
      </c>
      <c r="B2474" s="39" t="s">
        <v>4176</v>
      </c>
      <c r="C2474" s="40">
        <v>4</v>
      </c>
      <c r="D2474" s="38" t="s">
        <v>266</v>
      </c>
    </row>
    <row r="2475" spans="1:4" x14ac:dyDescent="0.25">
      <c r="A2475" s="41">
        <v>125300</v>
      </c>
      <c r="B2475" s="39" t="s">
        <v>4177</v>
      </c>
      <c r="C2475" s="40">
        <v>3</v>
      </c>
      <c r="D2475" s="38" t="s">
        <v>266</v>
      </c>
    </row>
    <row r="2476" spans="1:4" x14ac:dyDescent="0.25">
      <c r="A2476" s="41">
        <v>125383</v>
      </c>
      <c r="B2476" s="39" t="s">
        <v>4178</v>
      </c>
      <c r="C2476" s="40">
        <v>4</v>
      </c>
      <c r="D2476" s="38" t="s">
        <v>266</v>
      </c>
    </row>
    <row r="2477" spans="1:4" x14ac:dyDescent="0.25">
      <c r="A2477" s="41">
        <v>125400</v>
      </c>
      <c r="B2477" s="39" t="s">
        <v>4179</v>
      </c>
      <c r="C2477" s="40">
        <v>3</v>
      </c>
      <c r="D2477" s="38" t="s">
        <v>266</v>
      </c>
    </row>
    <row r="2478" spans="1:4" x14ac:dyDescent="0.25">
      <c r="A2478" s="41">
        <v>125413</v>
      </c>
      <c r="B2478" s="39" t="s">
        <v>4180</v>
      </c>
      <c r="C2478" s="40">
        <v>4</v>
      </c>
      <c r="D2478" s="38" t="s">
        <v>266</v>
      </c>
    </row>
    <row r="2479" spans="1:4" x14ac:dyDescent="0.25">
      <c r="A2479" s="41">
        <v>125416</v>
      </c>
      <c r="B2479" s="39" t="s">
        <v>4181</v>
      </c>
      <c r="C2479" s="40">
        <v>4</v>
      </c>
      <c r="D2479" s="38" t="s">
        <v>266</v>
      </c>
    </row>
    <row r="2480" spans="1:4" x14ac:dyDescent="0.25">
      <c r="A2480" s="41">
        <v>125483</v>
      </c>
      <c r="B2480" s="39" t="s">
        <v>4182</v>
      </c>
      <c r="C2480" s="40">
        <v>4</v>
      </c>
      <c r="D2480" s="38" t="s">
        <v>266</v>
      </c>
    </row>
    <row r="2481" spans="1:4" x14ac:dyDescent="0.25">
      <c r="A2481" s="41">
        <v>125500</v>
      </c>
      <c r="B2481" s="39" t="s">
        <v>4183</v>
      </c>
      <c r="C2481" s="40">
        <v>3</v>
      </c>
      <c r="D2481" s="38" t="s">
        <v>266</v>
      </c>
    </row>
    <row r="2482" spans="1:4" x14ac:dyDescent="0.25">
      <c r="A2482" s="41">
        <v>125513</v>
      </c>
      <c r="B2482" s="39" t="s">
        <v>4184</v>
      </c>
      <c r="C2482" s="40">
        <v>4</v>
      </c>
      <c r="D2482" s="38" t="s">
        <v>266</v>
      </c>
    </row>
    <row r="2483" spans="1:4" x14ac:dyDescent="0.25">
      <c r="A2483" s="41">
        <v>125516</v>
      </c>
      <c r="B2483" s="39" t="s">
        <v>4185</v>
      </c>
      <c r="C2483" s="40">
        <v>4</v>
      </c>
      <c r="D2483" s="38" t="s">
        <v>266</v>
      </c>
    </row>
    <row r="2484" spans="1:4" x14ac:dyDescent="0.25">
      <c r="A2484" s="41">
        <v>125519</v>
      </c>
      <c r="B2484" s="39" t="s">
        <v>4186</v>
      </c>
      <c r="C2484" s="40">
        <v>4</v>
      </c>
      <c r="D2484" s="38" t="s">
        <v>266</v>
      </c>
    </row>
    <row r="2485" spans="1:4" x14ac:dyDescent="0.25">
      <c r="A2485" s="41">
        <v>125523</v>
      </c>
      <c r="B2485" s="39" t="s">
        <v>4187</v>
      </c>
      <c r="C2485" s="40">
        <v>4</v>
      </c>
      <c r="D2485" s="38" t="s">
        <v>266</v>
      </c>
    </row>
    <row r="2486" spans="1:4" x14ac:dyDescent="0.25">
      <c r="A2486" s="41">
        <v>125526</v>
      </c>
      <c r="B2486" s="39" t="s">
        <v>4188</v>
      </c>
      <c r="C2486" s="40">
        <v>4</v>
      </c>
      <c r="D2486" s="38" t="s">
        <v>266</v>
      </c>
    </row>
    <row r="2487" spans="1:4" x14ac:dyDescent="0.25">
      <c r="A2487" s="41">
        <v>125583</v>
      </c>
      <c r="B2487" s="39" t="s">
        <v>4189</v>
      </c>
      <c r="C2487" s="40">
        <v>4</v>
      </c>
      <c r="D2487" s="38" t="s">
        <v>266</v>
      </c>
    </row>
    <row r="2488" spans="1:4" x14ac:dyDescent="0.25">
      <c r="A2488" s="41">
        <v>125586</v>
      </c>
      <c r="B2488" s="39" t="s">
        <v>4190</v>
      </c>
      <c r="C2488" s="40">
        <v>4</v>
      </c>
      <c r="D2488" s="38" t="s">
        <v>266</v>
      </c>
    </row>
    <row r="2489" spans="1:4" x14ac:dyDescent="0.25">
      <c r="A2489" s="41">
        <v>125600</v>
      </c>
      <c r="B2489" s="39" t="s">
        <v>4191</v>
      </c>
      <c r="C2489" s="40">
        <v>3</v>
      </c>
      <c r="D2489" s="38" t="s">
        <v>266</v>
      </c>
    </row>
    <row r="2490" spans="1:4" x14ac:dyDescent="0.25">
      <c r="A2490" s="41">
        <v>125623</v>
      </c>
      <c r="B2490" s="39" t="s">
        <v>4192</v>
      </c>
      <c r="C2490" s="40">
        <v>4</v>
      </c>
      <c r="D2490" s="38" t="s">
        <v>266</v>
      </c>
    </row>
    <row r="2491" spans="1:4" x14ac:dyDescent="0.25">
      <c r="A2491" s="41">
        <v>125633</v>
      </c>
      <c r="B2491" s="39" t="s">
        <v>4193</v>
      </c>
      <c r="C2491" s="40">
        <v>4</v>
      </c>
      <c r="D2491" s="38" t="s">
        <v>266</v>
      </c>
    </row>
    <row r="2492" spans="1:4" x14ac:dyDescent="0.25">
      <c r="A2492" s="42">
        <v>125633.13</v>
      </c>
      <c r="B2492" s="39" t="s">
        <v>4194</v>
      </c>
      <c r="C2492" s="40">
        <v>5</v>
      </c>
      <c r="D2492" s="38" t="s">
        <v>266</v>
      </c>
    </row>
    <row r="2493" spans="1:4" x14ac:dyDescent="0.25">
      <c r="A2493" s="41">
        <v>125639</v>
      </c>
      <c r="B2493" s="39" t="s">
        <v>4195</v>
      </c>
      <c r="C2493" s="40">
        <v>4</v>
      </c>
      <c r="D2493" s="38" t="s">
        <v>266</v>
      </c>
    </row>
    <row r="2494" spans="1:4" x14ac:dyDescent="0.25">
      <c r="A2494" s="41">
        <v>125643</v>
      </c>
      <c r="B2494" s="39" t="s">
        <v>4196</v>
      </c>
      <c r="C2494" s="40">
        <v>4</v>
      </c>
      <c r="D2494" s="38" t="s">
        <v>266</v>
      </c>
    </row>
    <row r="2495" spans="1:4" x14ac:dyDescent="0.25">
      <c r="A2495" s="41">
        <v>125651</v>
      </c>
      <c r="B2495" s="39" t="s">
        <v>4197</v>
      </c>
      <c r="C2495" s="40">
        <v>4</v>
      </c>
      <c r="D2495" s="38" t="s">
        <v>266</v>
      </c>
    </row>
    <row r="2496" spans="1:4" x14ac:dyDescent="0.25">
      <c r="A2496" s="42">
        <v>125651.13</v>
      </c>
      <c r="B2496" s="39" t="s">
        <v>4198</v>
      </c>
      <c r="C2496" s="40">
        <v>5</v>
      </c>
      <c r="D2496" s="38" t="s">
        <v>266</v>
      </c>
    </row>
    <row r="2497" spans="1:4" x14ac:dyDescent="0.25">
      <c r="A2497" s="42">
        <v>125651.16</v>
      </c>
      <c r="B2497" s="39" t="s">
        <v>4199</v>
      </c>
      <c r="C2497" s="40">
        <v>5</v>
      </c>
      <c r="D2497" s="38" t="s">
        <v>266</v>
      </c>
    </row>
    <row r="2498" spans="1:4" x14ac:dyDescent="0.25">
      <c r="A2498" s="42">
        <v>125651.19</v>
      </c>
      <c r="B2498" s="39" t="s">
        <v>4200</v>
      </c>
      <c r="C2498" s="40">
        <v>5</v>
      </c>
      <c r="D2498" s="38" t="s">
        <v>266</v>
      </c>
    </row>
    <row r="2499" spans="1:4" x14ac:dyDescent="0.25">
      <c r="A2499" s="41">
        <v>125652</v>
      </c>
      <c r="B2499" s="39" t="s">
        <v>4201</v>
      </c>
      <c r="C2499" s="40">
        <v>4</v>
      </c>
      <c r="D2499" s="38" t="s">
        <v>266</v>
      </c>
    </row>
    <row r="2500" spans="1:4" x14ac:dyDescent="0.25">
      <c r="A2500" s="41">
        <v>125653</v>
      </c>
      <c r="B2500" s="39" t="s">
        <v>4202</v>
      </c>
      <c r="C2500" s="40">
        <v>4</v>
      </c>
      <c r="D2500" s="38" t="s">
        <v>266</v>
      </c>
    </row>
    <row r="2501" spans="1:4" x14ac:dyDescent="0.25">
      <c r="A2501" s="41">
        <v>125670</v>
      </c>
      <c r="B2501" s="39" t="s">
        <v>4203</v>
      </c>
      <c r="C2501" s="40">
        <v>4</v>
      </c>
      <c r="D2501" s="38" t="s">
        <v>266</v>
      </c>
    </row>
    <row r="2502" spans="1:4" x14ac:dyDescent="0.25">
      <c r="A2502" s="41">
        <v>125683</v>
      </c>
      <c r="B2502" s="39" t="s">
        <v>4204</v>
      </c>
      <c r="C2502" s="40">
        <v>4</v>
      </c>
      <c r="D2502" s="38" t="s">
        <v>266</v>
      </c>
    </row>
    <row r="2503" spans="1:4" x14ac:dyDescent="0.25">
      <c r="A2503" s="41">
        <v>125686</v>
      </c>
      <c r="B2503" s="39" t="s">
        <v>4205</v>
      </c>
      <c r="C2503" s="40">
        <v>4</v>
      </c>
      <c r="D2503" s="38" t="s">
        <v>266</v>
      </c>
    </row>
    <row r="2504" spans="1:4" x14ac:dyDescent="0.25">
      <c r="A2504" s="41">
        <v>125700</v>
      </c>
      <c r="B2504" s="39" t="s">
        <v>4206</v>
      </c>
      <c r="C2504" s="40">
        <v>3</v>
      </c>
      <c r="D2504" s="38" t="s">
        <v>266</v>
      </c>
    </row>
    <row r="2505" spans="1:4" x14ac:dyDescent="0.25">
      <c r="A2505" s="41">
        <v>125713</v>
      </c>
      <c r="B2505" s="39" t="s">
        <v>4207</v>
      </c>
      <c r="C2505" s="40">
        <v>4</v>
      </c>
      <c r="D2505" s="38" t="s">
        <v>266</v>
      </c>
    </row>
    <row r="2506" spans="1:4" x14ac:dyDescent="0.25">
      <c r="A2506" s="41">
        <v>125716</v>
      </c>
      <c r="B2506" s="39" t="s">
        <v>4208</v>
      </c>
      <c r="C2506" s="40">
        <v>4</v>
      </c>
      <c r="D2506" s="38" t="s">
        <v>266</v>
      </c>
    </row>
    <row r="2507" spans="1:4" x14ac:dyDescent="0.25">
      <c r="A2507" s="41">
        <v>125719</v>
      </c>
      <c r="B2507" s="39" t="s">
        <v>4209</v>
      </c>
      <c r="C2507" s="40">
        <v>4</v>
      </c>
      <c r="D2507" s="38" t="s">
        <v>266</v>
      </c>
    </row>
    <row r="2508" spans="1:4" x14ac:dyDescent="0.25">
      <c r="A2508" s="41">
        <v>125783</v>
      </c>
      <c r="B2508" s="39" t="s">
        <v>4210</v>
      </c>
      <c r="C2508" s="40">
        <v>4</v>
      </c>
      <c r="D2508" s="38" t="s">
        <v>266</v>
      </c>
    </row>
    <row r="2509" spans="1:4" x14ac:dyDescent="0.25">
      <c r="A2509" s="41">
        <v>125786</v>
      </c>
      <c r="B2509" s="39" t="s">
        <v>4211</v>
      </c>
      <c r="C2509" s="40">
        <v>4</v>
      </c>
      <c r="D2509" s="38" t="s">
        <v>266</v>
      </c>
    </row>
    <row r="2510" spans="1:4" x14ac:dyDescent="0.25">
      <c r="A2510" s="41">
        <v>125800</v>
      </c>
      <c r="B2510" s="39" t="s">
        <v>4212</v>
      </c>
      <c r="C2510" s="40">
        <v>3</v>
      </c>
      <c r="D2510" s="38" t="s">
        <v>266</v>
      </c>
    </row>
    <row r="2511" spans="1:4" x14ac:dyDescent="0.25">
      <c r="A2511" s="41">
        <v>125813</v>
      </c>
      <c r="B2511" s="39" t="s">
        <v>4213</v>
      </c>
      <c r="C2511" s="40">
        <v>4</v>
      </c>
      <c r="D2511" s="38" t="s">
        <v>266</v>
      </c>
    </row>
    <row r="2512" spans="1:4" x14ac:dyDescent="0.25">
      <c r="A2512" s="42">
        <v>125813.13</v>
      </c>
      <c r="B2512" s="39" t="s">
        <v>4214</v>
      </c>
      <c r="C2512" s="40">
        <v>5</v>
      </c>
      <c r="D2512" s="38" t="s">
        <v>266</v>
      </c>
    </row>
    <row r="2513" spans="1:4" x14ac:dyDescent="0.25">
      <c r="A2513" s="41">
        <v>125816</v>
      </c>
      <c r="B2513" s="39" t="s">
        <v>4215</v>
      </c>
      <c r="C2513" s="40">
        <v>4</v>
      </c>
      <c r="D2513" s="38" t="s">
        <v>266</v>
      </c>
    </row>
    <row r="2514" spans="1:4" x14ac:dyDescent="0.25">
      <c r="A2514" s="42">
        <v>125816.13</v>
      </c>
      <c r="B2514" s="39" t="s">
        <v>4216</v>
      </c>
      <c r="C2514" s="40">
        <v>5</v>
      </c>
      <c r="D2514" s="38" t="s">
        <v>266</v>
      </c>
    </row>
    <row r="2515" spans="1:4" x14ac:dyDescent="0.25">
      <c r="A2515" s="41">
        <v>125819</v>
      </c>
      <c r="B2515" s="39" t="s">
        <v>4217</v>
      </c>
      <c r="C2515" s="40">
        <v>4</v>
      </c>
      <c r="D2515" s="38" t="s">
        <v>266</v>
      </c>
    </row>
    <row r="2516" spans="1:4" x14ac:dyDescent="0.25">
      <c r="A2516" s="41">
        <v>125823</v>
      </c>
      <c r="B2516" s="39" t="s">
        <v>4218</v>
      </c>
      <c r="C2516" s="40">
        <v>4</v>
      </c>
      <c r="D2516" s="38" t="s">
        <v>266</v>
      </c>
    </row>
    <row r="2517" spans="1:4" x14ac:dyDescent="0.25">
      <c r="A2517" s="41">
        <v>125826</v>
      </c>
      <c r="B2517" s="39" t="s">
        <v>4219</v>
      </c>
      <c r="C2517" s="40">
        <v>4</v>
      </c>
      <c r="D2517" s="38" t="s">
        <v>266</v>
      </c>
    </row>
    <row r="2518" spans="1:4" x14ac:dyDescent="0.25">
      <c r="A2518" s="41">
        <v>125829</v>
      </c>
      <c r="B2518" s="39" t="s">
        <v>4220</v>
      </c>
      <c r="C2518" s="40">
        <v>4</v>
      </c>
      <c r="D2518" s="38" t="s">
        <v>266</v>
      </c>
    </row>
    <row r="2519" spans="1:4" x14ac:dyDescent="0.25">
      <c r="A2519" s="42">
        <v>125829.13</v>
      </c>
      <c r="B2519" s="39" t="s">
        <v>4221</v>
      </c>
      <c r="C2519" s="40">
        <v>5</v>
      </c>
      <c r="D2519" s="38" t="s">
        <v>266</v>
      </c>
    </row>
    <row r="2520" spans="1:4" x14ac:dyDescent="0.25">
      <c r="A2520" s="41">
        <v>125833</v>
      </c>
      <c r="B2520" s="39" t="s">
        <v>4222</v>
      </c>
      <c r="C2520" s="40">
        <v>4</v>
      </c>
      <c r="D2520" s="38" t="s">
        <v>266</v>
      </c>
    </row>
    <row r="2521" spans="1:4" x14ac:dyDescent="0.25">
      <c r="A2521" s="42">
        <v>125833.13</v>
      </c>
      <c r="B2521" s="39" t="s">
        <v>4223</v>
      </c>
      <c r="C2521" s="40">
        <v>5</v>
      </c>
      <c r="D2521" s="38" t="s">
        <v>266</v>
      </c>
    </row>
    <row r="2522" spans="1:4" x14ac:dyDescent="0.25">
      <c r="A2522" s="41">
        <v>125836</v>
      </c>
      <c r="B2522" s="39" t="s">
        <v>4224</v>
      </c>
      <c r="C2522" s="40">
        <v>4</v>
      </c>
      <c r="D2522" s="38" t="s">
        <v>266</v>
      </c>
    </row>
    <row r="2523" spans="1:4" x14ac:dyDescent="0.25">
      <c r="A2523" s="41">
        <v>125883</v>
      </c>
      <c r="B2523" s="39" t="s">
        <v>4225</v>
      </c>
      <c r="C2523" s="40">
        <v>4</v>
      </c>
      <c r="D2523" s="38" t="s">
        <v>266</v>
      </c>
    </row>
    <row r="2524" spans="1:4" x14ac:dyDescent="0.25">
      <c r="A2524" s="41">
        <v>125900</v>
      </c>
      <c r="B2524" s="39" t="s">
        <v>4226</v>
      </c>
      <c r="C2524" s="40">
        <v>3</v>
      </c>
      <c r="D2524" s="38" t="s">
        <v>266</v>
      </c>
    </row>
    <row r="2525" spans="1:4" x14ac:dyDescent="0.25">
      <c r="A2525" s="41">
        <v>125913</v>
      </c>
      <c r="B2525" s="39" t="s">
        <v>4227</v>
      </c>
      <c r="C2525" s="40">
        <v>4</v>
      </c>
      <c r="D2525" s="38" t="s">
        <v>266</v>
      </c>
    </row>
    <row r="2526" spans="1:4" x14ac:dyDescent="0.25">
      <c r="A2526" s="41">
        <v>125916</v>
      </c>
      <c r="B2526" s="39" t="s">
        <v>4228</v>
      </c>
      <c r="C2526" s="40">
        <v>4</v>
      </c>
      <c r="D2526" s="38" t="s">
        <v>266</v>
      </c>
    </row>
    <row r="2527" spans="1:4" x14ac:dyDescent="0.25">
      <c r="A2527" s="41">
        <v>125919</v>
      </c>
      <c r="B2527" s="39" t="s">
        <v>4229</v>
      </c>
      <c r="C2527" s="40">
        <v>4</v>
      </c>
      <c r="D2527" s="38" t="s">
        <v>266</v>
      </c>
    </row>
    <row r="2528" spans="1:4" x14ac:dyDescent="0.25">
      <c r="A2528" s="41">
        <v>125923</v>
      </c>
      <c r="B2528" s="39" t="s">
        <v>4230</v>
      </c>
      <c r="C2528" s="40">
        <v>4</v>
      </c>
      <c r="D2528" s="38" t="s">
        <v>266</v>
      </c>
    </row>
    <row r="2529" spans="1:4" x14ac:dyDescent="0.25">
      <c r="A2529" s="41">
        <v>125983</v>
      </c>
      <c r="B2529" s="39" t="s">
        <v>4231</v>
      </c>
      <c r="C2529" s="40">
        <v>4</v>
      </c>
      <c r="D2529" s="38" t="s">
        <v>266</v>
      </c>
    </row>
    <row r="2530" spans="1:4" x14ac:dyDescent="0.25">
      <c r="A2530" s="41">
        <v>126000</v>
      </c>
      <c r="B2530" s="39" t="s">
        <v>4232</v>
      </c>
      <c r="C2530" s="40">
        <v>3</v>
      </c>
      <c r="D2530" s="38" t="s">
        <v>266</v>
      </c>
    </row>
    <row r="2531" spans="1:4" x14ac:dyDescent="0.25">
      <c r="A2531" s="41">
        <v>126100</v>
      </c>
      <c r="B2531" s="39" t="s">
        <v>4233</v>
      </c>
      <c r="C2531" s="40">
        <v>3</v>
      </c>
      <c r="D2531" s="38" t="s">
        <v>266</v>
      </c>
    </row>
    <row r="2532" spans="1:4" x14ac:dyDescent="0.25">
      <c r="A2532" s="41">
        <v>126113</v>
      </c>
      <c r="B2532" s="39" t="s">
        <v>4234</v>
      </c>
      <c r="C2532" s="40">
        <v>4</v>
      </c>
      <c r="D2532" s="38" t="s">
        <v>266</v>
      </c>
    </row>
    <row r="2533" spans="1:4" x14ac:dyDescent="0.25">
      <c r="A2533" s="41">
        <v>126116</v>
      </c>
      <c r="B2533" s="39" t="s">
        <v>4235</v>
      </c>
      <c r="C2533" s="40">
        <v>4</v>
      </c>
      <c r="D2533" s="38" t="s">
        <v>266</v>
      </c>
    </row>
    <row r="2534" spans="1:4" x14ac:dyDescent="0.25">
      <c r="A2534" s="41">
        <v>126200</v>
      </c>
      <c r="B2534" s="39" t="s">
        <v>4236</v>
      </c>
      <c r="C2534" s="40">
        <v>3</v>
      </c>
      <c r="D2534" s="38" t="s">
        <v>266</v>
      </c>
    </row>
    <row r="2535" spans="1:4" x14ac:dyDescent="0.25">
      <c r="A2535" s="41">
        <v>126213</v>
      </c>
      <c r="B2535" s="39" t="s">
        <v>4237</v>
      </c>
      <c r="C2535" s="40">
        <v>4</v>
      </c>
      <c r="D2535" s="38" t="s">
        <v>266</v>
      </c>
    </row>
    <row r="2536" spans="1:4" x14ac:dyDescent="0.25">
      <c r="A2536" s="41">
        <v>126216</v>
      </c>
      <c r="B2536" s="39" t="s">
        <v>4238</v>
      </c>
      <c r="C2536" s="40">
        <v>4</v>
      </c>
      <c r="D2536" s="38" t="s">
        <v>266</v>
      </c>
    </row>
    <row r="2537" spans="1:4" x14ac:dyDescent="0.25">
      <c r="A2537" s="41">
        <v>126219</v>
      </c>
      <c r="B2537" s="39" t="s">
        <v>4239</v>
      </c>
      <c r="C2537" s="40">
        <v>4</v>
      </c>
      <c r="D2537" s="38" t="s">
        <v>266</v>
      </c>
    </row>
    <row r="2538" spans="1:4" x14ac:dyDescent="0.25">
      <c r="A2538" s="41">
        <v>126300</v>
      </c>
      <c r="B2538" s="39" t="s">
        <v>4240</v>
      </c>
      <c r="C2538" s="40">
        <v>3</v>
      </c>
      <c r="D2538" s="38" t="s">
        <v>266</v>
      </c>
    </row>
    <row r="2539" spans="1:4" x14ac:dyDescent="0.25">
      <c r="A2539" s="41">
        <v>126313</v>
      </c>
      <c r="B2539" s="39" t="s">
        <v>4241</v>
      </c>
      <c r="C2539" s="40">
        <v>4</v>
      </c>
      <c r="D2539" s="38" t="s">
        <v>266</v>
      </c>
    </row>
    <row r="2540" spans="1:4" x14ac:dyDescent="0.25">
      <c r="A2540" s="41">
        <v>126323</v>
      </c>
      <c r="B2540" s="39" t="s">
        <v>4242</v>
      </c>
      <c r="C2540" s="40">
        <v>4</v>
      </c>
      <c r="D2540" s="38" t="s">
        <v>266</v>
      </c>
    </row>
    <row r="2541" spans="1:4" x14ac:dyDescent="0.25">
      <c r="A2541" s="41">
        <v>126400</v>
      </c>
      <c r="B2541" s="39" t="s">
        <v>4243</v>
      </c>
      <c r="C2541" s="40">
        <v>3</v>
      </c>
      <c r="D2541" s="38" t="s">
        <v>266</v>
      </c>
    </row>
    <row r="2542" spans="1:4" x14ac:dyDescent="0.25">
      <c r="A2542" s="41">
        <v>126500</v>
      </c>
      <c r="B2542" s="39" t="s">
        <v>4244</v>
      </c>
      <c r="C2542" s="40">
        <v>3</v>
      </c>
      <c r="D2542" s="38" t="s">
        <v>266</v>
      </c>
    </row>
    <row r="2543" spans="1:4" x14ac:dyDescent="0.25">
      <c r="A2543" s="41">
        <v>126600</v>
      </c>
      <c r="B2543" s="39" t="s">
        <v>4245</v>
      </c>
      <c r="C2543" s="40">
        <v>3</v>
      </c>
      <c r="D2543" s="38" t="s">
        <v>266</v>
      </c>
    </row>
    <row r="2544" spans="1:4" x14ac:dyDescent="0.25">
      <c r="A2544" s="41">
        <v>126613</v>
      </c>
      <c r="B2544" s="39" t="s">
        <v>4246</v>
      </c>
      <c r="C2544" s="40">
        <v>4</v>
      </c>
      <c r="D2544" s="38" t="s">
        <v>266</v>
      </c>
    </row>
    <row r="2545" spans="1:4" x14ac:dyDescent="0.25">
      <c r="A2545" s="41">
        <v>126623</v>
      </c>
      <c r="B2545" s="39" t="s">
        <v>4247</v>
      </c>
      <c r="C2545" s="40">
        <v>4</v>
      </c>
      <c r="D2545" s="38" t="s">
        <v>266</v>
      </c>
    </row>
    <row r="2546" spans="1:4" x14ac:dyDescent="0.25">
      <c r="A2546" s="41">
        <v>126700</v>
      </c>
      <c r="B2546" s="39" t="s">
        <v>4248</v>
      </c>
      <c r="C2546" s="40">
        <v>3</v>
      </c>
      <c r="D2546" s="38" t="s">
        <v>266</v>
      </c>
    </row>
    <row r="2547" spans="1:4" x14ac:dyDescent="0.25">
      <c r="A2547" s="41">
        <v>126713</v>
      </c>
      <c r="B2547" s="39" t="s">
        <v>4249</v>
      </c>
      <c r="C2547" s="40">
        <v>4</v>
      </c>
      <c r="D2547" s="38" t="s">
        <v>266</v>
      </c>
    </row>
    <row r="2548" spans="1:4" x14ac:dyDescent="0.25">
      <c r="A2548" s="41">
        <v>126723</v>
      </c>
      <c r="B2548" s="39" t="s">
        <v>4250</v>
      </c>
      <c r="C2548" s="40">
        <v>4</v>
      </c>
      <c r="D2548" s="38" t="s">
        <v>266</v>
      </c>
    </row>
    <row r="2549" spans="1:4" x14ac:dyDescent="0.25">
      <c r="A2549" s="41">
        <v>126800</v>
      </c>
      <c r="B2549" s="39" t="s">
        <v>4251</v>
      </c>
      <c r="C2549" s="40">
        <v>3</v>
      </c>
      <c r="D2549" s="38" t="s">
        <v>266</v>
      </c>
    </row>
    <row r="2550" spans="1:4" x14ac:dyDescent="0.25">
      <c r="A2550" s="41">
        <v>126813</v>
      </c>
      <c r="B2550" s="39" t="s">
        <v>4252</v>
      </c>
      <c r="C2550" s="40">
        <v>4</v>
      </c>
      <c r="D2550" s="38" t="s">
        <v>266</v>
      </c>
    </row>
    <row r="2551" spans="1:4" x14ac:dyDescent="0.25">
      <c r="A2551" s="41">
        <v>129000</v>
      </c>
      <c r="B2551" s="39" t="s">
        <v>4253</v>
      </c>
      <c r="C2551" s="40">
        <v>3</v>
      </c>
      <c r="D2551" s="38" t="s">
        <v>266</v>
      </c>
    </row>
    <row r="2552" spans="1:4" x14ac:dyDescent="0.25">
      <c r="A2552" s="41">
        <v>129200</v>
      </c>
      <c r="B2552" s="39" t="s">
        <v>4254</v>
      </c>
      <c r="C2552" s="40">
        <v>3</v>
      </c>
      <c r="D2552" s="38" t="s">
        <v>266</v>
      </c>
    </row>
    <row r="2553" spans="1:4" x14ac:dyDescent="0.25">
      <c r="A2553" s="41">
        <v>129213</v>
      </c>
      <c r="B2553" s="39" t="s">
        <v>4255</v>
      </c>
      <c r="C2553" s="40">
        <v>4</v>
      </c>
      <c r="D2553" s="38" t="s">
        <v>266</v>
      </c>
    </row>
    <row r="2554" spans="1:4" x14ac:dyDescent="0.25">
      <c r="A2554" s="41">
        <v>129233</v>
      </c>
      <c r="B2554" s="39" t="s">
        <v>4256</v>
      </c>
      <c r="C2554" s="40">
        <v>4</v>
      </c>
      <c r="D2554" s="38" t="s">
        <v>266</v>
      </c>
    </row>
    <row r="2555" spans="1:4" x14ac:dyDescent="0.25">
      <c r="A2555" s="41">
        <v>129243</v>
      </c>
      <c r="B2555" s="39" t="s">
        <v>4257</v>
      </c>
      <c r="C2555" s="40">
        <v>4</v>
      </c>
      <c r="D2555" s="38" t="s">
        <v>266</v>
      </c>
    </row>
    <row r="2556" spans="1:4" x14ac:dyDescent="0.25">
      <c r="A2556" s="41">
        <v>129300</v>
      </c>
      <c r="B2556" s="39" t="s">
        <v>1571</v>
      </c>
      <c r="C2556" s="40">
        <v>3</v>
      </c>
      <c r="D2556" s="39" t="s">
        <v>1570</v>
      </c>
    </row>
    <row r="2557" spans="1:4" x14ac:dyDescent="0.25">
      <c r="A2557" s="41">
        <v>129313</v>
      </c>
      <c r="B2557" s="39" t="s">
        <v>4258</v>
      </c>
      <c r="C2557" s="40">
        <v>4</v>
      </c>
      <c r="D2557" s="38" t="s">
        <v>266</v>
      </c>
    </row>
    <row r="2558" spans="1:4" x14ac:dyDescent="0.25">
      <c r="A2558" s="41">
        <v>129314</v>
      </c>
      <c r="B2558" s="39" t="s">
        <v>4259</v>
      </c>
      <c r="C2558" s="40">
        <v>4</v>
      </c>
      <c r="D2558" s="38" t="s">
        <v>266</v>
      </c>
    </row>
    <row r="2559" spans="1:4" x14ac:dyDescent="0.25">
      <c r="A2559" s="41">
        <v>129323</v>
      </c>
      <c r="B2559" s="39" t="s">
        <v>4260</v>
      </c>
      <c r="C2559" s="40">
        <v>4</v>
      </c>
      <c r="D2559" s="38" t="s">
        <v>266</v>
      </c>
    </row>
    <row r="2560" spans="1:4" x14ac:dyDescent="0.25">
      <c r="A2560" s="41">
        <v>129333</v>
      </c>
      <c r="B2560" s="39" t="s">
        <v>4261</v>
      </c>
      <c r="C2560" s="40">
        <v>4</v>
      </c>
      <c r="D2560" s="38" t="s">
        <v>266</v>
      </c>
    </row>
    <row r="2561" spans="1:4" x14ac:dyDescent="0.25">
      <c r="A2561" s="41">
        <v>129343</v>
      </c>
      <c r="B2561" s="39" t="s">
        <v>4262</v>
      </c>
      <c r="C2561" s="40">
        <v>4</v>
      </c>
      <c r="D2561" s="38" t="s">
        <v>266</v>
      </c>
    </row>
    <row r="2562" spans="1:4" x14ac:dyDescent="0.25">
      <c r="A2562" s="42">
        <v>129343.13</v>
      </c>
      <c r="B2562" s="39" t="s">
        <v>4263</v>
      </c>
      <c r="C2562" s="40">
        <v>5</v>
      </c>
      <c r="D2562" s="38" t="s">
        <v>266</v>
      </c>
    </row>
    <row r="2563" spans="1:4" x14ac:dyDescent="0.25">
      <c r="A2563" s="42">
        <v>129343.53</v>
      </c>
      <c r="B2563" s="39" t="s">
        <v>4264</v>
      </c>
      <c r="C2563" s="40">
        <v>5</v>
      </c>
      <c r="D2563" s="38" t="s">
        <v>266</v>
      </c>
    </row>
    <row r="2564" spans="1:4" x14ac:dyDescent="0.25">
      <c r="A2564" s="41">
        <v>130000</v>
      </c>
      <c r="B2564" s="39" t="s">
        <v>1315</v>
      </c>
      <c r="C2564" s="40">
        <v>2</v>
      </c>
      <c r="D2564" s="39" t="s">
        <v>1314</v>
      </c>
    </row>
    <row r="2565" spans="1:4" x14ac:dyDescent="0.25">
      <c r="A2565" s="41">
        <v>130100</v>
      </c>
      <c r="B2565" s="39" t="s">
        <v>4265</v>
      </c>
      <c r="C2565" s="40">
        <v>3</v>
      </c>
      <c r="D2565" s="38" t="s">
        <v>266</v>
      </c>
    </row>
    <row r="2566" spans="1:4" x14ac:dyDescent="0.25">
      <c r="A2566" s="41">
        <v>130110</v>
      </c>
      <c r="B2566" s="39" t="s">
        <v>4266</v>
      </c>
      <c r="C2566" s="40">
        <v>4</v>
      </c>
      <c r="D2566" s="38" t="s">
        <v>266</v>
      </c>
    </row>
    <row r="2567" spans="1:4" x14ac:dyDescent="0.25">
      <c r="A2567" s="41">
        <v>130111</v>
      </c>
      <c r="B2567" s="39" t="s">
        <v>4267</v>
      </c>
      <c r="C2567" s="40">
        <v>4</v>
      </c>
      <c r="D2567" s="38" t="s">
        <v>266</v>
      </c>
    </row>
    <row r="2568" spans="1:4" x14ac:dyDescent="0.25">
      <c r="A2568" s="41">
        <v>130112</v>
      </c>
      <c r="B2568" s="39" t="s">
        <v>4268</v>
      </c>
      <c r="C2568" s="40">
        <v>4</v>
      </c>
      <c r="D2568" s="38" t="s">
        <v>266</v>
      </c>
    </row>
    <row r="2569" spans="1:4" x14ac:dyDescent="0.25">
      <c r="A2569" s="41">
        <v>130113</v>
      </c>
      <c r="B2569" s="39" t="s">
        <v>4269</v>
      </c>
      <c r="C2569" s="40">
        <v>4</v>
      </c>
      <c r="D2569" s="38" t="s">
        <v>266</v>
      </c>
    </row>
    <row r="2570" spans="1:4" x14ac:dyDescent="0.25">
      <c r="A2570" s="41">
        <v>130114</v>
      </c>
      <c r="B2570" s="39" t="s">
        <v>4270</v>
      </c>
      <c r="C2570" s="40">
        <v>4</v>
      </c>
      <c r="D2570" s="38" t="s">
        <v>266</v>
      </c>
    </row>
    <row r="2571" spans="1:4" x14ac:dyDescent="0.25">
      <c r="A2571" s="41">
        <v>130118</v>
      </c>
      <c r="B2571" s="39" t="s">
        <v>4271</v>
      </c>
      <c r="C2571" s="40">
        <v>4</v>
      </c>
      <c r="D2571" s="38" t="s">
        <v>266</v>
      </c>
    </row>
    <row r="2572" spans="1:4" x14ac:dyDescent="0.25">
      <c r="A2572" s="41">
        <v>130120</v>
      </c>
      <c r="B2572" s="39" t="s">
        <v>4272</v>
      </c>
      <c r="C2572" s="40">
        <v>4</v>
      </c>
      <c r="D2572" s="38" t="s">
        <v>266</v>
      </c>
    </row>
    <row r="2573" spans="1:4" x14ac:dyDescent="0.25">
      <c r="A2573" s="41">
        <v>130121</v>
      </c>
      <c r="B2573" s="39" t="s">
        <v>4273</v>
      </c>
      <c r="C2573" s="40">
        <v>4</v>
      </c>
      <c r="D2573" s="38" t="s">
        <v>266</v>
      </c>
    </row>
    <row r="2574" spans="1:4" x14ac:dyDescent="0.25">
      <c r="A2574" s="41">
        <v>130123</v>
      </c>
      <c r="B2574" s="39" t="s">
        <v>4274</v>
      </c>
      <c r="C2574" s="40">
        <v>4</v>
      </c>
      <c r="D2574" s="38" t="s">
        <v>266</v>
      </c>
    </row>
    <row r="2575" spans="1:4" x14ac:dyDescent="0.25">
      <c r="A2575" s="41">
        <v>130130</v>
      </c>
      <c r="B2575" s="39" t="s">
        <v>4275</v>
      </c>
      <c r="C2575" s="40">
        <v>4</v>
      </c>
      <c r="D2575" s="38" t="s">
        <v>266</v>
      </c>
    </row>
    <row r="2576" spans="1:4" x14ac:dyDescent="0.25">
      <c r="A2576" s="41">
        <v>130140</v>
      </c>
      <c r="B2576" s="39" t="s">
        <v>4276</v>
      </c>
      <c r="C2576" s="40">
        <v>4</v>
      </c>
      <c r="D2576" s="38" t="s">
        <v>266</v>
      </c>
    </row>
    <row r="2577" spans="1:4" x14ac:dyDescent="0.25">
      <c r="A2577" s="41">
        <v>130149</v>
      </c>
      <c r="B2577" s="39" t="s">
        <v>4277</v>
      </c>
      <c r="C2577" s="40">
        <v>4</v>
      </c>
      <c r="D2577" s="38" t="s">
        <v>266</v>
      </c>
    </row>
    <row r="2578" spans="1:4" x14ac:dyDescent="0.25">
      <c r="A2578" s="41">
        <v>130150</v>
      </c>
      <c r="B2578" s="39" t="s">
        <v>4278</v>
      </c>
      <c r="C2578" s="40">
        <v>4</v>
      </c>
      <c r="D2578" s="38" t="s">
        <v>266</v>
      </c>
    </row>
    <row r="2579" spans="1:4" x14ac:dyDescent="0.25">
      <c r="A2579" s="41">
        <v>130151</v>
      </c>
      <c r="B2579" s="39" t="s">
        <v>4279</v>
      </c>
      <c r="C2579" s="40">
        <v>4</v>
      </c>
      <c r="D2579" s="38" t="s">
        <v>266</v>
      </c>
    </row>
    <row r="2580" spans="1:4" x14ac:dyDescent="0.25">
      <c r="A2580" s="41">
        <v>130152</v>
      </c>
      <c r="B2580" s="39" t="s">
        <v>4280</v>
      </c>
      <c r="C2580" s="40">
        <v>4</v>
      </c>
      <c r="D2580" s="38" t="s">
        <v>266</v>
      </c>
    </row>
    <row r="2581" spans="1:4" x14ac:dyDescent="0.25">
      <c r="A2581" s="41">
        <v>130153</v>
      </c>
      <c r="B2581" s="39" t="s">
        <v>4281</v>
      </c>
      <c r="C2581" s="40">
        <v>4</v>
      </c>
      <c r="D2581" s="38" t="s">
        <v>266</v>
      </c>
    </row>
    <row r="2582" spans="1:4" x14ac:dyDescent="0.25">
      <c r="A2582" s="41">
        <v>130500</v>
      </c>
      <c r="B2582" s="39" t="s">
        <v>4282</v>
      </c>
      <c r="C2582" s="40">
        <v>3</v>
      </c>
      <c r="D2582" s="38" t="s">
        <v>266</v>
      </c>
    </row>
    <row r="2583" spans="1:4" x14ac:dyDescent="0.25">
      <c r="A2583" s="41">
        <v>130800</v>
      </c>
      <c r="B2583" s="39" t="s">
        <v>4283</v>
      </c>
      <c r="C2583" s="40">
        <v>3</v>
      </c>
      <c r="D2583" s="38" t="s">
        <v>266</v>
      </c>
    </row>
    <row r="2584" spans="1:4" x14ac:dyDescent="0.25">
      <c r="A2584" s="41">
        <v>130810</v>
      </c>
      <c r="B2584" s="39" t="s">
        <v>4284</v>
      </c>
      <c r="C2584" s="40">
        <v>4</v>
      </c>
      <c r="D2584" s="38" t="s">
        <v>266</v>
      </c>
    </row>
    <row r="2585" spans="1:4" x14ac:dyDescent="0.25">
      <c r="A2585" s="41">
        <v>130811</v>
      </c>
      <c r="B2585" s="39" t="s">
        <v>4285</v>
      </c>
      <c r="C2585" s="40">
        <v>4</v>
      </c>
      <c r="D2585" s="38" t="s">
        <v>266</v>
      </c>
    </row>
    <row r="2586" spans="1:4" x14ac:dyDescent="0.25">
      <c r="A2586" s="41">
        <v>130812</v>
      </c>
      <c r="B2586" s="39" t="s">
        <v>4286</v>
      </c>
      <c r="C2586" s="40">
        <v>4</v>
      </c>
      <c r="D2586" s="38" t="s">
        <v>266</v>
      </c>
    </row>
    <row r="2587" spans="1:4" x14ac:dyDescent="0.25">
      <c r="A2587" s="41">
        <v>130813</v>
      </c>
      <c r="B2587" s="39" t="s">
        <v>4287</v>
      </c>
      <c r="C2587" s="40">
        <v>4</v>
      </c>
      <c r="D2587" s="38" t="s">
        <v>266</v>
      </c>
    </row>
    <row r="2588" spans="1:4" x14ac:dyDescent="0.25">
      <c r="A2588" s="41">
        <v>130814</v>
      </c>
      <c r="B2588" s="39" t="s">
        <v>4288</v>
      </c>
      <c r="C2588" s="40">
        <v>4</v>
      </c>
      <c r="D2588" s="38" t="s">
        <v>266</v>
      </c>
    </row>
    <row r="2589" spans="1:4" x14ac:dyDescent="0.25">
      <c r="A2589" s="41">
        <v>130818</v>
      </c>
      <c r="B2589" s="39" t="s">
        <v>4289</v>
      </c>
      <c r="C2589" s="40">
        <v>4</v>
      </c>
      <c r="D2589" s="38" t="s">
        <v>266</v>
      </c>
    </row>
    <row r="2590" spans="1:4" x14ac:dyDescent="0.25">
      <c r="A2590" s="41">
        <v>130820</v>
      </c>
      <c r="B2590" s="39" t="s">
        <v>4290</v>
      </c>
      <c r="C2590" s="40">
        <v>4</v>
      </c>
      <c r="D2590" s="38" t="s">
        <v>266</v>
      </c>
    </row>
    <row r="2591" spans="1:4" x14ac:dyDescent="0.25">
      <c r="A2591" s="41">
        <v>130821</v>
      </c>
      <c r="B2591" s="39" t="s">
        <v>4291</v>
      </c>
      <c r="C2591" s="40">
        <v>4</v>
      </c>
      <c r="D2591" s="38" t="s">
        <v>266</v>
      </c>
    </row>
    <row r="2592" spans="1:4" x14ac:dyDescent="0.25">
      <c r="A2592" s="41">
        <v>130823</v>
      </c>
      <c r="B2592" s="39" t="s">
        <v>4292</v>
      </c>
      <c r="C2592" s="40">
        <v>4</v>
      </c>
      <c r="D2592" s="38" t="s">
        <v>266</v>
      </c>
    </row>
    <row r="2593" spans="1:4" x14ac:dyDescent="0.25">
      <c r="A2593" s="41">
        <v>130830</v>
      </c>
      <c r="B2593" s="39" t="s">
        <v>4293</v>
      </c>
      <c r="C2593" s="40">
        <v>4</v>
      </c>
      <c r="D2593" s="38" t="s">
        <v>266</v>
      </c>
    </row>
    <row r="2594" spans="1:4" x14ac:dyDescent="0.25">
      <c r="A2594" s="41">
        <v>130840</v>
      </c>
      <c r="B2594" s="39" t="s">
        <v>4294</v>
      </c>
      <c r="C2594" s="40">
        <v>4</v>
      </c>
      <c r="D2594" s="38" t="s">
        <v>266</v>
      </c>
    </row>
    <row r="2595" spans="1:4" x14ac:dyDescent="0.25">
      <c r="A2595" s="41">
        <v>130850</v>
      </c>
      <c r="B2595" s="39" t="s">
        <v>4295</v>
      </c>
      <c r="C2595" s="40">
        <v>4</v>
      </c>
      <c r="D2595" s="38" t="s">
        <v>266</v>
      </c>
    </row>
    <row r="2596" spans="1:4" x14ac:dyDescent="0.25">
      <c r="A2596" s="41">
        <v>131000</v>
      </c>
      <c r="B2596" s="39" t="s">
        <v>1349</v>
      </c>
      <c r="C2596" s="40">
        <v>3</v>
      </c>
      <c r="D2596" s="39" t="s">
        <v>1348</v>
      </c>
    </row>
    <row r="2597" spans="1:4" x14ac:dyDescent="0.25">
      <c r="A2597" s="41">
        <v>131100</v>
      </c>
      <c r="B2597" s="39" t="s">
        <v>4296</v>
      </c>
      <c r="C2597" s="40">
        <v>3</v>
      </c>
      <c r="D2597" s="38" t="s">
        <v>266</v>
      </c>
    </row>
    <row r="2598" spans="1:4" x14ac:dyDescent="0.25">
      <c r="A2598" s="41">
        <v>131113</v>
      </c>
      <c r="B2598" s="39" t="s">
        <v>4297</v>
      </c>
      <c r="C2598" s="40">
        <v>4</v>
      </c>
      <c r="D2598" s="38" t="s">
        <v>266</v>
      </c>
    </row>
    <row r="2599" spans="1:4" x14ac:dyDescent="0.25">
      <c r="A2599" s="41">
        <v>131123</v>
      </c>
      <c r="B2599" s="39" t="s">
        <v>4298</v>
      </c>
      <c r="C2599" s="40">
        <v>4</v>
      </c>
      <c r="D2599" s="38" t="s">
        <v>266</v>
      </c>
    </row>
    <row r="2600" spans="1:4" x14ac:dyDescent="0.25">
      <c r="A2600" s="41">
        <v>131133</v>
      </c>
      <c r="B2600" s="39" t="s">
        <v>4299</v>
      </c>
      <c r="C2600" s="40">
        <v>4</v>
      </c>
      <c r="D2600" s="38" t="s">
        <v>266</v>
      </c>
    </row>
    <row r="2601" spans="1:4" x14ac:dyDescent="0.25">
      <c r="A2601" s="41">
        <v>131143</v>
      </c>
      <c r="B2601" s="39" t="s">
        <v>4300</v>
      </c>
      <c r="C2601" s="40">
        <v>4</v>
      </c>
      <c r="D2601" s="38" t="s">
        <v>266</v>
      </c>
    </row>
    <row r="2602" spans="1:4" x14ac:dyDescent="0.25">
      <c r="A2602" s="41">
        <v>131146</v>
      </c>
      <c r="B2602" s="39" t="s">
        <v>4301</v>
      </c>
      <c r="C2602" s="40">
        <v>4</v>
      </c>
      <c r="D2602" s="38" t="s">
        <v>266</v>
      </c>
    </row>
    <row r="2603" spans="1:4" x14ac:dyDescent="0.25">
      <c r="A2603" s="41">
        <v>131149</v>
      </c>
      <c r="B2603" s="39" t="s">
        <v>4302</v>
      </c>
      <c r="C2603" s="40">
        <v>4</v>
      </c>
      <c r="D2603" s="38" t="s">
        <v>266</v>
      </c>
    </row>
    <row r="2604" spans="1:4" x14ac:dyDescent="0.25">
      <c r="A2604" s="41">
        <v>131153</v>
      </c>
      <c r="B2604" s="39" t="s">
        <v>4303</v>
      </c>
      <c r="C2604" s="40">
        <v>4</v>
      </c>
      <c r="D2604" s="38" t="s">
        <v>266</v>
      </c>
    </row>
    <row r="2605" spans="1:4" x14ac:dyDescent="0.25">
      <c r="A2605" s="41">
        <v>131156</v>
      </c>
      <c r="B2605" s="39" t="s">
        <v>4304</v>
      </c>
      <c r="C2605" s="40">
        <v>4</v>
      </c>
      <c r="D2605" s="38" t="s">
        <v>266</v>
      </c>
    </row>
    <row r="2606" spans="1:4" x14ac:dyDescent="0.25">
      <c r="A2606" s="41">
        <v>131200</v>
      </c>
      <c r="B2606" s="39" t="s">
        <v>4305</v>
      </c>
      <c r="C2606" s="40">
        <v>3</v>
      </c>
      <c r="D2606" s="38" t="s">
        <v>266</v>
      </c>
    </row>
    <row r="2607" spans="1:4" x14ac:dyDescent="0.25">
      <c r="A2607" s="41">
        <v>131213</v>
      </c>
      <c r="B2607" s="39" t="s">
        <v>1567</v>
      </c>
      <c r="C2607" s="40">
        <v>4</v>
      </c>
      <c r="D2607" s="39" t="s">
        <v>1566</v>
      </c>
    </row>
    <row r="2608" spans="1:4" x14ac:dyDescent="0.25">
      <c r="A2608" s="41">
        <v>131223</v>
      </c>
      <c r="B2608" s="39" t="s">
        <v>1353</v>
      </c>
      <c r="C2608" s="40">
        <v>4</v>
      </c>
      <c r="D2608" s="39" t="s">
        <v>1352</v>
      </c>
    </row>
    <row r="2609" spans="1:4" x14ac:dyDescent="0.25">
      <c r="A2609" s="41">
        <v>131300</v>
      </c>
      <c r="B2609" s="39" t="s">
        <v>1357</v>
      </c>
      <c r="C2609" s="40">
        <v>3</v>
      </c>
      <c r="D2609" s="38" t="s">
        <v>1356</v>
      </c>
    </row>
    <row r="2610" spans="1:4" x14ac:dyDescent="0.25">
      <c r="A2610" s="41">
        <v>131400</v>
      </c>
      <c r="B2610" s="39" t="s">
        <v>1359</v>
      </c>
      <c r="C2610" s="40">
        <v>3</v>
      </c>
      <c r="D2610" s="39" t="s">
        <v>1358</v>
      </c>
    </row>
    <row r="2611" spans="1:4" x14ac:dyDescent="0.25">
      <c r="A2611" s="41">
        <v>131413</v>
      </c>
      <c r="B2611" s="39" t="s">
        <v>4306</v>
      </c>
      <c r="C2611" s="40">
        <v>4</v>
      </c>
      <c r="D2611" s="38" t="s">
        <v>266</v>
      </c>
    </row>
    <row r="2612" spans="1:4" x14ac:dyDescent="0.25">
      <c r="A2612" s="41">
        <v>131416</v>
      </c>
      <c r="B2612" s="39" t="s">
        <v>4307</v>
      </c>
      <c r="C2612" s="40">
        <v>4</v>
      </c>
      <c r="D2612" s="38" t="s">
        <v>266</v>
      </c>
    </row>
    <row r="2613" spans="1:4" x14ac:dyDescent="0.25">
      <c r="A2613" s="41">
        <v>131423</v>
      </c>
      <c r="B2613" s="39" t="s">
        <v>4308</v>
      </c>
      <c r="C2613" s="40">
        <v>4</v>
      </c>
      <c r="D2613" s="38" t="s">
        <v>266</v>
      </c>
    </row>
    <row r="2614" spans="1:4" x14ac:dyDescent="0.25">
      <c r="A2614" s="41">
        <v>131700</v>
      </c>
      <c r="B2614" s="39" t="s">
        <v>4309</v>
      </c>
      <c r="C2614" s="40">
        <v>3</v>
      </c>
      <c r="D2614" s="38" t="s">
        <v>266</v>
      </c>
    </row>
    <row r="2615" spans="1:4" x14ac:dyDescent="0.25">
      <c r="A2615" s="41">
        <v>131713</v>
      </c>
      <c r="B2615" s="39" t="s">
        <v>4310</v>
      </c>
      <c r="C2615" s="40">
        <v>4</v>
      </c>
      <c r="D2615" s="38" t="s">
        <v>266</v>
      </c>
    </row>
    <row r="2616" spans="1:4" x14ac:dyDescent="0.25">
      <c r="A2616" s="41">
        <v>131723</v>
      </c>
      <c r="B2616" s="39" t="s">
        <v>4311</v>
      </c>
      <c r="C2616" s="40">
        <v>4</v>
      </c>
      <c r="D2616" s="38" t="s">
        <v>266</v>
      </c>
    </row>
    <row r="2617" spans="1:4" x14ac:dyDescent="0.25">
      <c r="A2617" s="41">
        <v>131733</v>
      </c>
      <c r="B2617" s="39" t="s">
        <v>4312</v>
      </c>
      <c r="C2617" s="40">
        <v>4</v>
      </c>
      <c r="D2617" s="38" t="s">
        <v>266</v>
      </c>
    </row>
    <row r="2618" spans="1:4" x14ac:dyDescent="0.25">
      <c r="A2618" s="41">
        <v>131800</v>
      </c>
      <c r="B2618" s="39" t="s">
        <v>1361</v>
      </c>
      <c r="C2618" s="40">
        <v>3</v>
      </c>
      <c r="D2618" s="38" t="s">
        <v>1360</v>
      </c>
    </row>
    <row r="2619" spans="1:4" x14ac:dyDescent="0.25">
      <c r="A2619" s="41">
        <v>131813</v>
      </c>
      <c r="B2619" s="39" t="s">
        <v>4313</v>
      </c>
      <c r="C2619" s="40">
        <v>4</v>
      </c>
      <c r="D2619" s="38" t="s">
        <v>266</v>
      </c>
    </row>
    <row r="2620" spans="1:4" x14ac:dyDescent="0.25">
      <c r="A2620" s="41">
        <v>131816</v>
      </c>
      <c r="B2620" s="39" t="s">
        <v>4314</v>
      </c>
      <c r="C2620" s="40">
        <v>4</v>
      </c>
      <c r="D2620" s="38" t="s">
        <v>266</v>
      </c>
    </row>
    <row r="2621" spans="1:4" x14ac:dyDescent="0.25">
      <c r="A2621" s="41">
        <v>131900</v>
      </c>
      <c r="B2621" s="39" t="s">
        <v>4315</v>
      </c>
      <c r="C2621" s="40">
        <v>3</v>
      </c>
      <c r="D2621" s="38" t="s">
        <v>1362</v>
      </c>
    </row>
    <row r="2622" spans="1:4" x14ac:dyDescent="0.25">
      <c r="A2622" s="41">
        <v>131913</v>
      </c>
      <c r="B2622" s="39" t="s">
        <v>4316</v>
      </c>
      <c r="C2622" s="40">
        <v>4</v>
      </c>
      <c r="D2622" s="38" t="s">
        <v>266</v>
      </c>
    </row>
    <row r="2623" spans="1:4" x14ac:dyDescent="0.25">
      <c r="A2623" s="41">
        <v>131916</v>
      </c>
      <c r="B2623" s="39" t="s">
        <v>4317</v>
      </c>
      <c r="C2623" s="40">
        <v>4</v>
      </c>
      <c r="D2623" s="38" t="s">
        <v>266</v>
      </c>
    </row>
    <row r="2624" spans="1:4" x14ac:dyDescent="0.25">
      <c r="A2624" s="41">
        <v>132000</v>
      </c>
      <c r="B2624" s="39" t="s">
        <v>4318</v>
      </c>
      <c r="C2624" s="40">
        <v>3</v>
      </c>
      <c r="D2624" s="38" t="s">
        <v>266</v>
      </c>
    </row>
    <row r="2625" spans="1:4" x14ac:dyDescent="0.25">
      <c r="A2625" s="41">
        <v>132100</v>
      </c>
      <c r="B2625" s="39" t="s">
        <v>4319</v>
      </c>
      <c r="C2625" s="40">
        <v>3</v>
      </c>
      <c r="D2625" s="38" t="s">
        <v>266</v>
      </c>
    </row>
    <row r="2626" spans="1:4" x14ac:dyDescent="0.25">
      <c r="A2626" s="41">
        <v>132113</v>
      </c>
      <c r="B2626" s="39" t="s">
        <v>4320</v>
      </c>
      <c r="C2626" s="40">
        <v>4</v>
      </c>
      <c r="D2626" s="38" t="s">
        <v>266</v>
      </c>
    </row>
    <row r="2627" spans="1:4" x14ac:dyDescent="0.25">
      <c r="A2627" s="41">
        <v>132116</v>
      </c>
      <c r="B2627" s="39" t="s">
        <v>4321</v>
      </c>
      <c r="C2627" s="40">
        <v>4</v>
      </c>
      <c r="D2627" s="38" t="s">
        <v>266</v>
      </c>
    </row>
    <row r="2628" spans="1:4" x14ac:dyDescent="0.25">
      <c r="A2628" s="41">
        <v>132123</v>
      </c>
      <c r="B2628" s="39" t="s">
        <v>4322</v>
      </c>
      <c r="C2628" s="40">
        <v>4</v>
      </c>
      <c r="D2628" s="38" t="s">
        <v>266</v>
      </c>
    </row>
    <row r="2629" spans="1:4" x14ac:dyDescent="0.25">
      <c r="A2629" s="41">
        <v>132126</v>
      </c>
      <c r="B2629" s="39" t="s">
        <v>4323</v>
      </c>
      <c r="C2629" s="40">
        <v>4</v>
      </c>
      <c r="D2629" s="38" t="s">
        <v>266</v>
      </c>
    </row>
    <row r="2630" spans="1:4" x14ac:dyDescent="0.25">
      <c r="A2630" s="42">
        <v>132126.13</v>
      </c>
      <c r="B2630" s="39" t="s">
        <v>4324</v>
      </c>
      <c r="C2630" s="40">
        <v>5</v>
      </c>
      <c r="D2630" s="38" t="s">
        <v>266</v>
      </c>
    </row>
    <row r="2631" spans="1:4" x14ac:dyDescent="0.25">
      <c r="A2631" s="42">
        <v>132126.16</v>
      </c>
      <c r="B2631" s="39" t="s">
        <v>4325</v>
      </c>
      <c r="C2631" s="40">
        <v>5</v>
      </c>
      <c r="D2631" s="38" t="s">
        <v>266</v>
      </c>
    </row>
    <row r="2632" spans="1:4" x14ac:dyDescent="0.25">
      <c r="A2632" s="41">
        <v>132129</v>
      </c>
      <c r="B2632" s="39" t="s">
        <v>4326</v>
      </c>
      <c r="C2632" s="40">
        <v>4</v>
      </c>
      <c r="D2632" s="38" t="s">
        <v>266</v>
      </c>
    </row>
    <row r="2633" spans="1:4" x14ac:dyDescent="0.25">
      <c r="A2633" s="41">
        <v>132148</v>
      </c>
      <c r="B2633" s="39" t="s">
        <v>4327</v>
      </c>
      <c r="C2633" s="40">
        <v>4</v>
      </c>
      <c r="D2633" s="38" t="s">
        <v>266</v>
      </c>
    </row>
    <row r="2634" spans="1:4" x14ac:dyDescent="0.25">
      <c r="A2634" s="41">
        <v>132200</v>
      </c>
      <c r="B2634" s="39" t="s">
        <v>4328</v>
      </c>
      <c r="C2634" s="40">
        <v>3</v>
      </c>
      <c r="D2634" s="38" t="s">
        <v>266</v>
      </c>
    </row>
    <row r="2635" spans="1:4" x14ac:dyDescent="0.25">
      <c r="A2635" s="41">
        <v>132300</v>
      </c>
      <c r="B2635" s="39" t="s">
        <v>4329</v>
      </c>
      <c r="C2635" s="40">
        <v>3</v>
      </c>
      <c r="D2635" s="38" t="s">
        <v>266</v>
      </c>
    </row>
    <row r="2636" spans="1:4" x14ac:dyDescent="0.25">
      <c r="A2636" s="41">
        <v>132400</v>
      </c>
      <c r="B2636" s="39" t="s">
        <v>4330</v>
      </c>
      <c r="C2636" s="40">
        <v>3</v>
      </c>
      <c r="D2636" s="38" t="s">
        <v>266</v>
      </c>
    </row>
    <row r="2637" spans="1:4" x14ac:dyDescent="0.25">
      <c r="A2637" s="41">
        <v>132416</v>
      </c>
      <c r="B2637" s="39" t="s">
        <v>4331</v>
      </c>
      <c r="C2637" s="40">
        <v>4</v>
      </c>
      <c r="D2637" s="38" t="s">
        <v>266</v>
      </c>
    </row>
    <row r="2638" spans="1:4" x14ac:dyDescent="0.25">
      <c r="A2638" s="41">
        <v>132426</v>
      </c>
      <c r="B2638" s="39" t="s">
        <v>4332</v>
      </c>
      <c r="C2638" s="40">
        <v>4</v>
      </c>
      <c r="D2638" s="38" t="s">
        <v>266</v>
      </c>
    </row>
    <row r="2639" spans="1:4" x14ac:dyDescent="0.25">
      <c r="A2639" s="41">
        <v>132466</v>
      </c>
      <c r="B2639" s="39" t="s">
        <v>4333</v>
      </c>
      <c r="C2639" s="40">
        <v>4</v>
      </c>
      <c r="D2639" s="38" t="s">
        <v>266</v>
      </c>
    </row>
    <row r="2640" spans="1:4" x14ac:dyDescent="0.25">
      <c r="A2640" s="41">
        <v>132600</v>
      </c>
      <c r="B2640" s="39" t="s">
        <v>4334</v>
      </c>
      <c r="C2640" s="40">
        <v>3</v>
      </c>
      <c r="D2640" s="38" t="s">
        <v>266</v>
      </c>
    </row>
    <row r="2641" spans="1:4" x14ac:dyDescent="0.25">
      <c r="A2641" s="41">
        <v>132613</v>
      </c>
      <c r="B2641" s="39" t="s">
        <v>4335</v>
      </c>
      <c r="C2641" s="40">
        <v>4</v>
      </c>
      <c r="D2641" s="38" t="s">
        <v>266</v>
      </c>
    </row>
    <row r="2642" spans="1:4" x14ac:dyDescent="0.25">
      <c r="A2642" s="41">
        <v>132700</v>
      </c>
      <c r="B2642" s="39" t="s">
        <v>4336</v>
      </c>
      <c r="C2642" s="40">
        <v>3</v>
      </c>
      <c r="D2642" s="38" t="s">
        <v>266</v>
      </c>
    </row>
    <row r="2643" spans="1:4" x14ac:dyDescent="0.25">
      <c r="A2643" s="41">
        <v>132716</v>
      </c>
      <c r="B2643" s="39" t="s">
        <v>4337</v>
      </c>
      <c r="C2643" s="40">
        <v>4</v>
      </c>
      <c r="D2643" s="38" t="s">
        <v>266</v>
      </c>
    </row>
    <row r="2644" spans="1:4" x14ac:dyDescent="0.25">
      <c r="A2644" s="41">
        <v>132753</v>
      </c>
      <c r="B2644" s="39" t="s">
        <v>4338</v>
      </c>
      <c r="C2644" s="40">
        <v>4</v>
      </c>
      <c r="D2644" s="38" t="s">
        <v>266</v>
      </c>
    </row>
    <row r="2645" spans="1:4" x14ac:dyDescent="0.25">
      <c r="A2645" s="42">
        <v>132753.13</v>
      </c>
      <c r="B2645" s="39" t="s">
        <v>4339</v>
      </c>
      <c r="C2645" s="40">
        <v>5</v>
      </c>
      <c r="D2645" s="38" t="s">
        <v>266</v>
      </c>
    </row>
    <row r="2646" spans="1:4" x14ac:dyDescent="0.25">
      <c r="A2646" s="42">
        <v>132753.16</v>
      </c>
      <c r="B2646" s="39" t="s">
        <v>4340</v>
      </c>
      <c r="C2646" s="40">
        <v>5</v>
      </c>
      <c r="D2646" s="38" t="s">
        <v>266</v>
      </c>
    </row>
    <row r="2647" spans="1:4" x14ac:dyDescent="0.25">
      <c r="A2647" s="41">
        <v>132800</v>
      </c>
      <c r="B2647" s="39" t="s">
        <v>1365</v>
      </c>
      <c r="C2647" s="40">
        <v>3</v>
      </c>
      <c r="D2647" s="38" t="s">
        <v>1364</v>
      </c>
    </row>
    <row r="2648" spans="1:4" x14ac:dyDescent="0.25">
      <c r="A2648" s="41">
        <v>132813</v>
      </c>
      <c r="B2648" s="39" t="s">
        <v>1367</v>
      </c>
      <c r="C2648" s="40">
        <v>4</v>
      </c>
      <c r="D2648" s="38" t="s">
        <v>1366</v>
      </c>
    </row>
    <row r="2649" spans="1:4" x14ac:dyDescent="0.25">
      <c r="A2649" s="41">
        <v>132816</v>
      </c>
      <c r="B2649" s="39" t="s">
        <v>1369</v>
      </c>
      <c r="C2649" s="40">
        <v>4</v>
      </c>
      <c r="D2649" s="38" t="s">
        <v>1368</v>
      </c>
    </row>
    <row r="2650" spans="1:4" x14ac:dyDescent="0.25">
      <c r="A2650" s="41">
        <v>132819</v>
      </c>
      <c r="B2650" s="39" t="s">
        <v>1371</v>
      </c>
      <c r="C2650" s="40">
        <v>4</v>
      </c>
      <c r="D2650" s="38" t="s">
        <v>1370</v>
      </c>
    </row>
    <row r="2651" spans="1:4" x14ac:dyDescent="0.25">
      <c r="A2651" s="41">
        <v>132826</v>
      </c>
      <c r="B2651" s="39" t="s">
        <v>1373</v>
      </c>
      <c r="C2651" s="40">
        <v>4</v>
      </c>
      <c r="D2651" s="38" t="s">
        <v>1372</v>
      </c>
    </row>
    <row r="2652" spans="1:4" x14ac:dyDescent="0.25">
      <c r="A2652" s="41">
        <v>132833</v>
      </c>
      <c r="B2652" s="39" t="s">
        <v>1375</v>
      </c>
      <c r="C2652" s="40">
        <v>4</v>
      </c>
      <c r="D2652" s="38" t="s">
        <v>1374</v>
      </c>
    </row>
    <row r="2653" spans="1:4" x14ac:dyDescent="0.25">
      <c r="A2653" s="41">
        <v>132866</v>
      </c>
      <c r="B2653" s="39" t="s">
        <v>1377</v>
      </c>
      <c r="C2653" s="40">
        <v>4</v>
      </c>
      <c r="D2653" s="38" t="s">
        <v>1376</v>
      </c>
    </row>
    <row r="2654" spans="1:4" x14ac:dyDescent="0.25">
      <c r="A2654" s="41">
        <v>133000</v>
      </c>
      <c r="B2654" s="39" t="s">
        <v>1325</v>
      </c>
      <c r="C2654" s="40">
        <v>3</v>
      </c>
      <c r="D2654" s="38" t="s">
        <v>1324</v>
      </c>
    </row>
    <row r="2655" spans="1:4" x14ac:dyDescent="0.25">
      <c r="A2655" s="41">
        <v>133100</v>
      </c>
      <c r="B2655" s="39" t="s">
        <v>1327</v>
      </c>
      <c r="C2655" s="40">
        <v>3</v>
      </c>
      <c r="D2655" s="39" t="s">
        <v>1326</v>
      </c>
    </row>
    <row r="2656" spans="1:4" x14ac:dyDescent="0.25">
      <c r="A2656" s="41">
        <v>133113</v>
      </c>
      <c r="B2656" s="39" t="s">
        <v>4341</v>
      </c>
      <c r="C2656" s="40">
        <v>4</v>
      </c>
      <c r="D2656" s="38" t="s">
        <v>266</v>
      </c>
    </row>
    <row r="2657" spans="1:4" x14ac:dyDescent="0.25">
      <c r="A2657" s="42">
        <v>133113.13</v>
      </c>
      <c r="B2657" s="39" t="s">
        <v>4342</v>
      </c>
      <c r="C2657" s="40">
        <v>5</v>
      </c>
      <c r="D2657" s="38" t="s">
        <v>266</v>
      </c>
    </row>
    <row r="2658" spans="1:4" x14ac:dyDescent="0.25">
      <c r="A2658" s="42">
        <v>133113.16</v>
      </c>
      <c r="B2658" s="39" t="s">
        <v>4343</v>
      </c>
      <c r="C2658" s="40">
        <v>5</v>
      </c>
      <c r="D2658" s="38" t="s">
        <v>266</v>
      </c>
    </row>
    <row r="2659" spans="1:4" x14ac:dyDescent="0.25">
      <c r="A2659" s="41">
        <v>133123</v>
      </c>
      <c r="B2659" s="39" t="s">
        <v>4344</v>
      </c>
      <c r="C2659" s="40">
        <v>4</v>
      </c>
      <c r="D2659" s="38" t="s">
        <v>266</v>
      </c>
    </row>
    <row r="2660" spans="1:4" x14ac:dyDescent="0.25">
      <c r="A2660" s="41">
        <v>133133</v>
      </c>
      <c r="B2660" s="39" t="s">
        <v>4345</v>
      </c>
      <c r="C2660" s="40">
        <v>4</v>
      </c>
      <c r="D2660" s="38" t="s">
        <v>266</v>
      </c>
    </row>
    <row r="2661" spans="1:4" x14ac:dyDescent="0.25">
      <c r="A2661" s="41">
        <v>133200</v>
      </c>
      <c r="B2661" s="39" t="s">
        <v>1329</v>
      </c>
      <c r="C2661" s="40">
        <v>3</v>
      </c>
      <c r="D2661" s="38" t="s">
        <v>1328</v>
      </c>
    </row>
    <row r="2662" spans="1:4" x14ac:dyDescent="0.25">
      <c r="A2662" s="41">
        <v>133213</v>
      </c>
      <c r="B2662" s="39" t="s">
        <v>4346</v>
      </c>
      <c r="C2662" s="40">
        <v>4</v>
      </c>
      <c r="D2662" s="38" t="s">
        <v>266</v>
      </c>
    </row>
    <row r="2663" spans="1:4" x14ac:dyDescent="0.25">
      <c r="A2663" s="41">
        <v>133223</v>
      </c>
      <c r="B2663" s="39" t="s">
        <v>4347</v>
      </c>
      <c r="C2663" s="40">
        <v>4</v>
      </c>
      <c r="D2663" s="38" t="s">
        <v>266</v>
      </c>
    </row>
    <row r="2664" spans="1:4" x14ac:dyDescent="0.25">
      <c r="A2664" s="41">
        <v>133300</v>
      </c>
      <c r="B2664" s="39" t="s">
        <v>1331</v>
      </c>
      <c r="C2664" s="40">
        <v>3</v>
      </c>
      <c r="D2664" s="38" t="s">
        <v>1330</v>
      </c>
    </row>
    <row r="2665" spans="1:4" x14ac:dyDescent="0.25">
      <c r="A2665" s="41">
        <v>133313</v>
      </c>
      <c r="B2665" s="39" t="s">
        <v>4348</v>
      </c>
      <c r="C2665" s="40">
        <v>4</v>
      </c>
      <c r="D2665" s="38" t="s">
        <v>266</v>
      </c>
    </row>
    <row r="2666" spans="1:4" x14ac:dyDescent="0.25">
      <c r="A2666" s="41">
        <v>133400</v>
      </c>
      <c r="B2666" s="39" t="s">
        <v>4349</v>
      </c>
      <c r="C2666" s="40">
        <v>3</v>
      </c>
      <c r="D2666" s="38" t="s">
        <v>266</v>
      </c>
    </row>
    <row r="2667" spans="1:4" x14ac:dyDescent="0.25">
      <c r="A2667" s="41">
        <v>133413</v>
      </c>
      <c r="B2667" s="39" t="s">
        <v>4350</v>
      </c>
      <c r="C2667" s="40">
        <v>4</v>
      </c>
      <c r="D2667" s="38" t="s">
        <v>266</v>
      </c>
    </row>
    <row r="2668" spans="1:4" x14ac:dyDescent="0.25">
      <c r="A2668" s="42">
        <v>133413.13</v>
      </c>
      <c r="B2668" s="39" t="s">
        <v>4351</v>
      </c>
      <c r="C2668" s="40">
        <v>5</v>
      </c>
      <c r="D2668" s="38" t="s">
        <v>266</v>
      </c>
    </row>
    <row r="2669" spans="1:4" x14ac:dyDescent="0.25">
      <c r="A2669" s="42">
        <v>133413.16</v>
      </c>
      <c r="B2669" s="39" t="s">
        <v>4352</v>
      </c>
      <c r="C2669" s="40">
        <v>5</v>
      </c>
      <c r="D2669" s="38" t="s">
        <v>266</v>
      </c>
    </row>
    <row r="2670" spans="1:4" x14ac:dyDescent="0.25">
      <c r="A2670" s="42">
        <v>133413.19</v>
      </c>
      <c r="B2670" s="39" t="s">
        <v>4353</v>
      </c>
      <c r="C2670" s="40">
        <v>5</v>
      </c>
      <c r="D2670" s="38" t="s">
        <v>266</v>
      </c>
    </row>
    <row r="2671" spans="1:4" x14ac:dyDescent="0.25">
      <c r="A2671" s="42">
        <v>133413.23000000001</v>
      </c>
      <c r="B2671" s="39" t="s">
        <v>4354</v>
      </c>
      <c r="C2671" s="40">
        <v>5</v>
      </c>
      <c r="D2671" s="38" t="s">
        <v>266</v>
      </c>
    </row>
    <row r="2672" spans="1:4" x14ac:dyDescent="0.25">
      <c r="A2672" s="42">
        <v>133413.26</v>
      </c>
      <c r="B2672" s="39" t="s">
        <v>4355</v>
      </c>
      <c r="C2672" s="40">
        <v>5</v>
      </c>
      <c r="D2672" s="38" t="s">
        <v>266</v>
      </c>
    </row>
    <row r="2673" spans="1:4" x14ac:dyDescent="0.25">
      <c r="A2673" s="41">
        <v>133416</v>
      </c>
      <c r="B2673" s="39" t="s">
        <v>4356</v>
      </c>
      <c r="C2673" s="40">
        <v>4</v>
      </c>
      <c r="D2673" s="38" t="s">
        <v>266</v>
      </c>
    </row>
    <row r="2674" spans="1:4" x14ac:dyDescent="0.25">
      <c r="A2674" s="42">
        <v>133416.13</v>
      </c>
      <c r="B2674" s="39" t="s">
        <v>4357</v>
      </c>
      <c r="C2674" s="40">
        <v>5</v>
      </c>
      <c r="D2674" s="38" t="s">
        <v>266</v>
      </c>
    </row>
    <row r="2675" spans="1:4" x14ac:dyDescent="0.25">
      <c r="A2675" s="42">
        <v>133416.53</v>
      </c>
      <c r="B2675" s="39" t="s">
        <v>4358</v>
      </c>
      <c r="C2675" s="40">
        <v>5</v>
      </c>
      <c r="D2675" s="38" t="s">
        <v>266</v>
      </c>
    </row>
    <row r="2676" spans="1:4" x14ac:dyDescent="0.25">
      <c r="A2676" s="41">
        <v>133418</v>
      </c>
      <c r="B2676" s="39" t="s">
        <v>4359</v>
      </c>
      <c r="C2676" s="40">
        <v>4</v>
      </c>
      <c r="D2676" s="38" t="s">
        <v>266</v>
      </c>
    </row>
    <row r="2677" spans="1:4" x14ac:dyDescent="0.25">
      <c r="A2677" s="41">
        <v>133419</v>
      </c>
      <c r="B2677" s="39" t="s">
        <v>4360</v>
      </c>
      <c r="C2677" s="40">
        <v>4</v>
      </c>
      <c r="D2677" s="38" t="s">
        <v>266</v>
      </c>
    </row>
    <row r="2678" spans="1:4" x14ac:dyDescent="0.25">
      <c r="A2678" s="41">
        <v>133423</v>
      </c>
      <c r="B2678" s="39" t="s">
        <v>4361</v>
      </c>
      <c r="C2678" s="40">
        <v>4</v>
      </c>
      <c r="D2678" s="38" t="s">
        <v>266</v>
      </c>
    </row>
    <row r="2679" spans="1:4" x14ac:dyDescent="0.25">
      <c r="A2679" s="42">
        <v>133423.13</v>
      </c>
      <c r="B2679" s="39" t="s">
        <v>4362</v>
      </c>
      <c r="C2679" s="40">
        <v>5</v>
      </c>
      <c r="D2679" s="38" t="s">
        <v>266</v>
      </c>
    </row>
    <row r="2680" spans="1:4" x14ac:dyDescent="0.25">
      <c r="A2680" s="42">
        <v>133423.14000000001</v>
      </c>
      <c r="B2680" s="39" t="s">
        <v>4363</v>
      </c>
      <c r="C2680" s="40">
        <v>5</v>
      </c>
      <c r="D2680" s="38" t="s">
        <v>266</v>
      </c>
    </row>
    <row r="2681" spans="1:4" x14ac:dyDescent="0.25">
      <c r="A2681" s="42">
        <v>133423.16</v>
      </c>
      <c r="B2681" s="39" t="s">
        <v>4364</v>
      </c>
      <c r="C2681" s="40">
        <v>5</v>
      </c>
      <c r="D2681" s="38" t="s">
        <v>266</v>
      </c>
    </row>
    <row r="2682" spans="1:4" x14ac:dyDescent="0.25">
      <c r="A2682" s="42">
        <v>133423.19</v>
      </c>
      <c r="B2682" s="39" t="s">
        <v>4365</v>
      </c>
      <c r="C2682" s="40">
        <v>5</v>
      </c>
      <c r="D2682" s="38" t="s">
        <v>266</v>
      </c>
    </row>
    <row r="2683" spans="1:4" x14ac:dyDescent="0.25">
      <c r="A2683" s="42">
        <v>133423.23000000001</v>
      </c>
      <c r="B2683" s="39" t="s">
        <v>4366</v>
      </c>
      <c r="C2683" s="40">
        <v>5</v>
      </c>
      <c r="D2683" s="38" t="s">
        <v>266</v>
      </c>
    </row>
    <row r="2684" spans="1:4" x14ac:dyDescent="0.25">
      <c r="A2684" s="41">
        <v>133456</v>
      </c>
      <c r="B2684" s="39" t="s">
        <v>4367</v>
      </c>
      <c r="C2684" s="40">
        <v>4</v>
      </c>
      <c r="D2684" s="38" t="s">
        <v>266</v>
      </c>
    </row>
    <row r="2685" spans="1:4" x14ac:dyDescent="0.25">
      <c r="A2685" s="41">
        <v>133500</v>
      </c>
      <c r="B2685" s="39" t="s">
        <v>1337</v>
      </c>
      <c r="C2685" s="40">
        <v>3</v>
      </c>
      <c r="D2685" s="39" t="s">
        <v>1336</v>
      </c>
    </row>
    <row r="2686" spans="1:4" x14ac:dyDescent="0.25">
      <c r="A2686" s="41">
        <v>133513</v>
      </c>
      <c r="B2686" s="39" t="s">
        <v>4368</v>
      </c>
      <c r="C2686" s="40">
        <v>4</v>
      </c>
      <c r="D2686" s="38" t="s">
        <v>266</v>
      </c>
    </row>
    <row r="2687" spans="1:4" x14ac:dyDescent="0.25">
      <c r="A2687" s="42">
        <v>133513.13</v>
      </c>
      <c r="B2687" s="39" t="s">
        <v>4369</v>
      </c>
      <c r="C2687" s="40">
        <v>5</v>
      </c>
      <c r="D2687" s="38" t="s">
        <v>266</v>
      </c>
    </row>
    <row r="2688" spans="1:4" x14ac:dyDescent="0.25">
      <c r="A2688" s="42">
        <v>133513.23000000001</v>
      </c>
      <c r="B2688" s="39" t="s">
        <v>4370</v>
      </c>
      <c r="C2688" s="40">
        <v>5</v>
      </c>
      <c r="D2688" s="38" t="s">
        <v>266</v>
      </c>
    </row>
    <row r="2689" spans="1:4" x14ac:dyDescent="0.25">
      <c r="A2689" s="41">
        <v>133600</v>
      </c>
      <c r="B2689" s="39" t="s">
        <v>1339</v>
      </c>
      <c r="C2689" s="40">
        <v>3</v>
      </c>
      <c r="D2689" s="38" t="s">
        <v>1338</v>
      </c>
    </row>
    <row r="2690" spans="1:4" x14ac:dyDescent="0.25">
      <c r="A2690" s="41">
        <v>133613</v>
      </c>
      <c r="B2690" s="39" t="s">
        <v>4371</v>
      </c>
      <c r="C2690" s="40">
        <v>4</v>
      </c>
      <c r="D2690" s="38" t="s">
        <v>266</v>
      </c>
    </row>
    <row r="2691" spans="1:4" x14ac:dyDescent="0.25">
      <c r="A2691" s="42">
        <v>133613.13</v>
      </c>
      <c r="B2691" s="39" t="s">
        <v>4372</v>
      </c>
      <c r="C2691" s="40">
        <v>5</v>
      </c>
      <c r="D2691" s="38" t="s">
        <v>266</v>
      </c>
    </row>
    <row r="2692" spans="1:4" x14ac:dyDescent="0.25">
      <c r="A2692" s="41">
        <v>133623</v>
      </c>
      <c r="B2692" s="39" t="s">
        <v>4373</v>
      </c>
      <c r="C2692" s="40">
        <v>4</v>
      </c>
      <c r="D2692" s="38" t="s">
        <v>266</v>
      </c>
    </row>
    <row r="2693" spans="1:4" x14ac:dyDescent="0.25">
      <c r="A2693" s="41">
        <v>134000</v>
      </c>
      <c r="B2693" s="39" t="s">
        <v>1317</v>
      </c>
      <c r="C2693" s="40">
        <v>3</v>
      </c>
      <c r="D2693" s="39" t="s">
        <v>1316</v>
      </c>
    </row>
    <row r="2694" spans="1:4" x14ac:dyDescent="0.25">
      <c r="A2694" s="41">
        <v>134200</v>
      </c>
      <c r="B2694" s="39" t="s">
        <v>1319</v>
      </c>
      <c r="C2694" s="40">
        <v>3</v>
      </c>
      <c r="D2694" s="39" t="s">
        <v>1318</v>
      </c>
    </row>
    <row r="2695" spans="1:4" x14ac:dyDescent="0.25">
      <c r="A2695" s="41">
        <v>134213</v>
      </c>
      <c r="B2695" s="39" t="s">
        <v>4374</v>
      </c>
      <c r="C2695" s="40">
        <v>4</v>
      </c>
      <c r="D2695" s="38" t="s">
        <v>266</v>
      </c>
    </row>
    <row r="2696" spans="1:4" x14ac:dyDescent="0.25">
      <c r="A2696" s="41">
        <v>134225</v>
      </c>
      <c r="B2696" s="39" t="s">
        <v>4375</v>
      </c>
      <c r="C2696" s="40">
        <v>4</v>
      </c>
      <c r="D2696" s="38" t="s">
        <v>266</v>
      </c>
    </row>
    <row r="2697" spans="1:4" x14ac:dyDescent="0.25">
      <c r="A2697" s="41">
        <v>134233</v>
      </c>
      <c r="B2697" s="39" t="s">
        <v>4376</v>
      </c>
      <c r="C2697" s="40">
        <v>4</v>
      </c>
      <c r="D2697" s="38" t="s">
        <v>266</v>
      </c>
    </row>
    <row r="2698" spans="1:4" x14ac:dyDescent="0.25">
      <c r="A2698" s="41">
        <v>134243</v>
      </c>
      <c r="B2698" s="39" t="s">
        <v>4377</v>
      </c>
      <c r="C2698" s="40">
        <v>4</v>
      </c>
      <c r="D2698" s="38" t="s">
        <v>266</v>
      </c>
    </row>
    <row r="2699" spans="1:4" x14ac:dyDescent="0.25">
      <c r="A2699" s="41">
        <v>134263</v>
      </c>
      <c r="B2699" s="39" t="s">
        <v>4378</v>
      </c>
      <c r="C2699" s="40">
        <v>4</v>
      </c>
      <c r="D2699" s="38" t="s">
        <v>266</v>
      </c>
    </row>
    <row r="2700" spans="1:4" x14ac:dyDescent="0.25">
      <c r="A2700" s="42">
        <v>134263.13</v>
      </c>
      <c r="B2700" s="39" t="s">
        <v>4379</v>
      </c>
      <c r="C2700" s="40">
        <v>5</v>
      </c>
      <c r="D2700" s="38" t="s">
        <v>266</v>
      </c>
    </row>
    <row r="2701" spans="1:4" x14ac:dyDescent="0.25">
      <c r="A2701" s="42">
        <v>134263.16</v>
      </c>
      <c r="B2701" s="39" t="s">
        <v>4380</v>
      </c>
      <c r="C2701" s="40">
        <v>5</v>
      </c>
      <c r="D2701" s="38" t="s">
        <v>266</v>
      </c>
    </row>
    <row r="2702" spans="1:4" x14ac:dyDescent="0.25">
      <c r="A2702" s="41">
        <v>134400</v>
      </c>
      <c r="B2702" s="39" t="s">
        <v>1323</v>
      </c>
      <c r="C2702" s="40">
        <v>3</v>
      </c>
      <c r="D2702" s="38" t="s">
        <v>1322</v>
      </c>
    </row>
    <row r="2703" spans="1:4" x14ac:dyDescent="0.25">
      <c r="A2703" s="41">
        <v>134800</v>
      </c>
      <c r="B2703" s="39" t="s">
        <v>4381</v>
      </c>
      <c r="C2703" s="40">
        <v>3</v>
      </c>
      <c r="D2703" s="38" t="s">
        <v>1342</v>
      </c>
    </row>
    <row r="2704" spans="1:4" x14ac:dyDescent="0.25">
      <c r="A2704" s="41">
        <v>134813</v>
      </c>
      <c r="B2704" s="39" t="s">
        <v>4382</v>
      </c>
      <c r="C2704" s="40">
        <v>4</v>
      </c>
      <c r="D2704" s="38" t="s">
        <v>266</v>
      </c>
    </row>
    <row r="2705" spans="1:4" x14ac:dyDescent="0.25">
      <c r="A2705" s="41">
        <v>134823</v>
      </c>
      <c r="B2705" s="39" t="s">
        <v>4383</v>
      </c>
      <c r="C2705" s="40">
        <v>4</v>
      </c>
      <c r="D2705" s="38" t="s">
        <v>266</v>
      </c>
    </row>
    <row r="2706" spans="1:4" x14ac:dyDescent="0.25">
      <c r="A2706" s="41">
        <v>134853</v>
      </c>
      <c r="B2706" s="39" t="s">
        <v>4384</v>
      </c>
      <c r="C2706" s="40">
        <v>4</v>
      </c>
      <c r="D2706" s="38" t="s">
        <v>266</v>
      </c>
    </row>
    <row r="2707" spans="1:4" x14ac:dyDescent="0.25">
      <c r="A2707" s="41">
        <v>134863</v>
      </c>
      <c r="B2707" s="39" t="s">
        <v>4385</v>
      </c>
      <c r="C2707" s="40">
        <v>4</v>
      </c>
      <c r="D2707" s="38" t="s">
        <v>266</v>
      </c>
    </row>
    <row r="2708" spans="1:4" x14ac:dyDescent="0.25">
      <c r="A2708" s="41">
        <v>134900</v>
      </c>
      <c r="B2708" s="39" t="s">
        <v>1347</v>
      </c>
      <c r="C2708" s="40">
        <v>3</v>
      </c>
      <c r="D2708" s="38" t="s">
        <v>1346</v>
      </c>
    </row>
    <row r="2709" spans="1:4" x14ac:dyDescent="0.25">
      <c r="A2709" s="41">
        <v>134913</v>
      </c>
      <c r="B2709" s="39" t="s">
        <v>4386</v>
      </c>
      <c r="C2709" s="40">
        <v>4</v>
      </c>
      <c r="D2709" s="38" t="s">
        <v>266</v>
      </c>
    </row>
    <row r="2710" spans="1:4" x14ac:dyDescent="0.25">
      <c r="A2710" s="41">
        <v>134916</v>
      </c>
      <c r="B2710" s="39" t="s">
        <v>4387</v>
      </c>
      <c r="C2710" s="40">
        <v>4</v>
      </c>
      <c r="D2710" s="38" t="s">
        <v>266</v>
      </c>
    </row>
    <row r="2711" spans="1:4" x14ac:dyDescent="0.25">
      <c r="A2711" s="41">
        <v>134923</v>
      </c>
      <c r="B2711" s="39" t="s">
        <v>4388</v>
      </c>
      <c r="C2711" s="40">
        <v>4</v>
      </c>
      <c r="D2711" s="38" t="s">
        <v>266</v>
      </c>
    </row>
    <row r="2712" spans="1:4" x14ac:dyDescent="0.25">
      <c r="A2712" s="41">
        <v>134926</v>
      </c>
      <c r="B2712" s="39" t="s">
        <v>4389</v>
      </c>
      <c r="C2712" s="40">
        <v>4</v>
      </c>
      <c r="D2712" s="38" t="s">
        <v>266</v>
      </c>
    </row>
    <row r="2713" spans="1:4" x14ac:dyDescent="0.25">
      <c r="A2713" s="41">
        <v>135000</v>
      </c>
      <c r="B2713" s="39" t="s">
        <v>1379</v>
      </c>
      <c r="C2713" s="40">
        <v>3</v>
      </c>
      <c r="D2713" s="38" t="s">
        <v>1378</v>
      </c>
    </row>
    <row r="2714" spans="1:4" x14ac:dyDescent="0.25">
      <c r="A2714" s="41">
        <v>135100</v>
      </c>
      <c r="B2714" s="39" t="s">
        <v>1381</v>
      </c>
      <c r="C2714" s="40">
        <v>3</v>
      </c>
      <c r="D2714" s="38" t="s">
        <v>1380</v>
      </c>
    </row>
    <row r="2715" spans="1:4" x14ac:dyDescent="0.25">
      <c r="A2715" s="41">
        <v>135200</v>
      </c>
      <c r="B2715" s="39" t="s">
        <v>1383</v>
      </c>
      <c r="C2715" s="40">
        <v>3</v>
      </c>
      <c r="D2715" s="39" t="s">
        <v>1382</v>
      </c>
    </row>
    <row r="2716" spans="1:4" x14ac:dyDescent="0.25">
      <c r="A2716" s="41">
        <v>135300</v>
      </c>
      <c r="B2716" s="39" t="s">
        <v>1385</v>
      </c>
      <c r="C2716" s="40">
        <v>3</v>
      </c>
      <c r="D2716" s="39" t="s">
        <v>1384</v>
      </c>
    </row>
    <row r="2717" spans="1:4" x14ac:dyDescent="0.25">
      <c r="A2717" s="41">
        <v>135313</v>
      </c>
      <c r="B2717" s="39" t="s">
        <v>4390</v>
      </c>
      <c r="C2717" s="40">
        <v>4</v>
      </c>
      <c r="D2717" s="38" t="s">
        <v>266</v>
      </c>
    </row>
    <row r="2718" spans="1:4" x14ac:dyDescent="0.25">
      <c r="A2718" s="41">
        <v>135323</v>
      </c>
      <c r="B2718" s="39" t="s">
        <v>4391</v>
      </c>
      <c r="C2718" s="40">
        <v>4</v>
      </c>
      <c r="D2718" s="38" t="s">
        <v>266</v>
      </c>
    </row>
    <row r="2719" spans="1:4" x14ac:dyDescent="0.25">
      <c r="A2719" s="41">
        <v>140000</v>
      </c>
      <c r="B2719" s="39" t="s">
        <v>4392</v>
      </c>
      <c r="C2719" s="40">
        <v>2</v>
      </c>
      <c r="D2719" s="38" t="s">
        <v>865</v>
      </c>
    </row>
    <row r="2720" spans="1:4" x14ac:dyDescent="0.25">
      <c r="A2720" s="41">
        <v>140100</v>
      </c>
      <c r="B2720" s="39" t="s">
        <v>4393</v>
      </c>
      <c r="C2720" s="40">
        <v>3</v>
      </c>
      <c r="D2720" s="38" t="s">
        <v>266</v>
      </c>
    </row>
    <row r="2721" spans="1:4" x14ac:dyDescent="0.25">
      <c r="A2721" s="41">
        <v>140110</v>
      </c>
      <c r="B2721" s="39" t="s">
        <v>4394</v>
      </c>
      <c r="C2721" s="40">
        <v>4</v>
      </c>
      <c r="D2721" s="38" t="s">
        <v>266</v>
      </c>
    </row>
    <row r="2722" spans="1:4" x14ac:dyDescent="0.25">
      <c r="A2722" s="42">
        <v>140110.71</v>
      </c>
      <c r="B2722" s="39" t="s">
        <v>4395</v>
      </c>
      <c r="C2722" s="40">
        <v>5</v>
      </c>
      <c r="D2722" s="38" t="s">
        <v>266</v>
      </c>
    </row>
    <row r="2723" spans="1:4" x14ac:dyDescent="0.25">
      <c r="A2723" s="41">
        <v>140120</v>
      </c>
      <c r="B2723" s="39" t="s">
        <v>4396</v>
      </c>
      <c r="C2723" s="40">
        <v>4</v>
      </c>
      <c r="D2723" s="38" t="s">
        <v>266</v>
      </c>
    </row>
    <row r="2724" spans="1:4" x14ac:dyDescent="0.25">
      <c r="A2724" s="42">
        <v>140120.71</v>
      </c>
      <c r="B2724" s="39" t="s">
        <v>4397</v>
      </c>
      <c r="C2724" s="40">
        <v>5</v>
      </c>
      <c r="D2724" s="38" t="s">
        <v>266</v>
      </c>
    </row>
    <row r="2725" spans="1:4" x14ac:dyDescent="0.25">
      <c r="A2725" s="41">
        <v>140130</v>
      </c>
      <c r="B2725" s="39" t="s">
        <v>4398</v>
      </c>
      <c r="C2725" s="40">
        <v>4</v>
      </c>
      <c r="D2725" s="38" t="s">
        <v>266</v>
      </c>
    </row>
    <row r="2726" spans="1:4" x14ac:dyDescent="0.25">
      <c r="A2726" s="42">
        <v>140130.71</v>
      </c>
      <c r="B2726" s="39" t="s">
        <v>4399</v>
      </c>
      <c r="C2726" s="40">
        <v>5</v>
      </c>
      <c r="D2726" s="38" t="s">
        <v>266</v>
      </c>
    </row>
    <row r="2727" spans="1:4" x14ac:dyDescent="0.25">
      <c r="A2727" s="41">
        <v>140140</v>
      </c>
      <c r="B2727" s="39" t="s">
        <v>4400</v>
      </c>
      <c r="C2727" s="40">
        <v>4</v>
      </c>
      <c r="D2727" s="38" t="s">
        <v>266</v>
      </c>
    </row>
    <row r="2728" spans="1:4" x14ac:dyDescent="0.25">
      <c r="A2728" s="42">
        <v>140140.71</v>
      </c>
      <c r="B2728" s="39" t="s">
        <v>4401</v>
      </c>
      <c r="C2728" s="40">
        <v>5</v>
      </c>
      <c r="D2728" s="38" t="s">
        <v>266</v>
      </c>
    </row>
    <row r="2729" spans="1:4" x14ac:dyDescent="0.25">
      <c r="A2729" s="41">
        <v>140170</v>
      </c>
      <c r="B2729" s="39" t="s">
        <v>4402</v>
      </c>
      <c r="C2729" s="40">
        <v>4</v>
      </c>
      <c r="D2729" s="38" t="s">
        <v>266</v>
      </c>
    </row>
    <row r="2730" spans="1:4" x14ac:dyDescent="0.25">
      <c r="A2730" s="41">
        <v>140180</v>
      </c>
      <c r="B2730" s="39" t="s">
        <v>4403</v>
      </c>
      <c r="C2730" s="40">
        <v>4</v>
      </c>
      <c r="D2730" s="38" t="s">
        <v>266</v>
      </c>
    </row>
    <row r="2731" spans="1:4" x14ac:dyDescent="0.25">
      <c r="A2731" s="41">
        <v>140190</v>
      </c>
      <c r="B2731" s="39" t="s">
        <v>4404</v>
      </c>
      <c r="C2731" s="40">
        <v>4</v>
      </c>
      <c r="D2731" s="38" t="s">
        <v>266</v>
      </c>
    </row>
    <row r="2732" spans="1:4" x14ac:dyDescent="0.25">
      <c r="A2732" s="41">
        <v>140500</v>
      </c>
      <c r="B2732" s="39" t="s">
        <v>4405</v>
      </c>
      <c r="C2732" s="40">
        <v>3</v>
      </c>
      <c r="D2732" s="38" t="s">
        <v>266</v>
      </c>
    </row>
    <row r="2733" spans="1:4" x14ac:dyDescent="0.25">
      <c r="A2733" s="41">
        <v>140800</v>
      </c>
      <c r="B2733" s="39" t="s">
        <v>4406</v>
      </c>
      <c r="C2733" s="40">
        <v>3</v>
      </c>
      <c r="D2733" s="38" t="s">
        <v>266</v>
      </c>
    </row>
    <row r="2734" spans="1:4" x14ac:dyDescent="0.25">
      <c r="A2734" s="41">
        <v>140810</v>
      </c>
      <c r="B2734" s="39" t="s">
        <v>4407</v>
      </c>
      <c r="C2734" s="40">
        <v>4</v>
      </c>
      <c r="D2734" s="38" t="s">
        <v>266</v>
      </c>
    </row>
    <row r="2735" spans="1:4" x14ac:dyDescent="0.25">
      <c r="A2735" s="41">
        <v>140820</v>
      </c>
      <c r="B2735" s="39" t="s">
        <v>4408</v>
      </c>
      <c r="C2735" s="40">
        <v>4</v>
      </c>
      <c r="D2735" s="38" t="s">
        <v>266</v>
      </c>
    </row>
    <row r="2736" spans="1:4" x14ac:dyDescent="0.25">
      <c r="A2736" s="41">
        <v>140830</v>
      </c>
      <c r="B2736" s="39" t="s">
        <v>4409</v>
      </c>
      <c r="C2736" s="40">
        <v>4</v>
      </c>
      <c r="D2736" s="38" t="s">
        <v>266</v>
      </c>
    </row>
    <row r="2737" spans="1:4" x14ac:dyDescent="0.25">
      <c r="A2737" s="41">
        <v>140840</v>
      </c>
      <c r="B2737" s="39" t="s">
        <v>4410</v>
      </c>
      <c r="C2737" s="40">
        <v>4</v>
      </c>
      <c r="D2737" s="38" t="s">
        <v>266</v>
      </c>
    </row>
    <row r="2738" spans="1:4" x14ac:dyDescent="0.25">
      <c r="A2738" s="41">
        <v>140870</v>
      </c>
      <c r="B2738" s="39" t="s">
        <v>4411</v>
      </c>
      <c r="C2738" s="40">
        <v>4</v>
      </c>
      <c r="D2738" s="38" t="s">
        <v>266</v>
      </c>
    </row>
    <row r="2739" spans="1:4" x14ac:dyDescent="0.25">
      <c r="A2739" s="41">
        <v>140880</v>
      </c>
      <c r="B2739" s="39" t="s">
        <v>4412</v>
      </c>
      <c r="C2739" s="40">
        <v>4</v>
      </c>
      <c r="D2739" s="38" t="s">
        <v>266</v>
      </c>
    </row>
    <row r="2740" spans="1:4" x14ac:dyDescent="0.25">
      <c r="A2740" s="41">
        <v>141000</v>
      </c>
      <c r="B2740" s="39" t="s">
        <v>876</v>
      </c>
      <c r="C2740" s="40">
        <v>3</v>
      </c>
      <c r="D2740" s="38" t="s">
        <v>875</v>
      </c>
    </row>
    <row r="2741" spans="1:4" x14ac:dyDescent="0.25">
      <c r="A2741" s="41">
        <v>141100</v>
      </c>
      <c r="B2741" s="39" t="s">
        <v>4413</v>
      </c>
      <c r="C2741" s="40">
        <v>3</v>
      </c>
      <c r="D2741" s="38" t="s">
        <v>266</v>
      </c>
    </row>
    <row r="2742" spans="1:4" x14ac:dyDescent="0.25">
      <c r="A2742" s="41">
        <v>141200</v>
      </c>
      <c r="B2742" s="39" t="s">
        <v>4414</v>
      </c>
      <c r="C2742" s="40">
        <v>3</v>
      </c>
      <c r="D2742" s="38" t="s">
        <v>266</v>
      </c>
    </row>
    <row r="2743" spans="1:4" x14ac:dyDescent="0.25">
      <c r="A2743" s="41">
        <v>141400</v>
      </c>
      <c r="B2743" s="39" t="s">
        <v>4415</v>
      </c>
      <c r="C2743" s="40">
        <v>3</v>
      </c>
      <c r="D2743" s="38" t="s">
        <v>266</v>
      </c>
    </row>
    <row r="2744" spans="1:4" x14ac:dyDescent="0.25">
      <c r="A2744" s="41">
        <v>142000</v>
      </c>
      <c r="B2744" s="39" t="s">
        <v>870</v>
      </c>
      <c r="C2744" s="40">
        <v>3</v>
      </c>
      <c r="D2744" s="39" t="s">
        <v>869</v>
      </c>
    </row>
    <row r="2745" spans="1:4" x14ac:dyDescent="0.25">
      <c r="A2745" s="41">
        <v>142100</v>
      </c>
      <c r="B2745" s="39" t="s">
        <v>4416</v>
      </c>
      <c r="C2745" s="40">
        <v>3</v>
      </c>
      <c r="D2745" s="38" t="s">
        <v>266</v>
      </c>
    </row>
    <row r="2746" spans="1:4" x14ac:dyDescent="0.25">
      <c r="A2746" s="41">
        <v>142113</v>
      </c>
      <c r="B2746" s="39" t="s">
        <v>4417</v>
      </c>
      <c r="C2746" s="40">
        <v>4</v>
      </c>
      <c r="D2746" s="38" t="s">
        <v>266</v>
      </c>
    </row>
    <row r="2747" spans="1:4" x14ac:dyDescent="0.25">
      <c r="A2747" s="41">
        <v>142123</v>
      </c>
      <c r="B2747" s="39" t="s">
        <v>4418</v>
      </c>
      <c r="C2747" s="40">
        <v>4</v>
      </c>
      <c r="D2747" s="38" t="s">
        <v>266</v>
      </c>
    </row>
    <row r="2748" spans="1:4" x14ac:dyDescent="0.25">
      <c r="A2748" s="42">
        <v>142123.13</v>
      </c>
      <c r="B2748" s="39" t="s">
        <v>4419</v>
      </c>
      <c r="C2748" s="40">
        <v>5</v>
      </c>
      <c r="D2748" s="38" t="s">
        <v>266</v>
      </c>
    </row>
    <row r="2749" spans="1:4" x14ac:dyDescent="0.25">
      <c r="A2749" s="42">
        <v>142123.16</v>
      </c>
      <c r="B2749" s="39" t="s">
        <v>4420</v>
      </c>
      <c r="C2749" s="40">
        <v>5</v>
      </c>
      <c r="D2749" s="38" t="s">
        <v>266</v>
      </c>
    </row>
    <row r="2750" spans="1:4" x14ac:dyDescent="0.25">
      <c r="A2750" s="41">
        <v>142133</v>
      </c>
      <c r="B2750" s="39" t="s">
        <v>4421</v>
      </c>
      <c r="C2750" s="40">
        <v>4</v>
      </c>
      <c r="D2750" s="38" t="s">
        <v>266</v>
      </c>
    </row>
    <row r="2751" spans="1:4" x14ac:dyDescent="0.25">
      <c r="A2751" s="41">
        <v>142143</v>
      </c>
      <c r="B2751" s="39" t="s">
        <v>4422</v>
      </c>
      <c r="C2751" s="40">
        <v>4</v>
      </c>
      <c r="D2751" s="38" t="s">
        <v>266</v>
      </c>
    </row>
    <row r="2752" spans="1:4" x14ac:dyDescent="0.25">
      <c r="A2752" s="41">
        <v>142400</v>
      </c>
      <c r="B2752" s="39" t="s">
        <v>4423</v>
      </c>
      <c r="C2752" s="40">
        <v>3</v>
      </c>
      <c r="D2752" s="38" t="s">
        <v>266</v>
      </c>
    </row>
    <row r="2753" spans="1:4" x14ac:dyDescent="0.25">
      <c r="A2753" s="41">
        <v>142413</v>
      </c>
      <c r="B2753" s="39" t="s">
        <v>4424</v>
      </c>
      <c r="C2753" s="40">
        <v>4</v>
      </c>
      <c r="D2753" s="38" t="s">
        <v>266</v>
      </c>
    </row>
    <row r="2754" spans="1:4" x14ac:dyDescent="0.25">
      <c r="A2754" s="41">
        <v>142423</v>
      </c>
      <c r="B2754" s="39" t="s">
        <v>4425</v>
      </c>
      <c r="C2754" s="40">
        <v>4</v>
      </c>
      <c r="D2754" s="38" t="s">
        <v>266</v>
      </c>
    </row>
    <row r="2755" spans="1:4" x14ac:dyDescent="0.25">
      <c r="A2755" s="41">
        <v>142433</v>
      </c>
      <c r="B2755" s="39" t="s">
        <v>4426</v>
      </c>
      <c r="C2755" s="40">
        <v>4</v>
      </c>
      <c r="D2755" s="38" t="s">
        <v>266</v>
      </c>
    </row>
    <row r="2756" spans="1:4" x14ac:dyDescent="0.25">
      <c r="A2756" s="41">
        <v>142443</v>
      </c>
      <c r="B2756" s="39" t="s">
        <v>4427</v>
      </c>
      <c r="C2756" s="40">
        <v>4</v>
      </c>
      <c r="D2756" s="38" t="s">
        <v>266</v>
      </c>
    </row>
    <row r="2757" spans="1:4" x14ac:dyDescent="0.25">
      <c r="A2757" s="41">
        <v>142600</v>
      </c>
      <c r="B2757" s="39" t="s">
        <v>4428</v>
      </c>
      <c r="C2757" s="40">
        <v>3</v>
      </c>
      <c r="D2757" s="38" t="s">
        <v>266</v>
      </c>
    </row>
    <row r="2758" spans="1:4" x14ac:dyDescent="0.25">
      <c r="A2758" s="41">
        <v>142700</v>
      </c>
      <c r="B2758" s="39" t="s">
        <v>4429</v>
      </c>
      <c r="C2758" s="40">
        <v>3</v>
      </c>
      <c r="D2758" s="38" t="s">
        <v>266</v>
      </c>
    </row>
    <row r="2759" spans="1:4" x14ac:dyDescent="0.25">
      <c r="A2759" s="41">
        <v>142713</v>
      </c>
      <c r="B2759" s="39" t="s">
        <v>4430</v>
      </c>
      <c r="C2759" s="40">
        <v>4</v>
      </c>
      <c r="D2759" s="38" t="s">
        <v>266</v>
      </c>
    </row>
    <row r="2760" spans="1:4" x14ac:dyDescent="0.25">
      <c r="A2760" s="41">
        <v>142716</v>
      </c>
      <c r="B2760" s="39" t="s">
        <v>4431</v>
      </c>
      <c r="C2760" s="40">
        <v>4</v>
      </c>
      <c r="D2760" s="38" t="s">
        <v>266</v>
      </c>
    </row>
    <row r="2761" spans="1:4" x14ac:dyDescent="0.25">
      <c r="A2761" s="41">
        <v>142800</v>
      </c>
      <c r="B2761" s="39" t="s">
        <v>4432</v>
      </c>
      <c r="C2761" s="40">
        <v>3</v>
      </c>
      <c r="D2761" s="38" t="s">
        <v>266</v>
      </c>
    </row>
    <row r="2762" spans="1:4" x14ac:dyDescent="0.25">
      <c r="A2762" s="41">
        <v>142816</v>
      </c>
      <c r="B2762" s="39" t="s">
        <v>4433</v>
      </c>
      <c r="C2762" s="40">
        <v>4</v>
      </c>
      <c r="D2762" s="38" t="s">
        <v>266</v>
      </c>
    </row>
    <row r="2763" spans="1:4" x14ac:dyDescent="0.25">
      <c r="A2763" s="41">
        <v>142819</v>
      </c>
      <c r="B2763" s="39" t="s">
        <v>4434</v>
      </c>
      <c r="C2763" s="40">
        <v>4</v>
      </c>
      <c r="D2763" s="38" t="s">
        <v>266</v>
      </c>
    </row>
    <row r="2764" spans="1:4" x14ac:dyDescent="0.25">
      <c r="A2764" s="42">
        <v>142819.13</v>
      </c>
      <c r="B2764" s="39" t="s">
        <v>4435</v>
      </c>
      <c r="C2764" s="40">
        <v>5</v>
      </c>
      <c r="D2764" s="38" t="s">
        <v>266</v>
      </c>
    </row>
    <row r="2765" spans="1:4" x14ac:dyDescent="0.25">
      <c r="A2765" s="42">
        <v>142819.16</v>
      </c>
      <c r="B2765" s="39" t="s">
        <v>4436</v>
      </c>
      <c r="C2765" s="40">
        <v>5</v>
      </c>
      <c r="D2765" s="38" t="s">
        <v>266</v>
      </c>
    </row>
    <row r="2766" spans="1:4" x14ac:dyDescent="0.25">
      <c r="A2766" s="41">
        <v>143000</v>
      </c>
      <c r="B2766" s="39" t="s">
        <v>4437</v>
      </c>
      <c r="C2766" s="40">
        <v>3</v>
      </c>
      <c r="D2766" s="38" t="s">
        <v>266</v>
      </c>
    </row>
    <row r="2767" spans="1:4" x14ac:dyDescent="0.25">
      <c r="A2767" s="41">
        <v>143100</v>
      </c>
      <c r="B2767" s="39" t="s">
        <v>874</v>
      </c>
      <c r="C2767" s="40">
        <v>3</v>
      </c>
      <c r="D2767" s="38" t="s">
        <v>873</v>
      </c>
    </row>
    <row r="2768" spans="1:4" x14ac:dyDescent="0.25">
      <c r="A2768" s="41">
        <v>143200</v>
      </c>
      <c r="B2768" s="39" t="s">
        <v>882</v>
      </c>
      <c r="C2768" s="40">
        <v>3</v>
      </c>
      <c r="D2768" s="38" t="s">
        <v>881</v>
      </c>
    </row>
    <row r="2769" spans="1:4" x14ac:dyDescent="0.25">
      <c r="A2769" s="41">
        <v>143300</v>
      </c>
      <c r="B2769" s="39" t="s">
        <v>878</v>
      </c>
      <c r="C2769" s="40">
        <v>3</v>
      </c>
      <c r="D2769" s="38" t="s">
        <v>877</v>
      </c>
    </row>
    <row r="2770" spans="1:4" x14ac:dyDescent="0.25">
      <c r="A2770" s="41">
        <v>143313</v>
      </c>
      <c r="B2770" s="39" t="s">
        <v>4438</v>
      </c>
      <c r="C2770" s="40">
        <v>4</v>
      </c>
      <c r="D2770" s="38" t="s">
        <v>266</v>
      </c>
    </row>
    <row r="2771" spans="1:4" x14ac:dyDescent="0.25">
      <c r="A2771" s="41">
        <v>143316</v>
      </c>
      <c r="B2771" s="39" t="s">
        <v>4439</v>
      </c>
      <c r="C2771" s="40">
        <v>4</v>
      </c>
      <c r="D2771" s="38" t="s">
        <v>266</v>
      </c>
    </row>
    <row r="2772" spans="1:4" x14ac:dyDescent="0.25">
      <c r="A2772" s="41">
        <v>144000</v>
      </c>
      <c r="B2772" s="39" t="s">
        <v>872</v>
      </c>
      <c r="C2772" s="40">
        <v>3</v>
      </c>
      <c r="D2772" s="39" t="s">
        <v>871</v>
      </c>
    </row>
    <row r="2773" spans="1:4" x14ac:dyDescent="0.25">
      <c r="A2773" s="41">
        <v>144100</v>
      </c>
      <c r="B2773" s="39" t="s">
        <v>4440</v>
      </c>
      <c r="C2773" s="40">
        <v>3</v>
      </c>
      <c r="D2773" s="38" t="s">
        <v>266</v>
      </c>
    </row>
    <row r="2774" spans="1:4" x14ac:dyDescent="0.25">
      <c r="A2774" s="41">
        <v>144113</v>
      </c>
      <c r="B2774" s="39" t="s">
        <v>4441</v>
      </c>
      <c r="C2774" s="40">
        <v>4</v>
      </c>
      <c r="D2774" s="38" t="s">
        <v>266</v>
      </c>
    </row>
    <row r="2775" spans="1:4" x14ac:dyDescent="0.25">
      <c r="A2775" s="41">
        <v>144116</v>
      </c>
      <c r="B2775" s="39" t="s">
        <v>4442</v>
      </c>
      <c r="C2775" s="40">
        <v>4</v>
      </c>
      <c r="D2775" s="38" t="s">
        <v>266</v>
      </c>
    </row>
    <row r="2776" spans="1:4" x14ac:dyDescent="0.25">
      <c r="A2776" s="41">
        <v>144200</v>
      </c>
      <c r="B2776" s="39" t="s">
        <v>4443</v>
      </c>
      <c r="C2776" s="40">
        <v>3</v>
      </c>
      <c r="D2776" s="38" t="s">
        <v>266</v>
      </c>
    </row>
    <row r="2777" spans="1:4" x14ac:dyDescent="0.25">
      <c r="A2777" s="41">
        <v>144213</v>
      </c>
      <c r="B2777" s="39" t="s">
        <v>4444</v>
      </c>
      <c r="C2777" s="40">
        <v>4</v>
      </c>
      <c r="D2777" s="38" t="s">
        <v>266</v>
      </c>
    </row>
    <row r="2778" spans="1:4" x14ac:dyDescent="0.25">
      <c r="A2778" s="41">
        <v>144216</v>
      </c>
      <c r="B2778" s="39" t="s">
        <v>4445</v>
      </c>
      <c r="C2778" s="40">
        <v>4</v>
      </c>
      <c r="D2778" s="38" t="s">
        <v>266</v>
      </c>
    </row>
    <row r="2779" spans="1:4" x14ac:dyDescent="0.25">
      <c r="A2779" s="41">
        <v>144300</v>
      </c>
      <c r="B2779" s="39" t="s">
        <v>4446</v>
      </c>
      <c r="C2779" s="40">
        <v>3</v>
      </c>
      <c r="D2779" s="38" t="s">
        <v>266</v>
      </c>
    </row>
    <row r="2780" spans="1:4" x14ac:dyDescent="0.25">
      <c r="A2780" s="41">
        <v>144313</v>
      </c>
      <c r="B2780" s="39" t="s">
        <v>4447</v>
      </c>
      <c r="C2780" s="40">
        <v>4</v>
      </c>
      <c r="D2780" s="38" t="s">
        <v>266</v>
      </c>
    </row>
    <row r="2781" spans="1:4" x14ac:dyDescent="0.25">
      <c r="A2781" s="41">
        <v>144316</v>
      </c>
      <c r="B2781" s="39" t="s">
        <v>4448</v>
      </c>
      <c r="C2781" s="40">
        <v>4</v>
      </c>
      <c r="D2781" s="38" t="s">
        <v>266</v>
      </c>
    </row>
    <row r="2782" spans="1:4" x14ac:dyDescent="0.25">
      <c r="A2782" s="41">
        <v>144400</v>
      </c>
      <c r="B2782" s="39" t="s">
        <v>4449</v>
      </c>
      <c r="C2782" s="40">
        <v>3</v>
      </c>
      <c r="D2782" s="38" t="s">
        <v>266</v>
      </c>
    </row>
    <row r="2783" spans="1:4" x14ac:dyDescent="0.25">
      <c r="A2783" s="41">
        <v>144500</v>
      </c>
      <c r="B2783" s="39" t="s">
        <v>4450</v>
      </c>
      <c r="C2783" s="40">
        <v>3</v>
      </c>
      <c r="D2783" s="38" t="s">
        <v>266</v>
      </c>
    </row>
    <row r="2784" spans="1:4" x14ac:dyDescent="0.25">
      <c r="A2784" s="41">
        <v>147000</v>
      </c>
      <c r="B2784" s="39" t="s">
        <v>884</v>
      </c>
      <c r="C2784" s="40">
        <v>3</v>
      </c>
      <c r="D2784" s="39" t="s">
        <v>883</v>
      </c>
    </row>
    <row r="2785" spans="1:4" x14ac:dyDescent="0.25">
      <c r="A2785" s="41">
        <v>147100</v>
      </c>
      <c r="B2785" s="39" t="s">
        <v>4451</v>
      </c>
      <c r="C2785" s="40">
        <v>3</v>
      </c>
      <c r="D2785" s="38" t="s">
        <v>266</v>
      </c>
    </row>
    <row r="2786" spans="1:4" x14ac:dyDescent="0.25">
      <c r="A2786" s="41">
        <v>147111</v>
      </c>
      <c r="B2786" s="39" t="s">
        <v>4452</v>
      </c>
      <c r="C2786" s="40">
        <v>4</v>
      </c>
      <c r="D2786" s="38" t="s">
        <v>266</v>
      </c>
    </row>
    <row r="2787" spans="1:4" x14ac:dyDescent="0.25">
      <c r="A2787" s="41">
        <v>147200</v>
      </c>
      <c r="B2787" s="39" t="s">
        <v>4453</v>
      </c>
      <c r="C2787" s="40">
        <v>3</v>
      </c>
      <c r="D2787" s="38" t="s">
        <v>266</v>
      </c>
    </row>
    <row r="2788" spans="1:4" x14ac:dyDescent="0.25">
      <c r="A2788" s="41">
        <v>147225</v>
      </c>
      <c r="B2788" s="39" t="s">
        <v>4454</v>
      </c>
      <c r="C2788" s="40">
        <v>4</v>
      </c>
      <c r="D2788" s="38" t="s">
        <v>266</v>
      </c>
    </row>
    <row r="2789" spans="1:4" x14ac:dyDescent="0.25">
      <c r="A2789" s="41">
        <v>147300</v>
      </c>
      <c r="B2789" s="39" t="s">
        <v>4455</v>
      </c>
      <c r="C2789" s="40">
        <v>3</v>
      </c>
      <c r="D2789" s="38" t="s">
        <v>266</v>
      </c>
    </row>
    <row r="2790" spans="1:4" x14ac:dyDescent="0.25">
      <c r="A2790" s="41">
        <v>147359</v>
      </c>
      <c r="B2790" s="39" t="s">
        <v>4456</v>
      </c>
      <c r="C2790" s="40">
        <v>4</v>
      </c>
      <c r="D2790" s="38" t="s">
        <v>266</v>
      </c>
    </row>
    <row r="2791" spans="1:4" x14ac:dyDescent="0.25">
      <c r="A2791" s="41">
        <v>147400</v>
      </c>
      <c r="B2791" s="39" t="s">
        <v>4457</v>
      </c>
      <c r="C2791" s="40">
        <v>3</v>
      </c>
      <c r="D2791" s="38" t="s">
        <v>266</v>
      </c>
    </row>
    <row r="2792" spans="1:4" x14ac:dyDescent="0.25">
      <c r="A2792" s="41">
        <v>147461</v>
      </c>
      <c r="B2792" s="39" t="s">
        <v>4458</v>
      </c>
      <c r="C2792" s="40">
        <v>4</v>
      </c>
      <c r="D2792" s="38" t="s">
        <v>266</v>
      </c>
    </row>
    <row r="2793" spans="1:4" x14ac:dyDescent="0.25">
      <c r="A2793" s="41">
        <v>148000</v>
      </c>
      <c r="B2793" s="39" t="s">
        <v>4459</v>
      </c>
      <c r="C2793" s="40">
        <v>3</v>
      </c>
      <c r="D2793" s="38" t="s">
        <v>266</v>
      </c>
    </row>
    <row r="2794" spans="1:4" x14ac:dyDescent="0.25">
      <c r="A2794" s="41">
        <v>148100</v>
      </c>
      <c r="B2794" s="39" t="s">
        <v>908</v>
      </c>
      <c r="C2794" s="40">
        <v>3</v>
      </c>
      <c r="D2794" s="38" t="s">
        <v>905</v>
      </c>
    </row>
    <row r="2795" spans="1:4" x14ac:dyDescent="0.25">
      <c r="A2795" s="41">
        <v>148113</v>
      </c>
      <c r="B2795" s="39" t="s">
        <v>4460</v>
      </c>
      <c r="C2795" s="40">
        <v>4</v>
      </c>
      <c r="D2795" s="38" t="s">
        <v>266</v>
      </c>
    </row>
    <row r="2796" spans="1:4" x14ac:dyDescent="0.25">
      <c r="A2796" s="41">
        <v>148116</v>
      </c>
      <c r="B2796" s="39" t="s">
        <v>4461</v>
      </c>
      <c r="C2796" s="40">
        <v>4</v>
      </c>
      <c r="D2796" s="38" t="s">
        <v>266</v>
      </c>
    </row>
    <row r="2797" spans="1:4" x14ac:dyDescent="0.25">
      <c r="A2797" s="41">
        <v>148119</v>
      </c>
      <c r="B2797" s="39" t="s">
        <v>4462</v>
      </c>
      <c r="C2797" s="40">
        <v>4</v>
      </c>
      <c r="D2797" s="38" t="s">
        <v>266</v>
      </c>
    </row>
    <row r="2798" spans="1:4" x14ac:dyDescent="0.25">
      <c r="A2798" s="41">
        <v>148200</v>
      </c>
      <c r="B2798" s="39" t="s">
        <v>910</v>
      </c>
      <c r="C2798" s="40">
        <v>3</v>
      </c>
      <c r="D2798" s="38" t="s">
        <v>909</v>
      </c>
    </row>
    <row r="2799" spans="1:4" x14ac:dyDescent="0.25">
      <c r="A2799" s="41">
        <v>148213</v>
      </c>
      <c r="B2799" s="39" t="s">
        <v>4463</v>
      </c>
      <c r="C2799" s="40">
        <v>4</v>
      </c>
      <c r="D2799" s="38" t="s">
        <v>266</v>
      </c>
    </row>
    <row r="2800" spans="1:4" x14ac:dyDescent="0.25">
      <c r="A2800" s="41">
        <v>148216</v>
      </c>
      <c r="B2800" s="39" t="s">
        <v>4464</v>
      </c>
      <c r="C2800" s="40">
        <v>4</v>
      </c>
      <c r="D2800" s="38" t="s">
        <v>266</v>
      </c>
    </row>
    <row r="2801" spans="1:4" x14ac:dyDescent="0.25">
      <c r="A2801" s="41">
        <v>148300</v>
      </c>
      <c r="B2801" s="39" t="s">
        <v>912</v>
      </c>
      <c r="C2801" s="40">
        <v>3</v>
      </c>
      <c r="D2801" s="38" t="s">
        <v>911</v>
      </c>
    </row>
    <row r="2802" spans="1:4" x14ac:dyDescent="0.25">
      <c r="A2802" s="41">
        <v>148313</v>
      </c>
      <c r="B2802" s="39" t="s">
        <v>4465</v>
      </c>
      <c r="C2802" s="40">
        <v>4</v>
      </c>
      <c r="D2802" s="38" t="s">
        <v>266</v>
      </c>
    </row>
    <row r="2803" spans="1:4" x14ac:dyDescent="0.25">
      <c r="A2803" s="42">
        <v>148313.13</v>
      </c>
      <c r="B2803" s="39" t="s">
        <v>4466</v>
      </c>
      <c r="C2803" s="40">
        <v>5</v>
      </c>
      <c r="D2803" s="38" t="s">
        <v>266</v>
      </c>
    </row>
    <row r="2804" spans="1:4" x14ac:dyDescent="0.25">
      <c r="A2804" s="42">
        <v>148313.16</v>
      </c>
      <c r="B2804" s="39" t="s">
        <v>4467</v>
      </c>
      <c r="C2804" s="40">
        <v>5</v>
      </c>
      <c r="D2804" s="38" t="s">
        <v>266</v>
      </c>
    </row>
    <row r="2805" spans="1:4" x14ac:dyDescent="0.25">
      <c r="A2805" s="41">
        <v>148316</v>
      </c>
      <c r="B2805" s="39" t="s">
        <v>4468</v>
      </c>
      <c r="C2805" s="40">
        <v>4</v>
      </c>
      <c r="D2805" s="38" t="s">
        <v>266</v>
      </c>
    </row>
    <row r="2806" spans="1:4" x14ac:dyDescent="0.25">
      <c r="A2806" s="41">
        <v>148319</v>
      </c>
      <c r="B2806" s="39" t="s">
        <v>4469</v>
      </c>
      <c r="C2806" s="40">
        <v>4</v>
      </c>
      <c r="D2806" s="38" t="s">
        <v>266</v>
      </c>
    </row>
    <row r="2807" spans="1:4" x14ac:dyDescent="0.25">
      <c r="A2807" s="41">
        <v>148400</v>
      </c>
      <c r="B2807" s="39" t="s">
        <v>914</v>
      </c>
      <c r="C2807" s="40">
        <v>3</v>
      </c>
      <c r="D2807" s="39" t="s">
        <v>913</v>
      </c>
    </row>
    <row r="2808" spans="1:4" x14ac:dyDescent="0.25">
      <c r="A2808" s="41">
        <v>148413</v>
      </c>
      <c r="B2808" s="39" t="s">
        <v>4470</v>
      </c>
      <c r="C2808" s="40">
        <v>4</v>
      </c>
      <c r="D2808" s="38" t="s">
        <v>266</v>
      </c>
    </row>
    <row r="2809" spans="1:4" x14ac:dyDescent="0.25">
      <c r="A2809" s="41">
        <v>148423</v>
      </c>
      <c r="B2809" s="39" t="s">
        <v>4471</v>
      </c>
      <c r="C2809" s="40">
        <v>4</v>
      </c>
      <c r="D2809" s="38" t="s">
        <v>266</v>
      </c>
    </row>
    <row r="2810" spans="1:4" x14ac:dyDescent="0.25">
      <c r="A2810" s="41">
        <v>149000</v>
      </c>
      <c r="B2810" s="39" t="s">
        <v>4472</v>
      </c>
      <c r="C2810" s="40">
        <v>3</v>
      </c>
      <c r="D2810" s="38" t="s">
        <v>266</v>
      </c>
    </row>
    <row r="2811" spans="1:4" x14ac:dyDescent="0.25">
      <c r="A2811" s="41">
        <v>149100</v>
      </c>
      <c r="B2811" s="39" t="s">
        <v>4473</v>
      </c>
      <c r="C2811" s="40">
        <v>3</v>
      </c>
      <c r="D2811" s="38" t="s">
        <v>266</v>
      </c>
    </row>
    <row r="2812" spans="1:4" x14ac:dyDescent="0.25">
      <c r="A2812" s="41">
        <v>149113</v>
      </c>
      <c r="B2812" s="39" t="s">
        <v>4474</v>
      </c>
      <c r="C2812" s="40">
        <v>4</v>
      </c>
      <c r="D2812" s="38" t="s">
        <v>266</v>
      </c>
    </row>
    <row r="2813" spans="1:4" x14ac:dyDescent="0.25">
      <c r="A2813" s="41">
        <v>149123</v>
      </c>
      <c r="B2813" s="39" t="s">
        <v>4475</v>
      </c>
      <c r="C2813" s="40">
        <v>4</v>
      </c>
      <c r="D2813" s="38" t="s">
        <v>266</v>
      </c>
    </row>
    <row r="2814" spans="1:4" x14ac:dyDescent="0.25">
      <c r="A2814" s="41">
        <v>149133</v>
      </c>
      <c r="B2814" s="39" t="s">
        <v>4476</v>
      </c>
      <c r="C2814" s="40">
        <v>4</v>
      </c>
      <c r="D2814" s="38" t="s">
        <v>266</v>
      </c>
    </row>
    <row r="2815" spans="1:4" x14ac:dyDescent="0.25">
      <c r="A2815" s="41">
        <v>149182</v>
      </c>
      <c r="B2815" s="39" t="s">
        <v>4477</v>
      </c>
      <c r="C2815" s="40">
        <v>4</v>
      </c>
      <c r="D2815" s="38" t="s">
        <v>266</v>
      </c>
    </row>
    <row r="2816" spans="1:4" x14ac:dyDescent="0.25">
      <c r="A2816" s="41">
        <v>149200</v>
      </c>
      <c r="B2816" s="39" t="s">
        <v>904</v>
      </c>
      <c r="C2816" s="40">
        <v>3</v>
      </c>
      <c r="D2816" s="38" t="s">
        <v>903</v>
      </c>
    </row>
    <row r="2817" spans="1:4" x14ac:dyDescent="0.25">
      <c r="A2817" s="41">
        <v>210000</v>
      </c>
      <c r="B2817" s="39" t="s">
        <v>1032</v>
      </c>
      <c r="C2817" s="40">
        <v>2</v>
      </c>
      <c r="D2817" s="38" t="s">
        <v>1031</v>
      </c>
    </row>
    <row r="2818" spans="1:4" x14ac:dyDescent="0.25">
      <c r="A2818" s="41">
        <v>210100</v>
      </c>
      <c r="B2818" s="39" t="s">
        <v>4478</v>
      </c>
      <c r="C2818" s="40">
        <v>3</v>
      </c>
      <c r="D2818" s="38" t="s">
        <v>266</v>
      </c>
    </row>
    <row r="2819" spans="1:4" x14ac:dyDescent="0.25">
      <c r="A2819" s="41">
        <v>210110</v>
      </c>
      <c r="B2819" s="39" t="s">
        <v>4479</v>
      </c>
      <c r="C2819" s="40">
        <v>4</v>
      </c>
      <c r="D2819" s="38" t="s">
        <v>266</v>
      </c>
    </row>
    <row r="2820" spans="1:4" x14ac:dyDescent="0.25">
      <c r="A2820" s="41">
        <v>210120</v>
      </c>
      <c r="B2820" s="39" t="s">
        <v>4480</v>
      </c>
      <c r="C2820" s="40">
        <v>4</v>
      </c>
      <c r="D2820" s="38" t="s">
        <v>266</v>
      </c>
    </row>
    <row r="2821" spans="1:4" x14ac:dyDescent="0.25">
      <c r="A2821" s="41">
        <v>210130</v>
      </c>
      <c r="B2821" s="39" t="s">
        <v>4481</v>
      </c>
      <c r="C2821" s="40">
        <v>4</v>
      </c>
      <c r="D2821" s="38" t="s">
        <v>266</v>
      </c>
    </row>
    <row r="2822" spans="1:4" x14ac:dyDescent="0.25">
      <c r="A2822" s="41">
        <v>210500</v>
      </c>
      <c r="B2822" s="39" t="s">
        <v>4482</v>
      </c>
      <c r="C2822" s="40">
        <v>3</v>
      </c>
      <c r="D2822" s="38" t="s">
        <v>266</v>
      </c>
    </row>
    <row r="2823" spans="1:4" x14ac:dyDescent="0.25">
      <c r="A2823" s="41">
        <v>210513</v>
      </c>
      <c r="B2823" s="39" t="s">
        <v>4483</v>
      </c>
      <c r="C2823" s="40">
        <v>4</v>
      </c>
      <c r="D2823" s="38" t="s">
        <v>266</v>
      </c>
    </row>
    <row r="2824" spans="1:4" x14ac:dyDescent="0.25">
      <c r="A2824" s="41">
        <v>210516</v>
      </c>
      <c r="B2824" s="39" t="s">
        <v>4484</v>
      </c>
      <c r="C2824" s="40">
        <v>4</v>
      </c>
      <c r="D2824" s="38" t="s">
        <v>266</v>
      </c>
    </row>
    <row r="2825" spans="1:4" x14ac:dyDescent="0.25">
      <c r="A2825" s="41">
        <v>210519</v>
      </c>
      <c r="B2825" s="39" t="s">
        <v>4485</v>
      </c>
      <c r="C2825" s="40">
        <v>4</v>
      </c>
      <c r="D2825" s="38" t="s">
        <v>266</v>
      </c>
    </row>
    <row r="2826" spans="1:4" x14ac:dyDescent="0.25">
      <c r="A2826" s="41">
        <v>210523</v>
      </c>
      <c r="B2826" s="39" t="s">
        <v>4486</v>
      </c>
      <c r="C2826" s="40">
        <v>4</v>
      </c>
      <c r="D2826" s="38" t="s">
        <v>266</v>
      </c>
    </row>
    <row r="2827" spans="1:4" x14ac:dyDescent="0.25">
      <c r="A2827" s="41">
        <v>210529</v>
      </c>
      <c r="B2827" s="39" t="s">
        <v>4487</v>
      </c>
      <c r="C2827" s="40">
        <v>4</v>
      </c>
      <c r="D2827" s="38" t="s">
        <v>266</v>
      </c>
    </row>
    <row r="2828" spans="1:4" x14ac:dyDescent="0.25">
      <c r="A2828" s="41">
        <v>210533</v>
      </c>
      <c r="B2828" s="39" t="s">
        <v>4488</v>
      </c>
      <c r="C2828" s="40">
        <v>4</v>
      </c>
      <c r="D2828" s="38" t="s">
        <v>266</v>
      </c>
    </row>
    <row r="2829" spans="1:4" x14ac:dyDescent="0.25">
      <c r="A2829" s="41">
        <v>210548</v>
      </c>
      <c r="B2829" s="39" t="s">
        <v>4489</v>
      </c>
      <c r="C2829" s="40">
        <v>4</v>
      </c>
      <c r="D2829" s="38" t="s">
        <v>266</v>
      </c>
    </row>
    <row r="2830" spans="1:4" x14ac:dyDescent="0.25">
      <c r="A2830" s="41">
        <v>210553</v>
      </c>
      <c r="B2830" s="39" t="s">
        <v>4490</v>
      </c>
      <c r="C2830" s="40">
        <v>4</v>
      </c>
      <c r="D2830" s="38" t="s">
        <v>266</v>
      </c>
    </row>
    <row r="2831" spans="1:4" x14ac:dyDescent="0.25">
      <c r="A2831" s="41">
        <v>210700</v>
      </c>
      <c r="B2831" s="39" t="s">
        <v>4491</v>
      </c>
      <c r="C2831" s="40">
        <v>3</v>
      </c>
      <c r="D2831" s="38" t="s">
        <v>266</v>
      </c>
    </row>
    <row r="2832" spans="1:4" x14ac:dyDescent="0.25">
      <c r="A2832" s="41">
        <v>210716</v>
      </c>
      <c r="B2832" s="39" t="s">
        <v>4492</v>
      </c>
      <c r="C2832" s="40">
        <v>4</v>
      </c>
      <c r="D2832" s="38" t="s">
        <v>266</v>
      </c>
    </row>
    <row r="2833" spans="1:4" x14ac:dyDescent="0.25">
      <c r="A2833" s="41">
        <v>210719</v>
      </c>
      <c r="B2833" s="39" t="s">
        <v>4493</v>
      </c>
      <c r="C2833" s="40">
        <v>4</v>
      </c>
      <c r="D2833" s="38" t="s">
        <v>266</v>
      </c>
    </row>
    <row r="2834" spans="1:4" x14ac:dyDescent="0.25">
      <c r="A2834" s="41">
        <v>210800</v>
      </c>
      <c r="B2834" s="39" t="s">
        <v>4494</v>
      </c>
      <c r="C2834" s="40">
        <v>3</v>
      </c>
      <c r="D2834" s="38" t="s">
        <v>266</v>
      </c>
    </row>
    <row r="2835" spans="1:4" x14ac:dyDescent="0.25">
      <c r="A2835" s="41">
        <v>210900</v>
      </c>
      <c r="B2835" s="39" t="s">
        <v>4495</v>
      </c>
      <c r="C2835" s="40">
        <v>3</v>
      </c>
      <c r="D2835" s="38" t="s">
        <v>266</v>
      </c>
    </row>
    <row r="2836" spans="1:4" x14ac:dyDescent="0.25">
      <c r="A2836" s="41">
        <v>211000</v>
      </c>
      <c r="B2836" s="39" t="s">
        <v>4496</v>
      </c>
      <c r="C2836" s="40">
        <v>3</v>
      </c>
      <c r="D2836" s="38" t="s">
        <v>266</v>
      </c>
    </row>
    <row r="2837" spans="1:4" x14ac:dyDescent="0.25">
      <c r="A2837" s="41">
        <v>211100</v>
      </c>
      <c r="B2837" s="39" t="s">
        <v>4497</v>
      </c>
      <c r="C2837" s="40">
        <v>3</v>
      </c>
      <c r="D2837" s="38" t="s">
        <v>266</v>
      </c>
    </row>
    <row r="2838" spans="1:4" x14ac:dyDescent="0.25">
      <c r="A2838" s="41">
        <v>211116</v>
      </c>
      <c r="B2838" s="39" t="s">
        <v>4498</v>
      </c>
      <c r="C2838" s="40">
        <v>4</v>
      </c>
      <c r="D2838" s="38" t="s">
        <v>266</v>
      </c>
    </row>
    <row r="2839" spans="1:4" x14ac:dyDescent="0.25">
      <c r="A2839" s="41">
        <v>211119</v>
      </c>
      <c r="B2839" s="39" t="s">
        <v>4499</v>
      </c>
      <c r="C2839" s="40">
        <v>4</v>
      </c>
      <c r="D2839" s="38" t="s">
        <v>266</v>
      </c>
    </row>
    <row r="2840" spans="1:4" x14ac:dyDescent="0.25">
      <c r="A2840" s="41">
        <v>211200</v>
      </c>
      <c r="B2840" s="39" t="s">
        <v>4500</v>
      </c>
      <c r="C2840" s="40">
        <v>3</v>
      </c>
      <c r="D2840" s="38" t="s">
        <v>266</v>
      </c>
    </row>
    <row r="2841" spans="1:4" x14ac:dyDescent="0.25">
      <c r="A2841" s="41">
        <v>211213</v>
      </c>
      <c r="B2841" s="39" t="s">
        <v>4501</v>
      </c>
      <c r="C2841" s="40">
        <v>4</v>
      </c>
      <c r="D2841" s="38" t="s">
        <v>266</v>
      </c>
    </row>
    <row r="2842" spans="1:4" x14ac:dyDescent="0.25">
      <c r="A2842" s="41">
        <v>211216</v>
      </c>
      <c r="B2842" s="39" t="s">
        <v>4502</v>
      </c>
      <c r="C2842" s="40">
        <v>4</v>
      </c>
      <c r="D2842" s="38" t="s">
        <v>266</v>
      </c>
    </row>
    <row r="2843" spans="1:4" x14ac:dyDescent="0.25">
      <c r="A2843" s="41">
        <v>211219</v>
      </c>
      <c r="B2843" s="39" t="s">
        <v>4503</v>
      </c>
      <c r="C2843" s="40">
        <v>4</v>
      </c>
      <c r="D2843" s="38" t="s">
        <v>266</v>
      </c>
    </row>
    <row r="2844" spans="1:4" x14ac:dyDescent="0.25">
      <c r="A2844" s="41">
        <v>211223</v>
      </c>
      <c r="B2844" s="39" t="s">
        <v>4504</v>
      </c>
      <c r="C2844" s="40">
        <v>4</v>
      </c>
      <c r="D2844" s="38" t="s">
        <v>266</v>
      </c>
    </row>
    <row r="2845" spans="1:4" x14ac:dyDescent="0.25">
      <c r="A2845" s="41">
        <v>211300</v>
      </c>
      <c r="B2845" s="39" t="s">
        <v>4505</v>
      </c>
      <c r="C2845" s="40">
        <v>3</v>
      </c>
      <c r="D2845" s="38" t="s">
        <v>266</v>
      </c>
    </row>
    <row r="2846" spans="1:4" x14ac:dyDescent="0.25">
      <c r="A2846" s="41">
        <v>211313</v>
      </c>
      <c r="B2846" s="39" t="s">
        <v>4506</v>
      </c>
      <c r="C2846" s="40">
        <v>4</v>
      </c>
      <c r="D2846" s="38" t="s">
        <v>266</v>
      </c>
    </row>
    <row r="2847" spans="1:4" x14ac:dyDescent="0.25">
      <c r="A2847" s="41">
        <v>211316</v>
      </c>
      <c r="B2847" s="39" t="s">
        <v>4507</v>
      </c>
      <c r="C2847" s="40">
        <v>4</v>
      </c>
      <c r="D2847" s="38" t="s">
        <v>266</v>
      </c>
    </row>
    <row r="2848" spans="1:4" x14ac:dyDescent="0.25">
      <c r="A2848" s="41">
        <v>211319</v>
      </c>
      <c r="B2848" s="39" t="s">
        <v>4508</v>
      </c>
      <c r="C2848" s="40">
        <v>4</v>
      </c>
      <c r="D2848" s="38" t="s">
        <v>266</v>
      </c>
    </row>
    <row r="2849" spans="1:4" x14ac:dyDescent="0.25">
      <c r="A2849" s="41">
        <v>211323</v>
      </c>
      <c r="B2849" s="39" t="s">
        <v>4509</v>
      </c>
      <c r="C2849" s="40">
        <v>4</v>
      </c>
      <c r="D2849" s="38" t="s">
        <v>266</v>
      </c>
    </row>
    <row r="2850" spans="1:4" x14ac:dyDescent="0.25">
      <c r="A2850" s="41">
        <v>211326</v>
      </c>
      <c r="B2850" s="39" t="s">
        <v>4510</v>
      </c>
      <c r="C2850" s="40">
        <v>4</v>
      </c>
      <c r="D2850" s="38" t="s">
        <v>266</v>
      </c>
    </row>
    <row r="2851" spans="1:4" x14ac:dyDescent="0.25">
      <c r="A2851" s="41">
        <v>211329</v>
      </c>
      <c r="B2851" s="39" t="s">
        <v>4511</v>
      </c>
      <c r="C2851" s="40">
        <v>4</v>
      </c>
      <c r="D2851" s="38" t="s">
        <v>266</v>
      </c>
    </row>
    <row r="2852" spans="1:4" x14ac:dyDescent="0.25">
      <c r="A2852" s="41">
        <v>211336</v>
      </c>
      <c r="B2852" s="39" t="s">
        <v>4512</v>
      </c>
      <c r="C2852" s="40">
        <v>4</v>
      </c>
      <c r="D2852" s="38" t="s">
        <v>266</v>
      </c>
    </row>
    <row r="2853" spans="1:4" x14ac:dyDescent="0.25">
      <c r="A2853" s="41">
        <v>211339</v>
      </c>
      <c r="B2853" s="39" t="s">
        <v>4513</v>
      </c>
      <c r="C2853" s="40">
        <v>4</v>
      </c>
      <c r="D2853" s="38" t="s">
        <v>266</v>
      </c>
    </row>
    <row r="2854" spans="1:4" x14ac:dyDescent="0.25">
      <c r="A2854" s="41">
        <v>211600</v>
      </c>
      <c r="B2854" s="39" t="s">
        <v>4514</v>
      </c>
      <c r="C2854" s="40">
        <v>3</v>
      </c>
      <c r="D2854" s="38" t="s">
        <v>266</v>
      </c>
    </row>
    <row r="2855" spans="1:4" x14ac:dyDescent="0.25">
      <c r="A2855" s="41">
        <v>212000</v>
      </c>
      <c r="B2855" s="39" t="s">
        <v>4515</v>
      </c>
      <c r="C2855" s="40">
        <v>3</v>
      </c>
      <c r="D2855" s="38" t="s">
        <v>266</v>
      </c>
    </row>
    <row r="2856" spans="1:4" x14ac:dyDescent="0.25">
      <c r="A2856" s="41">
        <v>212100</v>
      </c>
      <c r="B2856" s="39" t="s">
        <v>4516</v>
      </c>
      <c r="C2856" s="40">
        <v>3</v>
      </c>
      <c r="D2856" s="38" t="s">
        <v>266</v>
      </c>
    </row>
    <row r="2857" spans="1:4" x14ac:dyDescent="0.25">
      <c r="A2857" s="41">
        <v>212113</v>
      </c>
      <c r="B2857" s="39" t="s">
        <v>4517</v>
      </c>
      <c r="C2857" s="40">
        <v>4</v>
      </c>
      <c r="D2857" s="38" t="s">
        <v>266</v>
      </c>
    </row>
    <row r="2858" spans="1:4" x14ac:dyDescent="0.25">
      <c r="A2858" s="41">
        <v>212116</v>
      </c>
      <c r="B2858" s="39" t="s">
        <v>4518</v>
      </c>
      <c r="C2858" s="40">
        <v>4</v>
      </c>
      <c r="D2858" s="38" t="s">
        <v>266</v>
      </c>
    </row>
    <row r="2859" spans="1:4" x14ac:dyDescent="0.25">
      <c r="A2859" s="41">
        <v>212200</v>
      </c>
      <c r="B2859" s="39" t="s">
        <v>4519</v>
      </c>
      <c r="C2859" s="40">
        <v>3</v>
      </c>
      <c r="D2859" s="38" t="s">
        <v>266</v>
      </c>
    </row>
    <row r="2860" spans="1:4" x14ac:dyDescent="0.25">
      <c r="A2860" s="41">
        <v>212213</v>
      </c>
      <c r="B2860" s="39" t="s">
        <v>4520</v>
      </c>
      <c r="C2860" s="40">
        <v>4</v>
      </c>
      <c r="D2860" s="38" t="s">
        <v>266</v>
      </c>
    </row>
    <row r="2861" spans="1:4" x14ac:dyDescent="0.25">
      <c r="A2861" s="41">
        <v>212216</v>
      </c>
      <c r="B2861" s="39" t="s">
        <v>4521</v>
      </c>
      <c r="C2861" s="40">
        <v>4</v>
      </c>
      <c r="D2861" s="38" t="s">
        <v>266</v>
      </c>
    </row>
    <row r="2862" spans="1:4" x14ac:dyDescent="0.25">
      <c r="A2862" s="41">
        <v>212300</v>
      </c>
      <c r="B2862" s="39" t="s">
        <v>4522</v>
      </c>
      <c r="C2862" s="40">
        <v>3</v>
      </c>
      <c r="D2862" s="38" t="s">
        <v>266</v>
      </c>
    </row>
    <row r="2863" spans="1:4" x14ac:dyDescent="0.25">
      <c r="A2863" s="41">
        <v>212313</v>
      </c>
      <c r="B2863" s="39" t="s">
        <v>4523</v>
      </c>
      <c r="C2863" s="40">
        <v>4</v>
      </c>
      <c r="D2863" s="38" t="s">
        <v>266</v>
      </c>
    </row>
    <row r="2864" spans="1:4" x14ac:dyDescent="0.25">
      <c r="A2864" s="41">
        <v>212316</v>
      </c>
      <c r="B2864" s="39" t="s">
        <v>4524</v>
      </c>
      <c r="C2864" s="40">
        <v>4</v>
      </c>
      <c r="D2864" s="38" t="s">
        <v>266</v>
      </c>
    </row>
    <row r="2865" spans="1:4" x14ac:dyDescent="0.25">
      <c r="A2865" s="41">
        <v>212400</v>
      </c>
      <c r="B2865" s="39" t="s">
        <v>4525</v>
      </c>
      <c r="C2865" s="40">
        <v>3</v>
      </c>
      <c r="D2865" s="38" t="s">
        <v>266</v>
      </c>
    </row>
    <row r="2866" spans="1:4" x14ac:dyDescent="0.25">
      <c r="A2866" s="41">
        <v>212413</v>
      </c>
      <c r="B2866" s="39" t="s">
        <v>4526</v>
      </c>
      <c r="C2866" s="40">
        <v>4</v>
      </c>
      <c r="D2866" s="38" t="s">
        <v>266</v>
      </c>
    </row>
    <row r="2867" spans="1:4" x14ac:dyDescent="0.25">
      <c r="A2867" s="41">
        <v>212416</v>
      </c>
      <c r="B2867" s="39" t="s">
        <v>4527</v>
      </c>
      <c r="C2867" s="40">
        <v>4</v>
      </c>
      <c r="D2867" s="38" t="s">
        <v>266</v>
      </c>
    </row>
    <row r="2868" spans="1:4" x14ac:dyDescent="0.25">
      <c r="A2868" s="41">
        <v>213000</v>
      </c>
      <c r="B2868" s="39" t="s">
        <v>4528</v>
      </c>
      <c r="C2868" s="40">
        <v>3</v>
      </c>
      <c r="D2868" s="38" t="s">
        <v>266</v>
      </c>
    </row>
    <row r="2869" spans="1:4" x14ac:dyDescent="0.25">
      <c r="A2869" s="41">
        <v>213100</v>
      </c>
      <c r="B2869" s="39" t="s">
        <v>4529</v>
      </c>
      <c r="C2869" s="40">
        <v>3</v>
      </c>
      <c r="D2869" s="38" t="s">
        <v>266</v>
      </c>
    </row>
    <row r="2870" spans="1:4" x14ac:dyDescent="0.25">
      <c r="A2870" s="41">
        <v>213113</v>
      </c>
      <c r="B2870" s="39" t="s">
        <v>4530</v>
      </c>
      <c r="C2870" s="40">
        <v>4</v>
      </c>
      <c r="D2870" s="38" t="s">
        <v>266</v>
      </c>
    </row>
    <row r="2871" spans="1:4" x14ac:dyDescent="0.25">
      <c r="A2871" s="41">
        <v>213116</v>
      </c>
      <c r="B2871" s="39" t="s">
        <v>4531</v>
      </c>
      <c r="C2871" s="40">
        <v>4</v>
      </c>
      <c r="D2871" s="38" t="s">
        <v>266</v>
      </c>
    </row>
    <row r="2872" spans="1:4" x14ac:dyDescent="0.25">
      <c r="A2872" s="41">
        <v>213200</v>
      </c>
      <c r="B2872" s="39" t="s">
        <v>4532</v>
      </c>
      <c r="C2872" s="40">
        <v>3</v>
      </c>
      <c r="D2872" s="38" t="s">
        <v>266</v>
      </c>
    </row>
    <row r="2873" spans="1:4" x14ac:dyDescent="0.25">
      <c r="A2873" s="41">
        <v>213213</v>
      </c>
      <c r="B2873" s="39" t="s">
        <v>4533</v>
      </c>
      <c r="C2873" s="40">
        <v>4</v>
      </c>
      <c r="D2873" s="38" t="s">
        <v>266</v>
      </c>
    </row>
    <row r="2874" spans="1:4" x14ac:dyDescent="0.25">
      <c r="A2874" s="41">
        <v>213216</v>
      </c>
      <c r="B2874" s="39" t="s">
        <v>4534</v>
      </c>
      <c r="C2874" s="40">
        <v>4</v>
      </c>
      <c r="D2874" s="38" t="s">
        <v>266</v>
      </c>
    </row>
    <row r="2875" spans="1:4" x14ac:dyDescent="0.25">
      <c r="A2875" s="41">
        <v>213300</v>
      </c>
      <c r="B2875" s="39" t="s">
        <v>4535</v>
      </c>
      <c r="C2875" s="40">
        <v>3</v>
      </c>
      <c r="D2875" s="38" t="s">
        <v>266</v>
      </c>
    </row>
    <row r="2876" spans="1:4" x14ac:dyDescent="0.25">
      <c r="A2876" s="41">
        <v>213313</v>
      </c>
      <c r="B2876" s="39" t="s">
        <v>4536</v>
      </c>
      <c r="C2876" s="40">
        <v>4</v>
      </c>
      <c r="D2876" s="38" t="s">
        <v>266</v>
      </c>
    </row>
    <row r="2877" spans="1:4" x14ac:dyDescent="0.25">
      <c r="A2877" s="41">
        <v>213316</v>
      </c>
      <c r="B2877" s="39" t="s">
        <v>4537</v>
      </c>
      <c r="C2877" s="40">
        <v>4</v>
      </c>
      <c r="D2877" s="38" t="s">
        <v>266</v>
      </c>
    </row>
    <row r="2878" spans="1:4" x14ac:dyDescent="0.25">
      <c r="A2878" s="41">
        <v>214000</v>
      </c>
      <c r="B2878" s="39" t="s">
        <v>4538</v>
      </c>
      <c r="C2878" s="40">
        <v>3</v>
      </c>
      <c r="D2878" s="38" t="s">
        <v>266</v>
      </c>
    </row>
    <row r="2879" spans="1:4" x14ac:dyDescent="0.25">
      <c r="A2879" s="41">
        <v>214100</v>
      </c>
      <c r="B2879" s="39" t="s">
        <v>4539</v>
      </c>
      <c r="C2879" s="40">
        <v>3</v>
      </c>
      <c r="D2879" s="38" t="s">
        <v>266</v>
      </c>
    </row>
    <row r="2880" spans="1:4" x14ac:dyDescent="0.25">
      <c r="A2880" s="41">
        <v>214113</v>
      </c>
      <c r="B2880" s="39" t="s">
        <v>4540</v>
      </c>
      <c r="C2880" s="40">
        <v>4</v>
      </c>
      <c r="D2880" s="38" t="s">
        <v>266</v>
      </c>
    </row>
    <row r="2881" spans="1:4" x14ac:dyDescent="0.25">
      <c r="A2881" s="41">
        <v>214116</v>
      </c>
      <c r="B2881" s="39" t="s">
        <v>4541</v>
      </c>
      <c r="C2881" s="40">
        <v>4</v>
      </c>
      <c r="D2881" s="38" t="s">
        <v>266</v>
      </c>
    </row>
    <row r="2882" spans="1:4" x14ac:dyDescent="0.25">
      <c r="A2882" s="41">
        <v>214119</v>
      </c>
      <c r="B2882" s="39" t="s">
        <v>4542</v>
      </c>
      <c r="C2882" s="40">
        <v>4</v>
      </c>
      <c r="D2882" s="38" t="s">
        <v>266</v>
      </c>
    </row>
    <row r="2883" spans="1:4" x14ac:dyDescent="0.25">
      <c r="A2883" s="41">
        <v>214123</v>
      </c>
      <c r="B2883" s="39" t="s">
        <v>4543</v>
      </c>
      <c r="C2883" s="40">
        <v>4</v>
      </c>
      <c r="D2883" s="38" t="s">
        <v>266</v>
      </c>
    </row>
    <row r="2884" spans="1:4" x14ac:dyDescent="0.25">
      <c r="A2884" s="41">
        <v>214126</v>
      </c>
      <c r="B2884" s="39" t="s">
        <v>4544</v>
      </c>
      <c r="C2884" s="40">
        <v>4</v>
      </c>
      <c r="D2884" s="38" t="s">
        <v>266</v>
      </c>
    </row>
    <row r="2885" spans="1:4" x14ac:dyDescent="0.25">
      <c r="A2885" s="41">
        <v>214129</v>
      </c>
      <c r="B2885" s="39" t="s">
        <v>4545</v>
      </c>
      <c r="C2885" s="40">
        <v>4</v>
      </c>
      <c r="D2885" s="38" t="s">
        <v>266</v>
      </c>
    </row>
    <row r="2886" spans="1:4" x14ac:dyDescent="0.25">
      <c r="A2886" s="41">
        <v>220000</v>
      </c>
      <c r="B2886" s="39" t="s">
        <v>918</v>
      </c>
      <c r="C2886" s="40">
        <v>2</v>
      </c>
      <c r="D2886" s="38" t="s">
        <v>917</v>
      </c>
    </row>
    <row r="2887" spans="1:4" x14ac:dyDescent="0.25">
      <c r="A2887" s="41">
        <v>220100</v>
      </c>
      <c r="B2887" s="39" t="s">
        <v>4546</v>
      </c>
      <c r="C2887" s="40">
        <v>3</v>
      </c>
      <c r="D2887" s="38" t="s">
        <v>266</v>
      </c>
    </row>
    <row r="2888" spans="1:4" x14ac:dyDescent="0.25">
      <c r="A2888" s="41">
        <v>220110</v>
      </c>
      <c r="B2888" s="39" t="s">
        <v>4547</v>
      </c>
      <c r="C2888" s="40">
        <v>4</v>
      </c>
      <c r="D2888" s="38" t="s">
        <v>266</v>
      </c>
    </row>
    <row r="2889" spans="1:4" x14ac:dyDescent="0.25">
      <c r="A2889" s="41">
        <v>220130</v>
      </c>
      <c r="B2889" s="39" t="s">
        <v>4548</v>
      </c>
      <c r="C2889" s="40">
        <v>4</v>
      </c>
      <c r="D2889" s="38" t="s">
        <v>266</v>
      </c>
    </row>
    <row r="2890" spans="1:4" x14ac:dyDescent="0.25">
      <c r="A2890" s="41">
        <v>220140</v>
      </c>
      <c r="B2890" s="39" t="s">
        <v>4549</v>
      </c>
      <c r="C2890" s="40">
        <v>4</v>
      </c>
      <c r="D2890" s="38" t="s">
        <v>266</v>
      </c>
    </row>
    <row r="2891" spans="1:4" x14ac:dyDescent="0.25">
      <c r="A2891" s="41">
        <v>220150</v>
      </c>
      <c r="B2891" s="39" t="s">
        <v>4550</v>
      </c>
      <c r="C2891" s="40">
        <v>4</v>
      </c>
      <c r="D2891" s="38" t="s">
        <v>266</v>
      </c>
    </row>
    <row r="2892" spans="1:4" x14ac:dyDescent="0.25">
      <c r="A2892" s="41">
        <v>220160</v>
      </c>
      <c r="B2892" s="39" t="s">
        <v>4551</v>
      </c>
      <c r="C2892" s="40">
        <v>4</v>
      </c>
      <c r="D2892" s="38" t="s">
        <v>266</v>
      </c>
    </row>
    <row r="2893" spans="1:4" x14ac:dyDescent="0.25">
      <c r="A2893" s="41">
        <v>220500</v>
      </c>
      <c r="B2893" s="39" t="s">
        <v>4552</v>
      </c>
      <c r="C2893" s="40">
        <v>3</v>
      </c>
      <c r="D2893" s="38" t="s">
        <v>266</v>
      </c>
    </row>
    <row r="2894" spans="1:4" x14ac:dyDescent="0.25">
      <c r="A2894" s="41">
        <v>220513</v>
      </c>
      <c r="B2894" s="39" t="s">
        <v>4553</v>
      </c>
      <c r="C2894" s="40">
        <v>4</v>
      </c>
      <c r="D2894" s="38" t="s">
        <v>266</v>
      </c>
    </row>
    <row r="2895" spans="1:4" x14ac:dyDescent="0.25">
      <c r="A2895" s="41">
        <v>220516</v>
      </c>
      <c r="B2895" s="39" t="s">
        <v>4554</v>
      </c>
      <c r="C2895" s="40">
        <v>4</v>
      </c>
      <c r="D2895" s="38" t="s">
        <v>266</v>
      </c>
    </row>
    <row r="2896" spans="1:4" x14ac:dyDescent="0.25">
      <c r="A2896" s="41">
        <v>220519</v>
      </c>
      <c r="B2896" s="39" t="s">
        <v>4555</v>
      </c>
      <c r="C2896" s="40">
        <v>4</v>
      </c>
      <c r="D2896" s="38" t="s">
        <v>266</v>
      </c>
    </row>
    <row r="2897" spans="1:4" x14ac:dyDescent="0.25">
      <c r="A2897" s="41">
        <v>220523</v>
      </c>
      <c r="B2897" s="39" t="s">
        <v>4556</v>
      </c>
      <c r="C2897" s="40">
        <v>4</v>
      </c>
      <c r="D2897" s="38" t="s">
        <v>266</v>
      </c>
    </row>
    <row r="2898" spans="1:4" x14ac:dyDescent="0.25">
      <c r="A2898" s="41">
        <v>220529</v>
      </c>
      <c r="B2898" s="39" t="s">
        <v>4557</v>
      </c>
      <c r="C2898" s="40">
        <v>4</v>
      </c>
      <c r="D2898" s="38" t="s">
        <v>266</v>
      </c>
    </row>
    <row r="2899" spans="1:4" x14ac:dyDescent="0.25">
      <c r="A2899" s="41">
        <v>220533</v>
      </c>
      <c r="B2899" s="39" t="s">
        <v>4558</v>
      </c>
      <c r="C2899" s="40">
        <v>4</v>
      </c>
      <c r="D2899" s="38" t="s">
        <v>266</v>
      </c>
    </row>
    <row r="2900" spans="1:4" x14ac:dyDescent="0.25">
      <c r="A2900" s="41">
        <v>220548</v>
      </c>
      <c r="B2900" s="39" t="s">
        <v>4559</v>
      </c>
      <c r="C2900" s="40">
        <v>4</v>
      </c>
      <c r="D2900" s="38" t="s">
        <v>266</v>
      </c>
    </row>
    <row r="2901" spans="1:4" x14ac:dyDescent="0.25">
      <c r="A2901" s="41">
        <v>220553</v>
      </c>
      <c r="B2901" s="39" t="s">
        <v>4560</v>
      </c>
      <c r="C2901" s="40">
        <v>4</v>
      </c>
      <c r="D2901" s="38" t="s">
        <v>266</v>
      </c>
    </row>
    <row r="2902" spans="1:4" x14ac:dyDescent="0.25">
      <c r="A2902" s="41">
        <v>220573</v>
      </c>
      <c r="B2902" s="39" t="s">
        <v>4561</v>
      </c>
      <c r="C2902" s="40">
        <v>4</v>
      </c>
      <c r="D2902" s="38" t="s">
        <v>266</v>
      </c>
    </row>
    <row r="2903" spans="1:4" x14ac:dyDescent="0.25">
      <c r="A2903" s="41">
        <v>220576</v>
      </c>
      <c r="B2903" s="39" t="s">
        <v>4562</v>
      </c>
      <c r="C2903" s="40">
        <v>4</v>
      </c>
      <c r="D2903" s="38" t="s">
        <v>266</v>
      </c>
    </row>
    <row r="2904" spans="1:4" x14ac:dyDescent="0.25">
      <c r="A2904" s="41">
        <v>220700</v>
      </c>
      <c r="B2904" s="39" t="s">
        <v>4563</v>
      </c>
      <c r="C2904" s="40">
        <v>3</v>
      </c>
      <c r="D2904" s="38" t="s">
        <v>266</v>
      </c>
    </row>
    <row r="2905" spans="1:4" x14ac:dyDescent="0.25">
      <c r="A2905" s="41">
        <v>220716</v>
      </c>
      <c r="B2905" s="39" t="s">
        <v>4564</v>
      </c>
      <c r="C2905" s="40">
        <v>4</v>
      </c>
      <c r="D2905" s="38" t="s">
        <v>266</v>
      </c>
    </row>
    <row r="2906" spans="1:4" x14ac:dyDescent="0.25">
      <c r="A2906" s="41">
        <v>220719</v>
      </c>
      <c r="B2906" s="39" t="s">
        <v>4565</v>
      </c>
      <c r="C2906" s="40">
        <v>4</v>
      </c>
      <c r="D2906" s="38" t="s">
        <v>266</v>
      </c>
    </row>
    <row r="2907" spans="1:4" x14ac:dyDescent="0.25">
      <c r="A2907" s="41">
        <v>220800</v>
      </c>
      <c r="B2907" s="39" t="s">
        <v>4566</v>
      </c>
      <c r="C2907" s="40">
        <v>3</v>
      </c>
      <c r="D2907" s="38" t="s">
        <v>266</v>
      </c>
    </row>
    <row r="2908" spans="1:4" x14ac:dyDescent="0.25">
      <c r="A2908" s="41">
        <v>220900</v>
      </c>
      <c r="B2908" s="39" t="s">
        <v>4567</v>
      </c>
      <c r="C2908" s="40">
        <v>3</v>
      </c>
      <c r="D2908" s="38" t="s">
        <v>266</v>
      </c>
    </row>
    <row r="2909" spans="1:4" x14ac:dyDescent="0.25">
      <c r="A2909" s="41">
        <v>221000</v>
      </c>
      <c r="B2909" s="39" t="s">
        <v>4568</v>
      </c>
      <c r="C2909" s="40">
        <v>3</v>
      </c>
      <c r="D2909" s="38" t="s">
        <v>266</v>
      </c>
    </row>
    <row r="2910" spans="1:4" x14ac:dyDescent="0.25">
      <c r="A2910" s="41">
        <v>221100</v>
      </c>
      <c r="B2910" s="39" t="s">
        <v>4569</v>
      </c>
      <c r="C2910" s="40">
        <v>3</v>
      </c>
      <c r="D2910" s="38" t="s">
        <v>919</v>
      </c>
    </row>
    <row r="2911" spans="1:4" x14ac:dyDescent="0.25">
      <c r="A2911" s="41">
        <v>221113</v>
      </c>
      <c r="B2911" s="39" t="s">
        <v>4570</v>
      </c>
      <c r="C2911" s="40">
        <v>4</v>
      </c>
      <c r="D2911" s="38" t="s">
        <v>266</v>
      </c>
    </row>
    <row r="2912" spans="1:4" x14ac:dyDescent="0.25">
      <c r="A2912" s="41">
        <v>221116</v>
      </c>
      <c r="B2912" s="39" t="s">
        <v>926</v>
      </c>
      <c r="C2912" s="40">
        <v>4</v>
      </c>
      <c r="D2912" s="38" t="s">
        <v>925</v>
      </c>
    </row>
    <row r="2913" spans="1:4" x14ac:dyDescent="0.25">
      <c r="A2913" s="41">
        <v>221119</v>
      </c>
      <c r="B2913" s="39" t="s">
        <v>4571</v>
      </c>
      <c r="C2913" s="40">
        <v>4</v>
      </c>
      <c r="D2913" s="38" t="s">
        <v>266</v>
      </c>
    </row>
    <row r="2914" spans="1:4" x14ac:dyDescent="0.25">
      <c r="A2914" s="41">
        <v>221123</v>
      </c>
      <c r="B2914" s="39" t="s">
        <v>4572</v>
      </c>
      <c r="C2914" s="40">
        <v>4</v>
      </c>
      <c r="D2914" s="38" t="s">
        <v>266</v>
      </c>
    </row>
    <row r="2915" spans="1:4" x14ac:dyDescent="0.25">
      <c r="A2915" s="42">
        <v>221123.13</v>
      </c>
      <c r="B2915" s="39" t="s">
        <v>4573</v>
      </c>
      <c r="C2915" s="40">
        <v>5</v>
      </c>
      <c r="D2915" s="38" t="s">
        <v>266</v>
      </c>
    </row>
    <row r="2916" spans="1:4" x14ac:dyDescent="0.25">
      <c r="A2916" s="42">
        <v>221123.23</v>
      </c>
      <c r="B2916" s="39" t="s">
        <v>4574</v>
      </c>
      <c r="C2916" s="40">
        <v>5</v>
      </c>
      <c r="D2916" s="38" t="s">
        <v>266</v>
      </c>
    </row>
    <row r="2917" spans="1:4" x14ac:dyDescent="0.25">
      <c r="A2917" s="42">
        <v>221123.26</v>
      </c>
      <c r="B2917" s="39" t="s">
        <v>4575</v>
      </c>
      <c r="C2917" s="40">
        <v>5</v>
      </c>
      <c r="D2917" s="38" t="s">
        <v>266</v>
      </c>
    </row>
    <row r="2918" spans="1:4" x14ac:dyDescent="0.25">
      <c r="A2918" s="42">
        <v>221123.29</v>
      </c>
      <c r="B2918" s="39" t="s">
        <v>4576</v>
      </c>
      <c r="C2918" s="40">
        <v>5</v>
      </c>
      <c r="D2918" s="38" t="s">
        <v>266</v>
      </c>
    </row>
    <row r="2919" spans="1:4" x14ac:dyDescent="0.25">
      <c r="A2919" s="42">
        <v>221123.33</v>
      </c>
      <c r="B2919" s="39" t="s">
        <v>4577</v>
      </c>
      <c r="C2919" s="40">
        <v>5</v>
      </c>
      <c r="D2919" s="38" t="s">
        <v>266</v>
      </c>
    </row>
    <row r="2920" spans="1:4" x14ac:dyDescent="0.25">
      <c r="A2920" s="42">
        <v>221123.36</v>
      </c>
      <c r="B2920" s="39" t="s">
        <v>4578</v>
      </c>
      <c r="C2920" s="40">
        <v>5</v>
      </c>
      <c r="D2920" s="38" t="s">
        <v>266</v>
      </c>
    </row>
    <row r="2921" spans="1:4" x14ac:dyDescent="0.25">
      <c r="A2921" s="41">
        <v>221200</v>
      </c>
      <c r="B2921" s="39" t="s">
        <v>922</v>
      </c>
      <c r="C2921" s="40">
        <v>3</v>
      </c>
      <c r="D2921" s="38" t="s">
        <v>921</v>
      </c>
    </row>
    <row r="2922" spans="1:4" x14ac:dyDescent="0.25">
      <c r="A2922" s="41">
        <v>221213</v>
      </c>
      <c r="B2922" s="39" t="s">
        <v>4579</v>
      </c>
      <c r="C2922" s="40">
        <v>4</v>
      </c>
      <c r="D2922" s="38" t="s">
        <v>266</v>
      </c>
    </row>
    <row r="2923" spans="1:4" x14ac:dyDescent="0.25">
      <c r="A2923" s="41">
        <v>221216</v>
      </c>
      <c r="B2923" s="39" t="s">
        <v>4580</v>
      </c>
      <c r="C2923" s="40">
        <v>4</v>
      </c>
      <c r="D2923" s="38" t="s">
        <v>266</v>
      </c>
    </row>
    <row r="2924" spans="1:4" x14ac:dyDescent="0.25">
      <c r="A2924" s="41">
        <v>221219</v>
      </c>
      <c r="B2924" s="39" t="s">
        <v>4581</v>
      </c>
      <c r="C2924" s="40">
        <v>4</v>
      </c>
      <c r="D2924" s="38" t="s">
        <v>266</v>
      </c>
    </row>
    <row r="2925" spans="1:4" x14ac:dyDescent="0.25">
      <c r="A2925" s="41">
        <v>221223</v>
      </c>
      <c r="B2925" s="39" t="s">
        <v>4582</v>
      </c>
      <c r="C2925" s="40">
        <v>4</v>
      </c>
      <c r="D2925" s="38" t="s">
        <v>266</v>
      </c>
    </row>
    <row r="2926" spans="1:4" x14ac:dyDescent="0.25">
      <c r="A2926" s="42">
        <v>221223.13</v>
      </c>
      <c r="B2926" s="39" t="s">
        <v>4583</v>
      </c>
      <c r="C2926" s="40">
        <v>5</v>
      </c>
      <c r="D2926" s="38" t="s">
        <v>266</v>
      </c>
    </row>
    <row r="2927" spans="1:4" x14ac:dyDescent="0.25">
      <c r="A2927" s="42">
        <v>221223.16</v>
      </c>
      <c r="B2927" s="39" t="s">
        <v>4584</v>
      </c>
      <c r="C2927" s="40">
        <v>5</v>
      </c>
      <c r="D2927" s="38" t="s">
        <v>266</v>
      </c>
    </row>
    <row r="2928" spans="1:4" x14ac:dyDescent="0.25">
      <c r="A2928" s="42">
        <v>221223.23</v>
      </c>
      <c r="B2928" s="39" t="s">
        <v>4585</v>
      </c>
      <c r="C2928" s="40">
        <v>5</v>
      </c>
      <c r="D2928" s="38" t="s">
        <v>266</v>
      </c>
    </row>
    <row r="2929" spans="1:4" x14ac:dyDescent="0.25">
      <c r="A2929" s="42">
        <v>221223.26</v>
      </c>
      <c r="B2929" s="39" t="s">
        <v>4586</v>
      </c>
      <c r="C2929" s="40">
        <v>5</v>
      </c>
      <c r="D2929" s="38" t="s">
        <v>266</v>
      </c>
    </row>
    <row r="2930" spans="1:4" x14ac:dyDescent="0.25">
      <c r="A2930" s="41">
        <v>221300</v>
      </c>
      <c r="B2930" s="39" t="s">
        <v>4587</v>
      </c>
      <c r="C2930" s="40">
        <v>3</v>
      </c>
      <c r="D2930" s="38" t="s">
        <v>931</v>
      </c>
    </row>
    <row r="2931" spans="1:4" x14ac:dyDescent="0.25">
      <c r="A2931" s="41">
        <v>221313</v>
      </c>
      <c r="B2931" s="39" t="s">
        <v>4588</v>
      </c>
      <c r="C2931" s="40">
        <v>4</v>
      </c>
      <c r="D2931" s="38" t="s">
        <v>266</v>
      </c>
    </row>
    <row r="2932" spans="1:4" x14ac:dyDescent="0.25">
      <c r="A2932" s="41">
        <v>221316</v>
      </c>
      <c r="B2932" s="39" t="s">
        <v>4589</v>
      </c>
      <c r="C2932" s="40">
        <v>4</v>
      </c>
      <c r="D2932" s="38" t="s">
        <v>266</v>
      </c>
    </row>
    <row r="2933" spans="1:4" x14ac:dyDescent="0.25">
      <c r="A2933" s="41">
        <v>221319</v>
      </c>
      <c r="B2933" s="39" t="s">
        <v>4590</v>
      </c>
      <c r="C2933" s="40">
        <v>4</v>
      </c>
      <c r="D2933" s="38" t="s">
        <v>266</v>
      </c>
    </row>
    <row r="2934" spans="1:4" x14ac:dyDescent="0.25">
      <c r="A2934" s="42">
        <v>221319.13</v>
      </c>
      <c r="B2934" s="39" t="s">
        <v>4591</v>
      </c>
      <c r="C2934" s="40">
        <v>5</v>
      </c>
      <c r="D2934" s="38" t="s">
        <v>266</v>
      </c>
    </row>
    <row r="2935" spans="1:4" x14ac:dyDescent="0.25">
      <c r="A2935" s="42">
        <v>221319.23</v>
      </c>
      <c r="B2935" s="39" t="s">
        <v>4592</v>
      </c>
      <c r="C2935" s="40">
        <v>5</v>
      </c>
      <c r="D2935" s="38" t="s">
        <v>266</v>
      </c>
    </row>
    <row r="2936" spans="1:4" x14ac:dyDescent="0.25">
      <c r="A2936" s="42">
        <v>221319.26</v>
      </c>
      <c r="B2936" s="39" t="s">
        <v>4593</v>
      </c>
      <c r="C2936" s="40">
        <v>5</v>
      </c>
      <c r="D2936" s="38" t="s">
        <v>266</v>
      </c>
    </row>
    <row r="2937" spans="1:4" x14ac:dyDescent="0.25">
      <c r="A2937" s="42">
        <v>221319.33</v>
      </c>
      <c r="B2937" s="39" t="s">
        <v>4594</v>
      </c>
      <c r="C2937" s="40">
        <v>5</v>
      </c>
      <c r="D2937" s="38" t="s">
        <v>266</v>
      </c>
    </row>
    <row r="2938" spans="1:4" x14ac:dyDescent="0.25">
      <c r="A2938" s="42">
        <v>221319.36</v>
      </c>
      <c r="B2938" s="39" t="s">
        <v>4595</v>
      </c>
      <c r="C2938" s="40">
        <v>5</v>
      </c>
      <c r="D2938" s="38" t="s">
        <v>266</v>
      </c>
    </row>
    <row r="2939" spans="1:4" x14ac:dyDescent="0.25">
      <c r="A2939" s="41">
        <v>221323</v>
      </c>
      <c r="B2939" s="39" t="s">
        <v>4596</v>
      </c>
      <c r="C2939" s="40">
        <v>4</v>
      </c>
      <c r="D2939" s="38" t="s">
        <v>266</v>
      </c>
    </row>
    <row r="2940" spans="1:4" x14ac:dyDescent="0.25">
      <c r="A2940" s="41">
        <v>221326</v>
      </c>
      <c r="B2940" s="39" t="s">
        <v>4597</v>
      </c>
      <c r="C2940" s="40">
        <v>4</v>
      </c>
      <c r="D2940" s="38" t="s">
        <v>266</v>
      </c>
    </row>
    <row r="2941" spans="1:4" x14ac:dyDescent="0.25">
      <c r="A2941" s="41">
        <v>221329</v>
      </c>
      <c r="B2941" s="39" t="s">
        <v>4598</v>
      </c>
      <c r="C2941" s="40">
        <v>4</v>
      </c>
      <c r="D2941" s="38" t="s">
        <v>266</v>
      </c>
    </row>
    <row r="2942" spans="1:4" x14ac:dyDescent="0.25">
      <c r="A2942" s="42">
        <v>221329.13</v>
      </c>
      <c r="B2942" s="39" t="s">
        <v>4599</v>
      </c>
      <c r="C2942" s="40">
        <v>5</v>
      </c>
      <c r="D2942" s="38" t="s">
        <v>266</v>
      </c>
    </row>
    <row r="2943" spans="1:4" x14ac:dyDescent="0.25">
      <c r="A2943" s="42">
        <v>221329.16</v>
      </c>
      <c r="B2943" s="39" t="s">
        <v>4600</v>
      </c>
      <c r="C2943" s="40">
        <v>5</v>
      </c>
      <c r="D2943" s="38" t="s">
        <v>266</v>
      </c>
    </row>
    <row r="2944" spans="1:4" x14ac:dyDescent="0.25">
      <c r="A2944" s="42">
        <v>221329.23</v>
      </c>
      <c r="B2944" s="39" t="s">
        <v>4601</v>
      </c>
      <c r="C2944" s="40">
        <v>5</v>
      </c>
      <c r="D2944" s="38" t="s">
        <v>266</v>
      </c>
    </row>
    <row r="2945" spans="1:4" x14ac:dyDescent="0.25">
      <c r="A2945" s="42">
        <v>221329.33</v>
      </c>
      <c r="B2945" s="39" t="s">
        <v>4602</v>
      </c>
      <c r="C2945" s="40">
        <v>5</v>
      </c>
      <c r="D2945" s="38" t="s">
        <v>266</v>
      </c>
    </row>
    <row r="2946" spans="1:4" x14ac:dyDescent="0.25">
      <c r="A2946" s="41">
        <v>221333</v>
      </c>
      <c r="B2946" s="39" t="s">
        <v>4603</v>
      </c>
      <c r="C2946" s="40">
        <v>4</v>
      </c>
      <c r="D2946" s="38" t="s">
        <v>266</v>
      </c>
    </row>
    <row r="2947" spans="1:4" x14ac:dyDescent="0.25">
      <c r="A2947" s="41">
        <v>221336</v>
      </c>
      <c r="B2947" s="39" t="s">
        <v>4604</v>
      </c>
      <c r="C2947" s="40">
        <v>4</v>
      </c>
      <c r="D2947" s="38" t="s">
        <v>266</v>
      </c>
    </row>
    <row r="2948" spans="1:4" x14ac:dyDescent="0.25">
      <c r="A2948" s="41">
        <v>221343</v>
      </c>
      <c r="B2948" s="39" t="s">
        <v>4605</v>
      </c>
      <c r="C2948" s="40">
        <v>4</v>
      </c>
      <c r="D2948" s="38" t="s">
        <v>266</v>
      </c>
    </row>
    <row r="2949" spans="1:4" x14ac:dyDescent="0.25">
      <c r="A2949" s="42">
        <v>221343.13</v>
      </c>
      <c r="B2949" s="39" t="s">
        <v>4606</v>
      </c>
      <c r="C2949" s="40">
        <v>5</v>
      </c>
      <c r="D2949" s="38" t="s">
        <v>266</v>
      </c>
    </row>
    <row r="2950" spans="1:4" x14ac:dyDescent="0.25">
      <c r="A2950" s="42">
        <v>221343.16</v>
      </c>
      <c r="B2950" s="39" t="s">
        <v>4607</v>
      </c>
      <c r="C2950" s="40">
        <v>5</v>
      </c>
      <c r="D2950" s="38" t="s">
        <v>266</v>
      </c>
    </row>
    <row r="2951" spans="1:4" x14ac:dyDescent="0.25">
      <c r="A2951" s="41">
        <v>221353</v>
      </c>
      <c r="B2951" s="39" t="s">
        <v>4608</v>
      </c>
      <c r="C2951" s="40">
        <v>4</v>
      </c>
      <c r="D2951" s="38" t="s">
        <v>266</v>
      </c>
    </row>
    <row r="2952" spans="1:4" x14ac:dyDescent="0.25">
      <c r="A2952" s="41">
        <v>221363</v>
      </c>
      <c r="B2952" s="39" t="s">
        <v>4609</v>
      </c>
      <c r="C2952" s="40">
        <v>4</v>
      </c>
      <c r="D2952" s="38" t="s">
        <v>266</v>
      </c>
    </row>
    <row r="2953" spans="1:4" x14ac:dyDescent="0.25">
      <c r="A2953" s="41">
        <v>221400</v>
      </c>
      <c r="B2953" s="39" t="s">
        <v>4610</v>
      </c>
      <c r="C2953" s="40">
        <v>3</v>
      </c>
      <c r="D2953" s="38" t="s">
        <v>266</v>
      </c>
    </row>
    <row r="2954" spans="1:4" x14ac:dyDescent="0.25">
      <c r="A2954" s="41">
        <v>221413</v>
      </c>
      <c r="B2954" s="39" t="s">
        <v>4611</v>
      </c>
      <c r="C2954" s="40">
        <v>4</v>
      </c>
      <c r="D2954" s="38" t="s">
        <v>266</v>
      </c>
    </row>
    <row r="2955" spans="1:4" x14ac:dyDescent="0.25">
      <c r="A2955" s="41">
        <v>221416</v>
      </c>
      <c r="B2955" s="39" t="s">
        <v>4612</v>
      </c>
      <c r="C2955" s="40">
        <v>4</v>
      </c>
      <c r="D2955" s="38" t="s">
        <v>266</v>
      </c>
    </row>
    <row r="2956" spans="1:4" x14ac:dyDescent="0.25">
      <c r="A2956" s="41">
        <v>221419</v>
      </c>
      <c r="B2956" s="39" t="s">
        <v>4613</v>
      </c>
      <c r="C2956" s="40">
        <v>4</v>
      </c>
      <c r="D2956" s="38" t="s">
        <v>266</v>
      </c>
    </row>
    <row r="2957" spans="1:4" x14ac:dyDescent="0.25">
      <c r="A2957" s="41">
        <v>221423</v>
      </c>
      <c r="B2957" s="39" t="s">
        <v>4614</v>
      </c>
      <c r="C2957" s="40">
        <v>4</v>
      </c>
      <c r="D2957" s="38" t="s">
        <v>266</v>
      </c>
    </row>
    <row r="2958" spans="1:4" x14ac:dyDescent="0.25">
      <c r="A2958" s="41">
        <v>221426</v>
      </c>
      <c r="B2958" s="39" t="s">
        <v>4615</v>
      </c>
      <c r="C2958" s="40">
        <v>4</v>
      </c>
      <c r="D2958" s="38" t="s">
        <v>266</v>
      </c>
    </row>
    <row r="2959" spans="1:4" x14ac:dyDescent="0.25">
      <c r="A2959" s="42">
        <v>221426.13</v>
      </c>
      <c r="B2959" s="39" t="s">
        <v>4616</v>
      </c>
      <c r="C2959" s="40">
        <v>5</v>
      </c>
      <c r="D2959" s="38" t="s">
        <v>266</v>
      </c>
    </row>
    <row r="2960" spans="1:4" x14ac:dyDescent="0.25">
      <c r="A2960" s="42">
        <v>221426.16</v>
      </c>
      <c r="B2960" s="39" t="s">
        <v>4617</v>
      </c>
      <c r="C2960" s="40">
        <v>5</v>
      </c>
      <c r="D2960" s="38" t="s">
        <v>266</v>
      </c>
    </row>
    <row r="2961" spans="1:4" x14ac:dyDescent="0.25">
      <c r="A2961" s="42">
        <v>221426.19</v>
      </c>
      <c r="B2961" s="39" t="s">
        <v>4618</v>
      </c>
      <c r="C2961" s="40">
        <v>5</v>
      </c>
      <c r="D2961" s="38" t="s">
        <v>266</v>
      </c>
    </row>
    <row r="2962" spans="1:4" x14ac:dyDescent="0.25">
      <c r="A2962" s="41">
        <v>221429</v>
      </c>
      <c r="B2962" s="39" t="s">
        <v>4619</v>
      </c>
      <c r="C2962" s="40">
        <v>4</v>
      </c>
      <c r="D2962" s="38" t="s">
        <v>266</v>
      </c>
    </row>
    <row r="2963" spans="1:4" x14ac:dyDescent="0.25">
      <c r="A2963" s="42">
        <v>221429.13</v>
      </c>
      <c r="B2963" s="39" t="s">
        <v>4620</v>
      </c>
      <c r="C2963" s="40">
        <v>5</v>
      </c>
      <c r="D2963" s="38" t="s">
        <v>266</v>
      </c>
    </row>
    <row r="2964" spans="1:4" x14ac:dyDescent="0.25">
      <c r="A2964" s="42">
        <v>221429.16</v>
      </c>
      <c r="B2964" s="39" t="s">
        <v>4621</v>
      </c>
      <c r="C2964" s="40">
        <v>5</v>
      </c>
      <c r="D2964" s="38" t="s">
        <v>266</v>
      </c>
    </row>
    <row r="2965" spans="1:4" x14ac:dyDescent="0.25">
      <c r="A2965" s="42">
        <v>221429.19</v>
      </c>
      <c r="B2965" s="39" t="s">
        <v>4622</v>
      </c>
      <c r="C2965" s="40">
        <v>5</v>
      </c>
      <c r="D2965" s="38" t="s">
        <v>266</v>
      </c>
    </row>
    <row r="2966" spans="1:4" x14ac:dyDescent="0.25">
      <c r="A2966" s="41">
        <v>221433</v>
      </c>
      <c r="B2966" s="39" t="s">
        <v>4623</v>
      </c>
      <c r="C2966" s="40">
        <v>4</v>
      </c>
      <c r="D2966" s="38" t="s">
        <v>266</v>
      </c>
    </row>
    <row r="2967" spans="1:4" x14ac:dyDescent="0.25">
      <c r="A2967" s="41">
        <v>221436</v>
      </c>
      <c r="B2967" s="39" t="s">
        <v>4624</v>
      </c>
      <c r="C2967" s="40">
        <v>4</v>
      </c>
      <c r="D2967" s="38" t="s">
        <v>266</v>
      </c>
    </row>
    <row r="2968" spans="1:4" x14ac:dyDescent="0.25">
      <c r="A2968" s="41">
        <v>221453</v>
      </c>
      <c r="B2968" s="39" t="s">
        <v>4625</v>
      </c>
      <c r="C2968" s="40">
        <v>4</v>
      </c>
      <c r="D2968" s="38" t="s">
        <v>266</v>
      </c>
    </row>
    <row r="2969" spans="1:4" x14ac:dyDescent="0.25">
      <c r="A2969" s="41">
        <v>221500</v>
      </c>
      <c r="B2969" s="39" t="s">
        <v>4626</v>
      </c>
      <c r="C2969" s="40">
        <v>3</v>
      </c>
      <c r="D2969" s="38" t="s">
        <v>266</v>
      </c>
    </row>
    <row r="2970" spans="1:4" x14ac:dyDescent="0.25">
      <c r="A2970" s="41">
        <v>221513</v>
      </c>
      <c r="B2970" s="39" t="s">
        <v>4627</v>
      </c>
      <c r="C2970" s="40">
        <v>4</v>
      </c>
      <c r="D2970" s="38" t="s">
        <v>266</v>
      </c>
    </row>
    <row r="2971" spans="1:4" x14ac:dyDescent="0.25">
      <c r="A2971" s="41">
        <v>221516</v>
      </c>
      <c r="B2971" s="39" t="s">
        <v>4628</v>
      </c>
      <c r="C2971" s="40">
        <v>4</v>
      </c>
      <c r="D2971" s="38" t="s">
        <v>266</v>
      </c>
    </row>
    <row r="2972" spans="1:4" x14ac:dyDescent="0.25">
      <c r="A2972" s="41">
        <v>221519</v>
      </c>
      <c r="B2972" s="39" t="s">
        <v>4629</v>
      </c>
      <c r="C2972" s="40">
        <v>4</v>
      </c>
      <c r="D2972" s="38" t="s">
        <v>266</v>
      </c>
    </row>
    <row r="2973" spans="1:4" x14ac:dyDescent="0.25">
      <c r="A2973" s="42">
        <v>221519.13</v>
      </c>
      <c r="B2973" s="39" t="s">
        <v>4630</v>
      </c>
      <c r="C2973" s="40">
        <v>5</v>
      </c>
      <c r="D2973" s="38" t="s">
        <v>266</v>
      </c>
    </row>
    <row r="2974" spans="1:4" x14ac:dyDescent="0.25">
      <c r="A2974" s="42">
        <v>221519.16</v>
      </c>
      <c r="B2974" s="39" t="s">
        <v>4631</v>
      </c>
      <c r="C2974" s="40">
        <v>5</v>
      </c>
      <c r="D2974" s="38" t="s">
        <v>266</v>
      </c>
    </row>
    <row r="2975" spans="1:4" x14ac:dyDescent="0.25">
      <c r="A2975" s="42">
        <v>221519.19</v>
      </c>
      <c r="B2975" s="39" t="s">
        <v>4632</v>
      </c>
      <c r="C2975" s="40">
        <v>5</v>
      </c>
      <c r="D2975" s="38" t="s">
        <v>266</v>
      </c>
    </row>
    <row r="2976" spans="1:4" x14ac:dyDescent="0.25">
      <c r="A2976" s="42">
        <v>221519.23</v>
      </c>
      <c r="B2976" s="39" t="s">
        <v>4633</v>
      </c>
      <c r="C2976" s="40">
        <v>5</v>
      </c>
      <c r="D2976" s="38" t="s">
        <v>266</v>
      </c>
    </row>
    <row r="2977" spans="1:4" x14ac:dyDescent="0.25">
      <c r="A2977" s="41">
        <v>223000</v>
      </c>
      <c r="B2977" s="39" t="s">
        <v>4634</v>
      </c>
      <c r="C2977" s="40">
        <v>3</v>
      </c>
      <c r="D2977" s="38" t="s">
        <v>266</v>
      </c>
    </row>
    <row r="2978" spans="1:4" x14ac:dyDescent="0.25">
      <c r="A2978" s="41">
        <v>223100</v>
      </c>
      <c r="B2978" s="39" t="s">
        <v>4635</v>
      </c>
      <c r="C2978" s="40">
        <v>3</v>
      </c>
      <c r="D2978" s="38" t="s">
        <v>266</v>
      </c>
    </row>
    <row r="2979" spans="1:4" x14ac:dyDescent="0.25">
      <c r="A2979" s="41">
        <v>223113</v>
      </c>
      <c r="B2979" s="39" t="s">
        <v>4636</v>
      </c>
      <c r="C2979" s="40">
        <v>4</v>
      </c>
      <c r="D2979" s="38" t="s">
        <v>266</v>
      </c>
    </row>
    <row r="2980" spans="1:4" x14ac:dyDescent="0.25">
      <c r="A2980" s="41">
        <v>223116</v>
      </c>
      <c r="B2980" s="39" t="s">
        <v>4637</v>
      </c>
      <c r="C2980" s="40">
        <v>4</v>
      </c>
      <c r="D2980" s="38" t="s">
        <v>266</v>
      </c>
    </row>
    <row r="2981" spans="1:4" x14ac:dyDescent="0.25">
      <c r="A2981" s="41">
        <v>223200</v>
      </c>
      <c r="B2981" s="39" t="s">
        <v>4638</v>
      </c>
      <c r="C2981" s="40">
        <v>3</v>
      </c>
      <c r="D2981" s="38" t="s">
        <v>266</v>
      </c>
    </row>
    <row r="2982" spans="1:4" x14ac:dyDescent="0.25">
      <c r="A2982" s="41">
        <v>223213</v>
      </c>
      <c r="B2982" s="39" t="s">
        <v>4639</v>
      </c>
      <c r="C2982" s="40">
        <v>4</v>
      </c>
      <c r="D2982" s="38" t="s">
        <v>266</v>
      </c>
    </row>
    <row r="2983" spans="1:4" x14ac:dyDescent="0.25">
      <c r="A2983" s="41">
        <v>223216</v>
      </c>
      <c r="B2983" s="39" t="s">
        <v>4640</v>
      </c>
      <c r="C2983" s="40">
        <v>4</v>
      </c>
      <c r="D2983" s="38" t="s">
        <v>266</v>
      </c>
    </row>
    <row r="2984" spans="1:4" x14ac:dyDescent="0.25">
      <c r="A2984" s="41">
        <v>223219</v>
      </c>
      <c r="B2984" s="39" t="s">
        <v>4641</v>
      </c>
      <c r="C2984" s="40">
        <v>4</v>
      </c>
      <c r="D2984" s="38" t="s">
        <v>266</v>
      </c>
    </row>
    <row r="2985" spans="1:4" x14ac:dyDescent="0.25">
      <c r="A2985" s="41">
        <v>223223</v>
      </c>
      <c r="B2985" s="39" t="s">
        <v>4642</v>
      </c>
      <c r="C2985" s="40">
        <v>4</v>
      </c>
      <c r="D2985" s="38" t="s">
        <v>266</v>
      </c>
    </row>
    <row r="2986" spans="1:4" x14ac:dyDescent="0.25">
      <c r="A2986" s="41">
        <v>223226</v>
      </c>
      <c r="B2986" s="39" t="s">
        <v>4643</v>
      </c>
      <c r="C2986" s="40">
        <v>4</v>
      </c>
      <c r="D2986" s="38" t="s">
        <v>266</v>
      </c>
    </row>
    <row r="2987" spans="1:4" x14ac:dyDescent="0.25">
      <c r="A2987" s="42">
        <v>223226.13</v>
      </c>
      <c r="B2987" s="39" t="s">
        <v>4644</v>
      </c>
      <c r="C2987" s="40">
        <v>5</v>
      </c>
      <c r="D2987" s="38" t="s">
        <v>266</v>
      </c>
    </row>
    <row r="2988" spans="1:4" x14ac:dyDescent="0.25">
      <c r="A2988" s="42">
        <v>223226.16</v>
      </c>
      <c r="B2988" s="39" t="s">
        <v>4645</v>
      </c>
      <c r="C2988" s="40">
        <v>5</v>
      </c>
      <c r="D2988" s="38" t="s">
        <v>266</v>
      </c>
    </row>
    <row r="2989" spans="1:4" x14ac:dyDescent="0.25">
      <c r="A2989" s="42">
        <v>223226.19</v>
      </c>
      <c r="B2989" s="39" t="s">
        <v>4646</v>
      </c>
      <c r="C2989" s="40">
        <v>5</v>
      </c>
      <c r="D2989" s="38" t="s">
        <v>266</v>
      </c>
    </row>
    <row r="2990" spans="1:4" x14ac:dyDescent="0.25">
      <c r="A2990" s="41">
        <v>223300</v>
      </c>
      <c r="B2990" s="39" t="s">
        <v>4647</v>
      </c>
      <c r="C2990" s="40">
        <v>3</v>
      </c>
      <c r="D2990" s="38" t="s">
        <v>266</v>
      </c>
    </row>
    <row r="2991" spans="1:4" x14ac:dyDescent="0.25">
      <c r="A2991" s="41">
        <v>223313</v>
      </c>
      <c r="B2991" s="39" t="s">
        <v>4648</v>
      </c>
      <c r="C2991" s="40">
        <v>4</v>
      </c>
      <c r="D2991" s="38" t="s">
        <v>266</v>
      </c>
    </row>
    <row r="2992" spans="1:4" x14ac:dyDescent="0.25">
      <c r="A2992" s="42">
        <v>223313.13</v>
      </c>
      <c r="B2992" s="39" t="s">
        <v>4649</v>
      </c>
      <c r="C2992" s="40">
        <v>5</v>
      </c>
      <c r="D2992" s="38" t="s">
        <v>266</v>
      </c>
    </row>
    <row r="2993" spans="1:4" x14ac:dyDescent="0.25">
      <c r="A2993" s="42">
        <v>223313.16</v>
      </c>
      <c r="B2993" s="39" t="s">
        <v>4650</v>
      </c>
      <c r="C2993" s="40">
        <v>5</v>
      </c>
      <c r="D2993" s="38" t="s">
        <v>266</v>
      </c>
    </row>
    <row r="2994" spans="1:4" x14ac:dyDescent="0.25">
      <c r="A2994" s="41">
        <v>223330</v>
      </c>
      <c r="B2994" s="39" t="s">
        <v>4651</v>
      </c>
      <c r="C2994" s="40">
        <v>4</v>
      </c>
      <c r="D2994" s="38" t="s">
        <v>266</v>
      </c>
    </row>
    <row r="2995" spans="1:4" x14ac:dyDescent="0.25">
      <c r="A2995" s="42">
        <v>223330.13</v>
      </c>
      <c r="B2995" s="39" t="s">
        <v>4652</v>
      </c>
      <c r="C2995" s="40">
        <v>5</v>
      </c>
      <c r="D2995" s="38" t="s">
        <v>266</v>
      </c>
    </row>
    <row r="2996" spans="1:4" x14ac:dyDescent="0.25">
      <c r="A2996" s="42">
        <v>223330.16</v>
      </c>
      <c r="B2996" s="39" t="s">
        <v>4653</v>
      </c>
      <c r="C2996" s="40">
        <v>5</v>
      </c>
      <c r="D2996" s="38" t="s">
        <v>266</v>
      </c>
    </row>
    <row r="2997" spans="1:4" x14ac:dyDescent="0.25">
      <c r="A2997" s="42">
        <v>223330.23</v>
      </c>
      <c r="B2997" s="39" t="s">
        <v>4654</v>
      </c>
      <c r="C2997" s="40">
        <v>5</v>
      </c>
      <c r="D2997" s="38" t="s">
        <v>266</v>
      </c>
    </row>
    <row r="2998" spans="1:4" x14ac:dyDescent="0.25">
      <c r="A2998" s="42">
        <v>223330.26</v>
      </c>
      <c r="B2998" s="39" t="s">
        <v>4655</v>
      </c>
      <c r="C2998" s="40">
        <v>5</v>
      </c>
      <c r="D2998" s="38" t="s">
        <v>266</v>
      </c>
    </row>
    <row r="2999" spans="1:4" x14ac:dyDescent="0.25">
      <c r="A2999" s="41">
        <v>223333</v>
      </c>
      <c r="B2999" s="39" t="s">
        <v>4656</v>
      </c>
      <c r="C2999" s="40">
        <v>4</v>
      </c>
      <c r="D2999" s="38" t="s">
        <v>266</v>
      </c>
    </row>
    <row r="3000" spans="1:4" x14ac:dyDescent="0.25">
      <c r="A3000" s="41">
        <v>223336</v>
      </c>
      <c r="B3000" s="39" t="s">
        <v>4657</v>
      </c>
      <c r="C3000" s="40">
        <v>4</v>
      </c>
      <c r="D3000" s="38" t="s">
        <v>266</v>
      </c>
    </row>
    <row r="3001" spans="1:4" x14ac:dyDescent="0.25">
      <c r="A3001" s="42">
        <v>223336.13</v>
      </c>
      <c r="B3001" s="39" t="s">
        <v>4657</v>
      </c>
      <c r="C3001" s="40">
        <v>5</v>
      </c>
      <c r="D3001" s="38" t="s">
        <v>266</v>
      </c>
    </row>
    <row r="3002" spans="1:4" x14ac:dyDescent="0.25">
      <c r="A3002" s="42">
        <v>223336.16</v>
      </c>
      <c r="B3002" s="39" t="s">
        <v>4658</v>
      </c>
      <c r="C3002" s="40">
        <v>5</v>
      </c>
      <c r="D3002" s="38" t="s">
        <v>266</v>
      </c>
    </row>
    <row r="3003" spans="1:4" x14ac:dyDescent="0.25">
      <c r="A3003" s="41">
        <v>223400</v>
      </c>
      <c r="B3003" s="39" t="s">
        <v>4659</v>
      </c>
      <c r="C3003" s="40">
        <v>3</v>
      </c>
      <c r="D3003" s="38" t="s">
        <v>266</v>
      </c>
    </row>
    <row r="3004" spans="1:4" x14ac:dyDescent="0.25">
      <c r="A3004" s="41">
        <v>223413</v>
      </c>
      <c r="B3004" s="39" t="s">
        <v>4660</v>
      </c>
      <c r="C3004" s="40">
        <v>4</v>
      </c>
      <c r="D3004" s="38" t="s">
        <v>266</v>
      </c>
    </row>
    <row r="3005" spans="1:4" x14ac:dyDescent="0.25">
      <c r="A3005" s="41">
        <v>223430</v>
      </c>
      <c r="B3005" s="39" t="s">
        <v>4661</v>
      </c>
      <c r="C3005" s="40">
        <v>4</v>
      </c>
      <c r="D3005" s="38" t="s">
        <v>266</v>
      </c>
    </row>
    <row r="3006" spans="1:4" x14ac:dyDescent="0.25">
      <c r="A3006" s="42">
        <v>223430.13</v>
      </c>
      <c r="B3006" s="39" t="s">
        <v>4662</v>
      </c>
      <c r="C3006" s="40">
        <v>5</v>
      </c>
      <c r="D3006" s="38" t="s">
        <v>266</v>
      </c>
    </row>
    <row r="3007" spans="1:4" x14ac:dyDescent="0.25">
      <c r="A3007" s="42">
        <v>223430.16</v>
      </c>
      <c r="B3007" s="39" t="s">
        <v>4663</v>
      </c>
      <c r="C3007" s="40">
        <v>5</v>
      </c>
      <c r="D3007" s="38" t="s">
        <v>266</v>
      </c>
    </row>
    <row r="3008" spans="1:4" x14ac:dyDescent="0.25">
      <c r="A3008" s="42">
        <v>223430.19</v>
      </c>
      <c r="B3008" s="39" t="s">
        <v>4664</v>
      </c>
      <c r="C3008" s="40">
        <v>5</v>
      </c>
      <c r="D3008" s="38" t="s">
        <v>266</v>
      </c>
    </row>
    <row r="3009" spans="1:4" x14ac:dyDescent="0.25">
      <c r="A3009" s="41">
        <v>223436</v>
      </c>
      <c r="B3009" s="39" t="s">
        <v>4665</v>
      </c>
      <c r="C3009" s="40">
        <v>4</v>
      </c>
      <c r="D3009" s="38" t="s">
        <v>266</v>
      </c>
    </row>
    <row r="3010" spans="1:4" x14ac:dyDescent="0.25">
      <c r="A3010" s="42">
        <v>223436.13</v>
      </c>
      <c r="B3010" s="39" t="s">
        <v>4666</v>
      </c>
      <c r="C3010" s="40">
        <v>5</v>
      </c>
      <c r="D3010" s="38" t="s">
        <v>266</v>
      </c>
    </row>
    <row r="3011" spans="1:4" x14ac:dyDescent="0.25">
      <c r="A3011" s="42">
        <v>223436.16</v>
      </c>
      <c r="B3011" s="39" t="s">
        <v>4667</v>
      </c>
      <c r="C3011" s="40">
        <v>5</v>
      </c>
      <c r="D3011" s="38" t="s">
        <v>266</v>
      </c>
    </row>
    <row r="3012" spans="1:4" x14ac:dyDescent="0.25">
      <c r="A3012" s="42">
        <v>223436.19</v>
      </c>
      <c r="B3012" s="39" t="s">
        <v>4668</v>
      </c>
      <c r="C3012" s="40">
        <v>5</v>
      </c>
      <c r="D3012" s="38" t="s">
        <v>266</v>
      </c>
    </row>
    <row r="3013" spans="1:4" x14ac:dyDescent="0.25">
      <c r="A3013" s="42">
        <v>223436.23</v>
      </c>
      <c r="B3013" s="39" t="s">
        <v>4669</v>
      </c>
      <c r="C3013" s="40">
        <v>5</v>
      </c>
      <c r="D3013" s="38" t="s">
        <v>266</v>
      </c>
    </row>
    <row r="3014" spans="1:4" x14ac:dyDescent="0.25">
      <c r="A3014" s="42">
        <v>223436.26</v>
      </c>
      <c r="B3014" s="39" t="s">
        <v>4670</v>
      </c>
      <c r="C3014" s="40">
        <v>5</v>
      </c>
      <c r="D3014" s="38" t="s">
        <v>266</v>
      </c>
    </row>
    <row r="3015" spans="1:4" x14ac:dyDescent="0.25">
      <c r="A3015" s="42">
        <v>223436.29</v>
      </c>
      <c r="B3015" s="39" t="s">
        <v>4671</v>
      </c>
      <c r="C3015" s="40">
        <v>5</v>
      </c>
      <c r="D3015" s="38" t="s">
        <v>266</v>
      </c>
    </row>
    <row r="3016" spans="1:4" x14ac:dyDescent="0.25">
      <c r="A3016" s="41">
        <v>223446</v>
      </c>
      <c r="B3016" s="39" t="s">
        <v>4672</v>
      </c>
      <c r="C3016" s="40">
        <v>4</v>
      </c>
      <c r="D3016" s="38" t="s">
        <v>266</v>
      </c>
    </row>
    <row r="3017" spans="1:4" x14ac:dyDescent="0.25">
      <c r="A3017" s="42">
        <v>223446.13</v>
      </c>
      <c r="B3017" s="39" t="s">
        <v>4673</v>
      </c>
      <c r="C3017" s="40">
        <v>5</v>
      </c>
      <c r="D3017" s="38" t="s">
        <v>266</v>
      </c>
    </row>
    <row r="3018" spans="1:4" x14ac:dyDescent="0.25">
      <c r="A3018" s="41">
        <v>223456</v>
      </c>
      <c r="B3018" s="39" t="s">
        <v>4674</v>
      </c>
      <c r="C3018" s="40">
        <v>4</v>
      </c>
      <c r="D3018" s="38" t="s">
        <v>266</v>
      </c>
    </row>
    <row r="3019" spans="1:4" x14ac:dyDescent="0.25">
      <c r="A3019" s="41">
        <v>223500</v>
      </c>
      <c r="B3019" s="39" t="s">
        <v>4675</v>
      </c>
      <c r="C3019" s="40">
        <v>3</v>
      </c>
      <c r="D3019" s="38" t="s">
        <v>266</v>
      </c>
    </row>
    <row r="3020" spans="1:4" x14ac:dyDescent="0.25">
      <c r="A3020" s="41">
        <v>223513</v>
      </c>
      <c r="B3020" s="39" t="s">
        <v>4676</v>
      </c>
      <c r="C3020" s="40">
        <v>4</v>
      </c>
      <c r="D3020" s="38" t="s">
        <v>266</v>
      </c>
    </row>
    <row r="3021" spans="1:4" x14ac:dyDescent="0.25">
      <c r="A3021" s="42">
        <v>223513.13</v>
      </c>
      <c r="B3021" s="39" t="s">
        <v>4677</v>
      </c>
      <c r="C3021" s="40">
        <v>5</v>
      </c>
      <c r="D3021" s="38" t="s">
        <v>266</v>
      </c>
    </row>
    <row r="3022" spans="1:4" x14ac:dyDescent="0.25">
      <c r="A3022" s="42">
        <v>223513.16</v>
      </c>
      <c r="B3022" s="39" t="s">
        <v>4678</v>
      </c>
      <c r="C3022" s="40">
        <v>5</v>
      </c>
      <c r="D3022" s="38" t="s">
        <v>266</v>
      </c>
    </row>
    <row r="3023" spans="1:4" x14ac:dyDescent="0.25">
      <c r="A3023" s="42">
        <v>223513.19</v>
      </c>
      <c r="B3023" s="39" t="s">
        <v>4679</v>
      </c>
      <c r="C3023" s="40">
        <v>5</v>
      </c>
      <c r="D3023" s="38" t="s">
        <v>266</v>
      </c>
    </row>
    <row r="3024" spans="1:4" x14ac:dyDescent="0.25">
      <c r="A3024" s="41">
        <v>223523</v>
      </c>
      <c r="B3024" s="39" t="s">
        <v>4680</v>
      </c>
      <c r="C3024" s="40">
        <v>4</v>
      </c>
      <c r="D3024" s="38" t="s">
        <v>266</v>
      </c>
    </row>
    <row r="3025" spans="1:4" x14ac:dyDescent="0.25">
      <c r="A3025" s="42">
        <v>223523.13</v>
      </c>
      <c r="B3025" s="39" t="s">
        <v>4681</v>
      </c>
      <c r="C3025" s="40">
        <v>5</v>
      </c>
      <c r="D3025" s="38" t="s">
        <v>266</v>
      </c>
    </row>
    <row r="3026" spans="1:4" x14ac:dyDescent="0.25">
      <c r="A3026" s="42">
        <v>223523.16</v>
      </c>
      <c r="B3026" s="39" t="s">
        <v>4682</v>
      </c>
      <c r="C3026" s="40">
        <v>5</v>
      </c>
      <c r="D3026" s="38" t="s">
        <v>266</v>
      </c>
    </row>
    <row r="3027" spans="1:4" x14ac:dyDescent="0.25">
      <c r="A3027" s="41">
        <v>223529</v>
      </c>
      <c r="B3027" s="39" t="s">
        <v>4683</v>
      </c>
      <c r="C3027" s="40">
        <v>4</v>
      </c>
      <c r="D3027" s="38" t="s">
        <v>266</v>
      </c>
    </row>
    <row r="3028" spans="1:4" x14ac:dyDescent="0.25">
      <c r="A3028" s="42">
        <v>223529.13</v>
      </c>
      <c r="B3028" s="39" t="s">
        <v>4684</v>
      </c>
      <c r="C3028" s="40">
        <v>5</v>
      </c>
      <c r="D3028" s="38" t="s">
        <v>266</v>
      </c>
    </row>
    <row r="3029" spans="1:4" x14ac:dyDescent="0.25">
      <c r="A3029" s="42">
        <v>223529.16</v>
      </c>
      <c r="B3029" s="39" t="s">
        <v>4685</v>
      </c>
      <c r="C3029" s="40">
        <v>5</v>
      </c>
      <c r="D3029" s="38" t="s">
        <v>266</v>
      </c>
    </row>
    <row r="3030" spans="1:4" x14ac:dyDescent="0.25">
      <c r="A3030" s="41">
        <v>223536</v>
      </c>
      <c r="B3030" s="39" t="s">
        <v>4686</v>
      </c>
      <c r="C3030" s="40">
        <v>4</v>
      </c>
      <c r="D3030" s="38" t="s">
        <v>266</v>
      </c>
    </row>
    <row r="3031" spans="1:4" x14ac:dyDescent="0.25">
      <c r="A3031" s="41">
        <v>223539</v>
      </c>
      <c r="B3031" s="39" t="s">
        <v>4687</v>
      </c>
      <c r="C3031" s="40">
        <v>4</v>
      </c>
      <c r="D3031" s="38" t="s">
        <v>266</v>
      </c>
    </row>
    <row r="3032" spans="1:4" x14ac:dyDescent="0.25">
      <c r="A3032" s="41">
        <v>223543</v>
      </c>
      <c r="B3032" s="39" t="s">
        <v>4688</v>
      </c>
      <c r="C3032" s="40">
        <v>4</v>
      </c>
      <c r="D3032" s="38" t="s">
        <v>266</v>
      </c>
    </row>
    <row r="3033" spans="1:4" x14ac:dyDescent="0.25">
      <c r="A3033" s="41">
        <v>224000</v>
      </c>
      <c r="B3033" s="39" t="s">
        <v>928</v>
      </c>
      <c r="C3033" s="40">
        <v>3</v>
      </c>
      <c r="D3033" s="39" t="s">
        <v>927</v>
      </c>
    </row>
    <row r="3034" spans="1:4" x14ac:dyDescent="0.25">
      <c r="A3034" s="41">
        <v>224100</v>
      </c>
      <c r="B3034" s="39" t="s">
        <v>4689</v>
      </c>
      <c r="C3034" s="40">
        <v>3</v>
      </c>
      <c r="D3034" s="38" t="s">
        <v>266</v>
      </c>
    </row>
    <row r="3035" spans="1:4" x14ac:dyDescent="0.25">
      <c r="A3035" s="41">
        <v>224113</v>
      </c>
      <c r="B3035" s="39" t="s">
        <v>4690</v>
      </c>
      <c r="C3035" s="40">
        <v>4</v>
      </c>
      <c r="D3035" s="38" t="s">
        <v>266</v>
      </c>
    </row>
    <row r="3036" spans="1:4" x14ac:dyDescent="0.25">
      <c r="A3036" s="42">
        <v>224113.13</v>
      </c>
      <c r="B3036" s="39" t="s">
        <v>4691</v>
      </c>
      <c r="C3036" s="40">
        <v>5</v>
      </c>
      <c r="D3036" s="38" t="s">
        <v>266</v>
      </c>
    </row>
    <row r="3037" spans="1:4" x14ac:dyDescent="0.25">
      <c r="A3037" s="42">
        <v>224113.16</v>
      </c>
      <c r="B3037" s="39" t="s">
        <v>4692</v>
      </c>
      <c r="C3037" s="40">
        <v>5</v>
      </c>
      <c r="D3037" s="38" t="s">
        <v>266</v>
      </c>
    </row>
    <row r="3038" spans="1:4" x14ac:dyDescent="0.25">
      <c r="A3038" s="42">
        <v>224113.19</v>
      </c>
      <c r="B3038" s="39" t="s">
        <v>4693</v>
      </c>
      <c r="C3038" s="40">
        <v>5</v>
      </c>
      <c r="D3038" s="38" t="s">
        <v>266</v>
      </c>
    </row>
    <row r="3039" spans="1:4" x14ac:dyDescent="0.25">
      <c r="A3039" s="41">
        <v>224116</v>
      </c>
      <c r="B3039" s="39" t="s">
        <v>4694</v>
      </c>
      <c r="C3039" s="40">
        <v>4</v>
      </c>
      <c r="D3039" s="38" t="s">
        <v>266</v>
      </c>
    </row>
    <row r="3040" spans="1:4" x14ac:dyDescent="0.25">
      <c r="A3040" s="42">
        <v>224116.13</v>
      </c>
      <c r="B3040" s="39" t="s">
        <v>4695</v>
      </c>
      <c r="C3040" s="40">
        <v>5</v>
      </c>
      <c r="D3040" s="38" t="s">
        <v>266</v>
      </c>
    </row>
    <row r="3041" spans="1:4" x14ac:dyDescent="0.25">
      <c r="A3041" s="42">
        <v>224116.19</v>
      </c>
      <c r="B3041" s="39" t="s">
        <v>4696</v>
      </c>
      <c r="C3041" s="40">
        <v>5</v>
      </c>
      <c r="D3041" s="38" t="s">
        <v>266</v>
      </c>
    </row>
    <row r="3042" spans="1:4" x14ac:dyDescent="0.25">
      <c r="A3042" s="41">
        <v>224119</v>
      </c>
      <c r="B3042" s="39" t="s">
        <v>4697</v>
      </c>
      <c r="C3042" s="40">
        <v>4</v>
      </c>
      <c r="D3042" s="38" t="s">
        <v>266</v>
      </c>
    </row>
    <row r="3043" spans="1:4" x14ac:dyDescent="0.25">
      <c r="A3043" s="41">
        <v>224123</v>
      </c>
      <c r="B3043" s="39" t="s">
        <v>4698</v>
      </c>
      <c r="C3043" s="40">
        <v>4</v>
      </c>
      <c r="D3043" s="38" t="s">
        <v>266</v>
      </c>
    </row>
    <row r="3044" spans="1:4" x14ac:dyDescent="0.25">
      <c r="A3044" s="41">
        <v>224126</v>
      </c>
      <c r="B3044" s="39" t="s">
        <v>4699</v>
      </c>
      <c r="C3044" s="40">
        <v>4</v>
      </c>
      <c r="D3044" s="38" t="s">
        <v>266</v>
      </c>
    </row>
    <row r="3045" spans="1:4" x14ac:dyDescent="0.25">
      <c r="A3045" s="41">
        <v>224136</v>
      </c>
      <c r="B3045" s="39" t="s">
        <v>4700</v>
      </c>
      <c r="C3045" s="40">
        <v>4</v>
      </c>
      <c r="D3045" s="38" t="s">
        <v>266</v>
      </c>
    </row>
    <row r="3046" spans="1:4" x14ac:dyDescent="0.25">
      <c r="A3046" s="41">
        <v>224139</v>
      </c>
      <c r="B3046" s="39" t="s">
        <v>4701</v>
      </c>
      <c r="C3046" s="40">
        <v>4</v>
      </c>
      <c r="D3046" s="38" t="s">
        <v>266</v>
      </c>
    </row>
    <row r="3047" spans="1:4" x14ac:dyDescent="0.25">
      <c r="A3047" s="41">
        <v>224200</v>
      </c>
      <c r="B3047" s="39" t="s">
        <v>4702</v>
      </c>
      <c r="C3047" s="40">
        <v>3</v>
      </c>
      <c r="D3047" s="38" t="s">
        <v>266</v>
      </c>
    </row>
    <row r="3048" spans="1:4" x14ac:dyDescent="0.25">
      <c r="A3048" s="41">
        <v>224213</v>
      </c>
      <c r="B3048" s="39" t="s">
        <v>4703</v>
      </c>
      <c r="C3048" s="40">
        <v>4</v>
      </c>
      <c r="D3048" s="38" t="s">
        <v>266</v>
      </c>
    </row>
    <row r="3049" spans="1:4" x14ac:dyDescent="0.25">
      <c r="A3049" s="42">
        <v>224213.13</v>
      </c>
      <c r="B3049" s="39" t="s">
        <v>4704</v>
      </c>
      <c r="C3049" s="40">
        <v>5</v>
      </c>
      <c r="D3049" s="38" t="s">
        <v>266</v>
      </c>
    </row>
    <row r="3050" spans="1:4" x14ac:dyDescent="0.25">
      <c r="A3050" s="42">
        <v>224213.16</v>
      </c>
      <c r="B3050" s="39" t="s">
        <v>4705</v>
      </c>
      <c r="C3050" s="40">
        <v>5</v>
      </c>
      <c r="D3050" s="38" t="s">
        <v>266</v>
      </c>
    </row>
    <row r="3051" spans="1:4" x14ac:dyDescent="0.25">
      <c r="A3051" s="41">
        <v>224216</v>
      </c>
      <c r="B3051" s="39" t="s">
        <v>4706</v>
      </c>
      <c r="C3051" s="40">
        <v>4</v>
      </c>
      <c r="D3051" s="38" t="s">
        <v>266</v>
      </c>
    </row>
    <row r="3052" spans="1:4" x14ac:dyDescent="0.25">
      <c r="A3052" s="42">
        <v>224216.13</v>
      </c>
      <c r="B3052" s="39" t="s">
        <v>4707</v>
      </c>
      <c r="C3052" s="40">
        <v>5</v>
      </c>
      <c r="D3052" s="38" t="s">
        <v>266</v>
      </c>
    </row>
    <row r="3053" spans="1:4" x14ac:dyDescent="0.25">
      <c r="A3053" s="42">
        <v>224216.16</v>
      </c>
      <c r="B3053" s="39" t="s">
        <v>4708</v>
      </c>
      <c r="C3053" s="40">
        <v>5</v>
      </c>
      <c r="D3053" s="38" t="s">
        <v>266</v>
      </c>
    </row>
    <row r="3054" spans="1:4" x14ac:dyDescent="0.25">
      <c r="A3054" s="41">
        <v>224219</v>
      </c>
      <c r="B3054" s="39" t="s">
        <v>4709</v>
      </c>
      <c r="C3054" s="40">
        <v>4</v>
      </c>
      <c r="D3054" s="38" t="s">
        <v>266</v>
      </c>
    </row>
    <row r="3055" spans="1:4" x14ac:dyDescent="0.25">
      <c r="A3055" s="41">
        <v>224223</v>
      </c>
      <c r="B3055" s="39" t="s">
        <v>4710</v>
      </c>
      <c r="C3055" s="40">
        <v>4</v>
      </c>
      <c r="D3055" s="38" t="s">
        <v>266</v>
      </c>
    </row>
    <row r="3056" spans="1:4" x14ac:dyDescent="0.25">
      <c r="A3056" s="41">
        <v>224226</v>
      </c>
      <c r="B3056" s="39" t="s">
        <v>4711</v>
      </c>
      <c r="C3056" s="40">
        <v>4</v>
      </c>
      <c r="D3056" s="38" t="s">
        <v>266</v>
      </c>
    </row>
    <row r="3057" spans="1:4" x14ac:dyDescent="0.25">
      <c r="A3057" s="41">
        <v>224229</v>
      </c>
      <c r="B3057" s="39" t="s">
        <v>4712</v>
      </c>
      <c r="C3057" s="40">
        <v>4</v>
      </c>
      <c r="D3057" s="38" t="s">
        <v>266</v>
      </c>
    </row>
    <row r="3058" spans="1:4" x14ac:dyDescent="0.25">
      <c r="A3058" s="41">
        <v>224233</v>
      </c>
      <c r="B3058" s="39" t="s">
        <v>4713</v>
      </c>
      <c r="C3058" s="40">
        <v>4</v>
      </c>
      <c r="D3058" s="38" t="s">
        <v>266</v>
      </c>
    </row>
    <row r="3059" spans="1:4" x14ac:dyDescent="0.25">
      <c r="A3059" s="41">
        <v>224236</v>
      </c>
      <c r="B3059" s="39" t="s">
        <v>4714</v>
      </c>
      <c r="C3059" s="40">
        <v>4</v>
      </c>
      <c r="D3059" s="38" t="s">
        <v>266</v>
      </c>
    </row>
    <row r="3060" spans="1:4" x14ac:dyDescent="0.25">
      <c r="A3060" s="41">
        <v>224239</v>
      </c>
      <c r="B3060" s="39" t="s">
        <v>4715</v>
      </c>
      <c r="C3060" s="40">
        <v>4</v>
      </c>
      <c r="D3060" s="38" t="s">
        <v>266</v>
      </c>
    </row>
    <row r="3061" spans="1:4" x14ac:dyDescent="0.25">
      <c r="A3061" s="41">
        <v>224243</v>
      </c>
      <c r="B3061" s="39" t="s">
        <v>4716</v>
      </c>
      <c r="C3061" s="40">
        <v>4</v>
      </c>
      <c r="D3061" s="38" t="s">
        <v>266</v>
      </c>
    </row>
    <row r="3062" spans="1:4" x14ac:dyDescent="0.25">
      <c r="A3062" s="41">
        <v>224300</v>
      </c>
      <c r="B3062" s="39" t="s">
        <v>4717</v>
      </c>
      <c r="C3062" s="40">
        <v>3</v>
      </c>
      <c r="D3062" s="38" t="s">
        <v>266</v>
      </c>
    </row>
    <row r="3063" spans="1:4" x14ac:dyDescent="0.25">
      <c r="A3063" s="41">
        <v>224313</v>
      </c>
      <c r="B3063" s="39" t="s">
        <v>4718</v>
      </c>
      <c r="C3063" s="40">
        <v>4</v>
      </c>
      <c r="D3063" s="38" t="s">
        <v>266</v>
      </c>
    </row>
    <row r="3064" spans="1:4" x14ac:dyDescent="0.25">
      <c r="A3064" s="41">
        <v>224316</v>
      </c>
      <c r="B3064" s="39" t="s">
        <v>4719</v>
      </c>
      <c r="C3064" s="40">
        <v>4</v>
      </c>
      <c r="D3064" s="38" t="s">
        <v>266</v>
      </c>
    </row>
    <row r="3065" spans="1:4" x14ac:dyDescent="0.25">
      <c r="A3065" s="41">
        <v>224319</v>
      </c>
      <c r="B3065" s="39" t="s">
        <v>4720</v>
      </c>
      <c r="C3065" s="40">
        <v>4</v>
      </c>
      <c r="D3065" s="38" t="s">
        <v>266</v>
      </c>
    </row>
    <row r="3066" spans="1:4" x14ac:dyDescent="0.25">
      <c r="A3066" s="41">
        <v>224323</v>
      </c>
      <c r="B3066" s="39" t="s">
        <v>4721</v>
      </c>
      <c r="C3066" s="40">
        <v>4</v>
      </c>
      <c r="D3066" s="38" t="s">
        <v>266</v>
      </c>
    </row>
    <row r="3067" spans="1:4" x14ac:dyDescent="0.25">
      <c r="A3067" s="41">
        <v>224339</v>
      </c>
      <c r="B3067" s="39" t="s">
        <v>4722</v>
      </c>
      <c r="C3067" s="40">
        <v>4</v>
      </c>
      <c r="D3067" s="38" t="s">
        <v>266</v>
      </c>
    </row>
    <row r="3068" spans="1:4" x14ac:dyDescent="0.25">
      <c r="A3068" s="41">
        <v>224343</v>
      </c>
      <c r="B3068" s="39" t="s">
        <v>4723</v>
      </c>
      <c r="C3068" s="40">
        <v>4</v>
      </c>
      <c r="D3068" s="38" t="s">
        <v>266</v>
      </c>
    </row>
    <row r="3069" spans="1:4" x14ac:dyDescent="0.25">
      <c r="A3069" s="41">
        <v>224500</v>
      </c>
      <c r="B3069" s="39" t="s">
        <v>4724</v>
      </c>
      <c r="C3069" s="40">
        <v>3</v>
      </c>
      <c r="D3069" s="38" t="s">
        <v>266</v>
      </c>
    </row>
    <row r="3070" spans="1:4" x14ac:dyDescent="0.25">
      <c r="A3070" s="41">
        <v>224513</v>
      </c>
      <c r="B3070" s="39" t="s">
        <v>4725</v>
      </c>
      <c r="C3070" s="40">
        <v>4</v>
      </c>
      <c r="D3070" s="38" t="s">
        <v>266</v>
      </c>
    </row>
    <row r="3071" spans="1:4" x14ac:dyDescent="0.25">
      <c r="A3071" s="41">
        <v>224516</v>
      </c>
      <c r="B3071" s="39" t="s">
        <v>4726</v>
      </c>
      <c r="C3071" s="40">
        <v>4</v>
      </c>
      <c r="D3071" s="38" t="s">
        <v>266</v>
      </c>
    </row>
    <row r="3072" spans="1:4" x14ac:dyDescent="0.25">
      <c r="A3072" s="41">
        <v>224519</v>
      </c>
      <c r="B3072" s="39" t="s">
        <v>4727</v>
      </c>
      <c r="C3072" s="40">
        <v>4</v>
      </c>
      <c r="D3072" s="38" t="s">
        <v>266</v>
      </c>
    </row>
    <row r="3073" spans="1:4" x14ac:dyDescent="0.25">
      <c r="A3073" s="41">
        <v>224523</v>
      </c>
      <c r="B3073" s="39" t="s">
        <v>4728</v>
      </c>
      <c r="C3073" s="40">
        <v>4</v>
      </c>
      <c r="D3073" s="38" t="s">
        <v>266</v>
      </c>
    </row>
    <row r="3074" spans="1:4" x14ac:dyDescent="0.25">
      <c r="A3074" s="41">
        <v>224526</v>
      </c>
      <c r="B3074" s="39" t="s">
        <v>4729</v>
      </c>
      <c r="C3074" s="40">
        <v>4</v>
      </c>
      <c r="D3074" s="38" t="s">
        <v>266</v>
      </c>
    </row>
    <row r="3075" spans="1:4" x14ac:dyDescent="0.25">
      <c r="A3075" s="41">
        <v>224529</v>
      </c>
      <c r="B3075" s="39" t="s">
        <v>4730</v>
      </c>
      <c r="C3075" s="40">
        <v>4</v>
      </c>
      <c r="D3075" s="38" t="s">
        <v>266</v>
      </c>
    </row>
    <row r="3076" spans="1:4" x14ac:dyDescent="0.25">
      <c r="A3076" s="41">
        <v>224533</v>
      </c>
      <c r="B3076" s="39" t="s">
        <v>4731</v>
      </c>
      <c r="C3076" s="40">
        <v>4</v>
      </c>
      <c r="D3076" s="38" t="s">
        <v>266</v>
      </c>
    </row>
    <row r="3077" spans="1:4" x14ac:dyDescent="0.25">
      <c r="A3077" s="41">
        <v>224536</v>
      </c>
      <c r="B3077" s="39" t="s">
        <v>4732</v>
      </c>
      <c r="C3077" s="40">
        <v>4</v>
      </c>
      <c r="D3077" s="38" t="s">
        <v>266</v>
      </c>
    </row>
    <row r="3078" spans="1:4" x14ac:dyDescent="0.25">
      <c r="A3078" s="41">
        <v>224600</v>
      </c>
      <c r="B3078" s="39" t="s">
        <v>4733</v>
      </c>
      <c r="C3078" s="40">
        <v>3</v>
      </c>
      <c r="D3078" s="38" t="s">
        <v>266</v>
      </c>
    </row>
    <row r="3079" spans="1:4" x14ac:dyDescent="0.25">
      <c r="A3079" s="41">
        <v>224619</v>
      </c>
      <c r="B3079" s="39" t="s">
        <v>4734</v>
      </c>
      <c r="C3079" s="40">
        <v>4</v>
      </c>
      <c r="D3079" s="38" t="s">
        <v>266</v>
      </c>
    </row>
    <row r="3080" spans="1:4" x14ac:dyDescent="0.25">
      <c r="A3080" s="41">
        <v>224613</v>
      </c>
      <c r="B3080" s="39" t="s">
        <v>4735</v>
      </c>
      <c r="C3080" s="40">
        <v>4</v>
      </c>
      <c r="D3080" s="38" t="s">
        <v>266</v>
      </c>
    </row>
    <row r="3081" spans="1:4" x14ac:dyDescent="0.25">
      <c r="A3081" s="42">
        <v>224613.13</v>
      </c>
      <c r="B3081" s="39" t="s">
        <v>4736</v>
      </c>
      <c r="C3081" s="40">
        <v>5</v>
      </c>
      <c r="D3081" s="38" t="s">
        <v>266</v>
      </c>
    </row>
    <row r="3082" spans="1:4" x14ac:dyDescent="0.25">
      <c r="A3082" s="42">
        <v>224613.16</v>
      </c>
      <c r="B3082" s="39" t="s">
        <v>4737</v>
      </c>
      <c r="C3082" s="40">
        <v>5</v>
      </c>
      <c r="D3082" s="38" t="s">
        <v>266</v>
      </c>
    </row>
    <row r="3083" spans="1:4" x14ac:dyDescent="0.25">
      <c r="A3083" s="41">
        <v>224616</v>
      </c>
      <c r="B3083" s="39" t="s">
        <v>4738</v>
      </c>
      <c r="C3083" s="40">
        <v>4</v>
      </c>
      <c r="D3083" s="38" t="s">
        <v>266</v>
      </c>
    </row>
    <row r="3084" spans="1:4" x14ac:dyDescent="0.25">
      <c r="A3084" s="42">
        <v>224616.13</v>
      </c>
      <c r="B3084" s="39" t="s">
        <v>4739</v>
      </c>
      <c r="C3084" s="40">
        <v>5</v>
      </c>
      <c r="D3084" s="38" t="s">
        <v>266</v>
      </c>
    </row>
    <row r="3085" spans="1:4" x14ac:dyDescent="0.25">
      <c r="A3085" s="42">
        <v>224616.16</v>
      </c>
      <c r="B3085" s="39" t="s">
        <v>4740</v>
      </c>
      <c r="C3085" s="40">
        <v>5</v>
      </c>
      <c r="D3085" s="38" t="s">
        <v>266</v>
      </c>
    </row>
    <row r="3086" spans="1:4" x14ac:dyDescent="0.25">
      <c r="A3086" s="41">
        <v>224639</v>
      </c>
      <c r="B3086" s="39" t="s">
        <v>4741</v>
      </c>
      <c r="C3086" s="40">
        <v>4</v>
      </c>
      <c r="D3086" s="38" t="s">
        <v>266</v>
      </c>
    </row>
    <row r="3087" spans="1:4" x14ac:dyDescent="0.25">
      <c r="A3087" s="41">
        <v>224643</v>
      </c>
      <c r="B3087" s="39" t="s">
        <v>4742</v>
      </c>
      <c r="C3087" s="40">
        <v>4</v>
      </c>
      <c r="D3087" s="38" t="s">
        <v>266</v>
      </c>
    </row>
    <row r="3088" spans="1:4" x14ac:dyDescent="0.25">
      <c r="A3088" s="41">
        <v>224653</v>
      </c>
      <c r="B3088" s="39" t="s">
        <v>4743</v>
      </c>
      <c r="C3088" s="40">
        <v>4</v>
      </c>
      <c r="D3088" s="38" t="s">
        <v>266</v>
      </c>
    </row>
    <row r="3089" spans="1:4" x14ac:dyDescent="0.25">
      <c r="A3089" s="41">
        <v>224700</v>
      </c>
      <c r="B3089" s="39" t="s">
        <v>4744</v>
      </c>
      <c r="C3089" s="40">
        <v>3</v>
      </c>
      <c r="D3089" s="38" t="s">
        <v>266</v>
      </c>
    </row>
    <row r="3090" spans="1:4" x14ac:dyDescent="0.25">
      <c r="A3090" s="41">
        <v>224713</v>
      </c>
      <c r="B3090" s="39" t="s">
        <v>4745</v>
      </c>
      <c r="C3090" s="40">
        <v>4</v>
      </c>
      <c r="D3090" s="38" t="s">
        <v>266</v>
      </c>
    </row>
    <row r="3091" spans="1:4" x14ac:dyDescent="0.25">
      <c r="A3091" s="41">
        <v>224716</v>
      </c>
      <c r="B3091" s="39" t="s">
        <v>4746</v>
      </c>
      <c r="C3091" s="40">
        <v>4</v>
      </c>
      <c r="D3091" s="38" t="s">
        <v>266</v>
      </c>
    </row>
    <row r="3092" spans="1:4" x14ac:dyDescent="0.25">
      <c r="A3092" s="41">
        <v>224719</v>
      </c>
      <c r="B3092" s="39" t="s">
        <v>4747</v>
      </c>
      <c r="C3092" s="40">
        <v>4</v>
      </c>
      <c r="D3092" s="38" t="s">
        <v>266</v>
      </c>
    </row>
    <row r="3093" spans="1:4" x14ac:dyDescent="0.25">
      <c r="A3093" s="41">
        <v>224723</v>
      </c>
      <c r="B3093" s="39" t="s">
        <v>4748</v>
      </c>
      <c r="C3093" s="40">
        <v>4</v>
      </c>
      <c r="D3093" s="38" t="s">
        <v>266</v>
      </c>
    </row>
    <row r="3094" spans="1:4" x14ac:dyDescent="0.25">
      <c r="A3094" s="41">
        <v>225000</v>
      </c>
      <c r="B3094" s="39" t="s">
        <v>4749</v>
      </c>
      <c r="C3094" s="40">
        <v>3</v>
      </c>
      <c r="D3094" s="38" t="s">
        <v>266</v>
      </c>
    </row>
    <row r="3095" spans="1:4" x14ac:dyDescent="0.25">
      <c r="A3095" s="41">
        <v>225100</v>
      </c>
      <c r="B3095" s="39" t="s">
        <v>4750</v>
      </c>
      <c r="C3095" s="40">
        <v>3</v>
      </c>
      <c r="D3095" s="38" t="s">
        <v>266</v>
      </c>
    </row>
    <row r="3096" spans="1:4" x14ac:dyDescent="0.25">
      <c r="A3096" s="41">
        <v>225113</v>
      </c>
      <c r="B3096" s="39" t="s">
        <v>4751</v>
      </c>
      <c r="C3096" s="40">
        <v>4</v>
      </c>
      <c r="D3096" s="38" t="s">
        <v>266</v>
      </c>
    </row>
    <row r="3097" spans="1:4" x14ac:dyDescent="0.25">
      <c r="A3097" s="41">
        <v>225116</v>
      </c>
      <c r="B3097" s="39" t="s">
        <v>4752</v>
      </c>
      <c r="C3097" s="40">
        <v>4</v>
      </c>
      <c r="D3097" s="38" t="s">
        <v>266</v>
      </c>
    </row>
    <row r="3098" spans="1:4" x14ac:dyDescent="0.25">
      <c r="A3098" s="41">
        <v>225119</v>
      </c>
      <c r="B3098" s="39" t="s">
        <v>4753</v>
      </c>
      <c r="C3098" s="40">
        <v>4</v>
      </c>
      <c r="D3098" s="38" t="s">
        <v>266</v>
      </c>
    </row>
    <row r="3099" spans="1:4" x14ac:dyDescent="0.25">
      <c r="A3099" s="41">
        <v>225123</v>
      </c>
      <c r="B3099" s="39" t="s">
        <v>4754</v>
      </c>
      <c r="C3099" s="40">
        <v>4</v>
      </c>
      <c r="D3099" s="38" t="s">
        <v>266</v>
      </c>
    </row>
    <row r="3100" spans="1:4" x14ac:dyDescent="0.25">
      <c r="A3100" s="41">
        <v>225200</v>
      </c>
      <c r="B3100" s="39" t="s">
        <v>4755</v>
      </c>
      <c r="C3100" s="40">
        <v>3</v>
      </c>
      <c r="D3100" s="38" t="s">
        <v>266</v>
      </c>
    </row>
    <row r="3101" spans="1:4" x14ac:dyDescent="0.25">
      <c r="A3101" s="41">
        <v>225213</v>
      </c>
      <c r="B3101" s="39" t="s">
        <v>4756</v>
      </c>
      <c r="C3101" s="40">
        <v>4</v>
      </c>
      <c r="D3101" s="38" t="s">
        <v>266</v>
      </c>
    </row>
    <row r="3102" spans="1:4" x14ac:dyDescent="0.25">
      <c r="A3102" s="41">
        <v>225216</v>
      </c>
      <c r="B3102" s="39" t="s">
        <v>4757</v>
      </c>
      <c r="C3102" s="40">
        <v>4</v>
      </c>
      <c r="D3102" s="38" t="s">
        <v>266</v>
      </c>
    </row>
    <row r="3103" spans="1:4" x14ac:dyDescent="0.25">
      <c r="A3103" s="41">
        <v>225219</v>
      </c>
      <c r="B3103" s="39" t="s">
        <v>4758</v>
      </c>
      <c r="C3103" s="40">
        <v>4</v>
      </c>
      <c r="D3103" s="38" t="s">
        <v>266</v>
      </c>
    </row>
    <row r="3104" spans="1:4" x14ac:dyDescent="0.25">
      <c r="A3104" s="41">
        <v>225223</v>
      </c>
      <c r="B3104" s="39" t="s">
        <v>4759</v>
      </c>
      <c r="C3104" s="40">
        <v>4</v>
      </c>
      <c r="D3104" s="38" t="s">
        <v>266</v>
      </c>
    </row>
    <row r="3105" spans="1:4" x14ac:dyDescent="0.25">
      <c r="A3105" s="41">
        <v>226000</v>
      </c>
      <c r="B3105" s="39" t="s">
        <v>4760</v>
      </c>
      <c r="C3105" s="40">
        <v>3</v>
      </c>
      <c r="D3105" s="38" t="s">
        <v>266</v>
      </c>
    </row>
    <row r="3106" spans="1:4" x14ac:dyDescent="0.25">
      <c r="A3106" s="41">
        <v>226100</v>
      </c>
      <c r="B3106" s="39" t="s">
        <v>4761</v>
      </c>
      <c r="C3106" s="40">
        <v>3</v>
      </c>
      <c r="D3106" s="38" t="s">
        <v>266</v>
      </c>
    </row>
    <row r="3107" spans="1:4" x14ac:dyDescent="0.25">
      <c r="A3107" s="41">
        <v>226113</v>
      </c>
      <c r="B3107" s="39" t="s">
        <v>4762</v>
      </c>
      <c r="C3107" s="40">
        <v>4</v>
      </c>
      <c r="D3107" s="38" t="s">
        <v>266</v>
      </c>
    </row>
    <row r="3108" spans="1:4" x14ac:dyDescent="0.25">
      <c r="A3108" s="42">
        <v>226113.53</v>
      </c>
      <c r="B3108" s="39" t="s">
        <v>4763</v>
      </c>
      <c r="C3108" s="40">
        <v>5</v>
      </c>
      <c r="D3108" s="38" t="s">
        <v>266</v>
      </c>
    </row>
    <row r="3109" spans="1:4" x14ac:dyDescent="0.25">
      <c r="A3109" s="42">
        <v>226113.7</v>
      </c>
      <c r="B3109" s="39" t="s">
        <v>4764</v>
      </c>
      <c r="C3109" s="40">
        <v>5</v>
      </c>
      <c r="D3109" s="38" t="s">
        <v>266</v>
      </c>
    </row>
    <row r="3110" spans="1:4" x14ac:dyDescent="0.25">
      <c r="A3110" s="42">
        <v>226113.74</v>
      </c>
      <c r="B3110" s="39" t="s">
        <v>4765</v>
      </c>
      <c r="C3110" s="40">
        <v>5</v>
      </c>
      <c r="D3110" s="38" t="s">
        <v>266</v>
      </c>
    </row>
    <row r="3111" spans="1:4" x14ac:dyDescent="0.25">
      <c r="A3111" s="41">
        <v>226119</v>
      </c>
      <c r="B3111" s="39" t="s">
        <v>4766</v>
      </c>
      <c r="C3111" s="40">
        <v>4</v>
      </c>
      <c r="D3111" s="38" t="s">
        <v>266</v>
      </c>
    </row>
    <row r="3112" spans="1:4" x14ac:dyDescent="0.25">
      <c r="A3112" s="42">
        <v>226119.53</v>
      </c>
      <c r="B3112" s="39" t="s">
        <v>4767</v>
      </c>
      <c r="C3112" s="40">
        <v>5</v>
      </c>
      <c r="D3112" s="38" t="s">
        <v>266</v>
      </c>
    </row>
    <row r="3113" spans="1:4" x14ac:dyDescent="0.25">
      <c r="A3113" s="42">
        <v>226119.7</v>
      </c>
      <c r="B3113" s="39" t="s">
        <v>4768</v>
      </c>
      <c r="C3113" s="40">
        <v>5</v>
      </c>
      <c r="D3113" s="38" t="s">
        <v>266</v>
      </c>
    </row>
    <row r="3114" spans="1:4" x14ac:dyDescent="0.25">
      <c r="A3114" s="42">
        <v>226119.74</v>
      </c>
      <c r="B3114" s="39" t="s">
        <v>4769</v>
      </c>
      <c r="C3114" s="40">
        <v>5</v>
      </c>
      <c r="D3114" s="38" t="s">
        <v>266</v>
      </c>
    </row>
    <row r="3115" spans="1:4" x14ac:dyDescent="0.25">
      <c r="A3115" s="41">
        <v>226200</v>
      </c>
      <c r="B3115" s="39" t="s">
        <v>4770</v>
      </c>
      <c r="C3115" s="40">
        <v>3</v>
      </c>
      <c r="D3115" s="38" t="s">
        <v>266</v>
      </c>
    </row>
    <row r="3116" spans="1:4" x14ac:dyDescent="0.25">
      <c r="A3116" s="41">
        <v>226213</v>
      </c>
      <c r="B3116" s="39" t="s">
        <v>4771</v>
      </c>
      <c r="C3116" s="40">
        <v>4</v>
      </c>
      <c r="D3116" s="38" t="s">
        <v>266</v>
      </c>
    </row>
    <row r="3117" spans="1:4" x14ac:dyDescent="0.25">
      <c r="A3117" s="42">
        <v>226213.53</v>
      </c>
      <c r="B3117" s="39" t="s">
        <v>4772</v>
      </c>
      <c r="C3117" s="40">
        <v>5</v>
      </c>
      <c r="D3117" s="38" t="s">
        <v>266</v>
      </c>
    </row>
    <row r="3118" spans="1:4" x14ac:dyDescent="0.25">
      <c r="A3118" s="42">
        <v>226213.7</v>
      </c>
      <c r="B3118" s="39" t="s">
        <v>4773</v>
      </c>
      <c r="C3118" s="40">
        <v>5</v>
      </c>
      <c r="D3118" s="38" t="s">
        <v>266</v>
      </c>
    </row>
    <row r="3119" spans="1:4" x14ac:dyDescent="0.25">
      <c r="A3119" s="42">
        <v>226213.74</v>
      </c>
      <c r="B3119" s="39" t="s">
        <v>4774</v>
      </c>
      <c r="C3119" s="40">
        <v>5</v>
      </c>
      <c r="D3119" s="38" t="s">
        <v>266</v>
      </c>
    </row>
    <row r="3120" spans="1:4" x14ac:dyDescent="0.25">
      <c r="A3120" s="41">
        <v>226219</v>
      </c>
      <c r="B3120" s="39" t="s">
        <v>4775</v>
      </c>
      <c r="C3120" s="40">
        <v>4</v>
      </c>
      <c r="D3120" s="38" t="s">
        <v>266</v>
      </c>
    </row>
    <row r="3121" spans="1:4" x14ac:dyDescent="0.25">
      <c r="A3121" s="42">
        <v>226219.53</v>
      </c>
      <c r="B3121" s="39" t="s">
        <v>4776</v>
      </c>
      <c r="C3121" s="40">
        <v>5</v>
      </c>
      <c r="D3121" s="38" t="s">
        <v>266</v>
      </c>
    </row>
    <row r="3122" spans="1:4" x14ac:dyDescent="0.25">
      <c r="A3122" s="42">
        <v>226219.7</v>
      </c>
      <c r="B3122" s="39" t="s">
        <v>4777</v>
      </c>
      <c r="C3122" s="40">
        <v>5</v>
      </c>
      <c r="D3122" s="38" t="s">
        <v>266</v>
      </c>
    </row>
    <row r="3123" spans="1:4" x14ac:dyDescent="0.25">
      <c r="A3123" s="42">
        <v>226219.74</v>
      </c>
      <c r="B3123" s="39" t="s">
        <v>4778</v>
      </c>
      <c r="C3123" s="40">
        <v>5</v>
      </c>
      <c r="D3123" s="38" t="s">
        <v>266</v>
      </c>
    </row>
    <row r="3124" spans="1:4" x14ac:dyDescent="0.25">
      <c r="A3124" s="41">
        <v>226223</v>
      </c>
      <c r="B3124" s="39" t="s">
        <v>4779</v>
      </c>
      <c r="C3124" s="40">
        <v>4</v>
      </c>
      <c r="D3124" s="38" t="s">
        <v>266</v>
      </c>
    </row>
    <row r="3125" spans="1:4" x14ac:dyDescent="0.25">
      <c r="A3125" s="41">
        <v>226300</v>
      </c>
      <c r="B3125" s="39" t="s">
        <v>4780</v>
      </c>
      <c r="C3125" s="40">
        <v>3</v>
      </c>
      <c r="D3125" s="38" t="s">
        <v>266</v>
      </c>
    </row>
    <row r="3126" spans="1:4" x14ac:dyDescent="0.25">
      <c r="A3126" s="41">
        <v>226313</v>
      </c>
      <c r="B3126" s="39" t="s">
        <v>4781</v>
      </c>
      <c r="C3126" s="40">
        <v>4</v>
      </c>
      <c r="D3126" s="38" t="s">
        <v>266</v>
      </c>
    </row>
    <row r="3127" spans="1:4" x14ac:dyDescent="0.25">
      <c r="A3127" s="42">
        <v>226313.53</v>
      </c>
      <c r="B3127" s="39" t="s">
        <v>4782</v>
      </c>
      <c r="C3127" s="40">
        <v>5</v>
      </c>
      <c r="D3127" s="38" t="s">
        <v>266</v>
      </c>
    </row>
    <row r="3128" spans="1:4" x14ac:dyDescent="0.25">
      <c r="A3128" s="42">
        <v>226313.7</v>
      </c>
      <c r="B3128" s="39" t="s">
        <v>4783</v>
      </c>
      <c r="C3128" s="40">
        <v>5</v>
      </c>
      <c r="D3128" s="38" t="s">
        <v>266</v>
      </c>
    </row>
    <row r="3129" spans="1:4" x14ac:dyDescent="0.25">
      <c r="A3129" s="41">
        <v>226319</v>
      </c>
      <c r="B3129" s="39" t="s">
        <v>4784</v>
      </c>
      <c r="C3129" s="40">
        <v>4</v>
      </c>
      <c r="D3129" s="38" t="s">
        <v>266</v>
      </c>
    </row>
    <row r="3130" spans="1:4" x14ac:dyDescent="0.25">
      <c r="A3130" s="42">
        <v>226319.53</v>
      </c>
      <c r="B3130" s="39" t="s">
        <v>4785</v>
      </c>
      <c r="C3130" s="40">
        <v>5</v>
      </c>
      <c r="D3130" s="38" t="s">
        <v>266</v>
      </c>
    </row>
    <row r="3131" spans="1:4" x14ac:dyDescent="0.25">
      <c r="A3131" s="42">
        <v>226319.7</v>
      </c>
      <c r="B3131" s="39" t="s">
        <v>4786</v>
      </c>
      <c r="C3131" s="40">
        <v>5</v>
      </c>
      <c r="D3131" s="38" t="s">
        <v>266</v>
      </c>
    </row>
    <row r="3132" spans="1:4" x14ac:dyDescent="0.25">
      <c r="A3132" s="41">
        <v>226600</v>
      </c>
      <c r="B3132" s="39" t="s">
        <v>4787</v>
      </c>
      <c r="C3132" s="40">
        <v>3</v>
      </c>
      <c r="D3132" s="38" t="s">
        <v>266</v>
      </c>
    </row>
    <row r="3133" spans="1:4" x14ac:dyDescent="0.25">
      <c r="A3133" s="41">
        <v>226653</v>
      </c>
      <c r="B3133" s="39" t="s">
        <v>4788</v>
      </c>
      <c r="C3133" s="40">
        <v>4</v>
      </c>
      <c r="D3133" s="38" t="s">
        <v>266</v>
      </c>
    </row>
    <row r="3134" spans="1:4" x14ac:dyDescent="0.25">
      <c r="A3134" s="41">
        <v>226670</v>
      </c>
      <c r="B3134" s="39" t="s">
        <v>4789</v>
      </c>
      <c r="C3134" s="40">
        <v>4</v>
      </c>
      <c r="D3134" s="38" t="s">
        <v>266</v>
      </c>
    </row>
    <row r="3135" spans="1:4" x14ac:dyDescent="0.25">
      <c r="A3135" s="41">
        <v>226683</v>
      </c>
      <c r="B3135" s="39" t="s">
        <v>4790</v>
      </c>
      <c r="C3135" s="40">
        <v>4</v>
      </c>
      <c r="D3135" s="38" t="s">
        <v>266</v>
      </c>
    </row>
    <row r="3136" spans="1:4" x14ac:dyDescent="0.25">
      <c r="A3136" s="42">
        <v>226683.13</v>
      </c>
      <c r="B3136" s="39" t="s">
        <v>4791</v>
      </c>
      <c r="C3136" s="40">
        <v>5</v>
      </c>
      <c r="D3136" s="38" t="s">
        <v>266</v>
      </c>
    </row>
    <row r="3137" spans="1:4" x14ac:dyDescent="0.25">
      <c r="A3137" s="42">
        <v>226683.16</v>
      </c>
      <c r="B3137" s="39" t="s">
        <v>4792</v>
      </c>
      <c r="C3137" s="40">
        <v>5</v>
      </c>
      <c r="D3137" s="38" t="s">
        <v>266</v>
      </c>
    </row>
    <row r="3138" spans="1:4" x14ac:dyDescent="0.25">
      <c r="A3138" s="41">
        <v>226700</v>
      </c>
      <c r="B3138" s="39" t="s">
        <v>4793</v>
      </c>
      <c r="C3138" s="40">
        <v>3</v>
      </c>
      <c r="D3138" s="38" t="s">
        <v>266</v>
      </c>
    </row>
    <row r="3139" spans="1:4" x14ac:dyDescent="0.25">
      <c r="A3139" s="41">
        <v>226713</v>
      </c>
      <c r="B3139" s="39" t="s">
        <v>4794</v>
      </c>
      <c r="C3139" s="40">
        <v>4</v>
      </c>
      <c r="D3139" s="38" t="s">
        <v>266</v>
      </c>
    </row>
    <row r="3140" spans="1:4" x14ac:dyDescent="0.25">
      <c r="A3140" s="42">
        <v>226713.13</v>
      </c>
      <c r="B3140" s="39" t="s">
        <v>4795</v>
      </c>
      <c r="C3140" s="40">
        <v>5</v>
      </c>
      <c r="D3140" s="38" t="s">
        <v>266</v>
      </c>
    </row>
    <row r="3141" spans="1:4" x14ac:dyDescent="0.25">
      <c r="A3141" s="42">
        <v>226713.16</v>
      </c>
      <c r="B3141" s="39" t="s">
        <v>4796</v>
      </c>
      <c r="C3141" s="40">
        <v>5</v>
      </c>
      <c r="D3141" s="38" t="s">
        <v>266</v>
      </c>
    </row>
    <row r="3142" spans="1:4" x14ac:dyDescent="0.25">
      <c r="A3142" s="42">
        <v>226713.19</v>
      </c>
      <c r="B3142" s="39" t="s">
        <v>4797</v>
      </c>
      <c r="C3142" s="40">
        <v>5</v>
      </c>
      <c r="D3142" s="38" t="s">
        <v>266</v>
      </c>
    </row>
    <row r="3143" spans="1:4" x14ac:dyDescent="0.25">
      <c r="A3143" s="41">
        <v>226719</v>
      </c>
      <c r="B3143" s="39" t="s">
        <v>4798</v>
      </c>
      <c r="C3143" s="40">
        <v>4</v>
      </c>
      <c r="D3143" s="38" t="s">
        <v>266</v>
      </c>
    </row>
    <row r="3144" spans="1:4" x14ac:dyDescent="0.25">
      <c r="A3144" s="42">
        <v>226719.13</v>
      </c>
      <c r="B3144" s="39" t="s">
        <v>4799</v>
      </c>
      <c r="C3144" s="40">
        <v>5</v>
      </c>
      <c r="D3144" s="38" t="s">
        <v>266</v>
      </c>
    </row>
    <row r="3145" spans="1:4" x14ac:dyDescent="0.25">
      <c r="A3145" s="42">
        <v>226719.16</v>
      </c>
      <c r="B3145" s="39" t="s">
        <v>4800</v>
      </c>
      <c r="C3145" s="40">
        <v>5</v>
      </c>
      <c r="D3145" s="38" t="s">
        <v>266</v>
      </c>
    </row>
    <row r="3146" spans="1:4" x14ac:dyDescent="0.25">
      <c r="A3146" s="42">
        <v>226719.19</v>
      </c>
      <c r="B3146" s="39" t="s">
        <v>4801</v>
      </c>
      <c r="C3146" s="40">
        <v>5</v>
      </c>
      <c r="D3146" s="38" t="s">
        <v>266</v>
      </c>
    </row>
    <row r="3147" spans="1:4" x14ac:dyDescent="0.25">
      <c r="A3147" s="41">
        <v>230000</v>
      </c>
      <c r="B3147" s="39" t="s">
        <v>4802</v>
      </c>
      <c r="C3147" s="40">
        <v>2</v>
      </c>
      <c r="D3147" s="38" t="s">
        <v>967</v>
      </c>
    </row>
    <row r="3148" spans="1:4" x14ac:dyDescent="0.25">
      <c r="A3148" s="41">
        <v>230100</v>
      </c>
      <c r="B3148" s="39" t="s">
        <v>4803</v>
      </c>
      <c r="C3148" s="40">
        <v>3</v>
      </c>
      <c r="D3148" s="38" t="s">
        <v>266</v>
      </c>
    </row>
    <row r="3149" spans="1:4" x14ac:dyDescent="0.25">
      <c r="A3149" s="41">
        <v>230110</v>
      </c>
      <c r="B3149" s="39" t="s">
        <v>4804</v>
      </c>
      <c r="C3149" s="40">
        <v>4</v>
      </c>
      <c r="D3149" s="38" t="s">
        <v>266</v>
      </c>
    </row>
    <row r="3150" spans="1:4" x14ac:dyDescent="0.25">
      <c r="A3150" s="41">
        <v>230120</v>
      </c>
      <c r="B3150" s="39" t="s">
        <v>4805</v>
      </c>
      <c r="C3150" s="40">
        <v>4</v>
      </c>
      <c r="D3150" s="38" t="s">
        <v>266</v>
      </c>
    </row>
    <row r="3151" spans="1:4" x14ac:dyDescent="0.25">
      <c r="A3151" s="41">
        <v>230130</v>
      </c>
      <c r="B3151" s="39" t="s">
        <v>4806</v>
      </c>
      <c r="C3151" s="40">
        <v>4</v>
      </c>
      <c r="D3151" s="38" t="s">
        <v>266</v>
      </c>
    </row>
    <row r="3152" spans="1:4" x14ac:dyDescent="0.25">
      <c r="A3152" s="42">
        <v>230130.51</v>
      </c>
      <c r="B3152" s="39" t="s">
        <v>4807</v>
      </c>
      <c r="C3152" s="40">
        <v>5</v>
      </c>
      <c r="D3152" s="38" t="s">
        <v>266</v>
      </c>
    </row>
    <row r="3153" spans="1:4" x14ac:dyDescent="0.25">
      <c r="A3153" s="41">
        <v>230150</v>
      </c>
      <c r="B3153" s="39" t="s">
        <v>4808</v>
      </c>
      <c r="C3153" s="40">
        <v>4</v>
      </c>
      <c r="D3153" s="38" t="s">
        <v>266</v>
      </c>
    </row>
    <row r="3154" spans="1:4" x14ac:dyDescent="0.25">
      <c r="A3154" s="41">
        <v>230160</v>
      </c>
      <c r="B3154" s="39" t="s">
        <v>4809</v>
      </c>
      <c r="C3154" s="40">
        <v>4</v>
      </c>
      <c r="D3154" s="38" t="s">
        <v>266</v>
      </c>
    </row>
    <row r="3155" spans="1:4" x14ac:dyDescent="0.25">
      <c r="A3155" s="42">
        <v>230160.71</v>
      </c>
      <c r="B3155" s="39" t="s">
        <v>4810</v>
      </c>
      <c r="C3155" s="40">
        <v>5</v>
      </c>
      <c r="D3155" s="38" t="s">
        <v>266</v>
      </c>
    </row>
    <row r="3156" spans="1:4" x14ac:dyDescent="0.25">
      <c r="A3156" s="41">
        <v>230170</v>
      </c>
      <c r="B3156" s="39" t="s">
        <v>4811</v>
      </c>
      <c r="C3156" s="40">
        <v>4</v>
      </c>
      <c r="D3156" s="38" t="s">
        <v>266</v>
      </c>
    </row>
    <row r="3157" spans="1:4" x14ac:dyDescent="0.25">
      <c r="A3157" s="41">
        <v>230180</v>
      </c>
      <c r="B3157" s="39" t="s">
        <v>4812</v>
      </c>
      <c r="C3157" s="40">
        <v>4</v>
      </c>
      <c r="D3157" s="38" t="s">
        <v>266</v>
      </c>
    </row>
    <row r="3158" spans="1:4" x14ac:dyDescent="0.25">
      <c r="A3158" s="41">
        <v>230190</v>
      </c>
      <c r="B3158" s="39" t="s">
        <v>4813</v>
      </c>
      <c r="C3158" s="40">
        <v>4</v>
      </c>
      <c r="D3158" s="38" t="s">
        <v>266</v>
      </c>
    </row>
    <row r="3159" spans="1:4" x14ac:dyDescent="0.25">
      <c r="A3159" s="41">
        <v>230500</v>
      </c>
      <c r="B3159" s="39" t="s">
        <v>4814</v>
      </c>
      <c r="C3159" s="40">
        <v>3</v>
      </c>
      <c r="D3159" s="38" t="s">
        <v>266</v>
      </c>
    </row>
    <row r="3160" spans="1:4" x14ac:dyDescent="0.25">
      <c r="A3160" s="41">
        <v>230513</v>
      </c>
      <c r="B3160" s="39" t="s">
        <v>4815</v>
      </c>
      <c r="C3160" s="40">
        <v>4</v>
      </c>
      <c r="D3160" s="38" t="s">
        <v>266</v>
      </c>
    </row>
    <row r="3161" spans="1:4" x14ac:dyDescent="0.25">
      <c r="A3161" s="41">
        <v>230516</v>
      </c>
      <c r="B3161" s="39" t="s">
        <v>4816</v>
      </c>
      <c r="C3161" s="40">
        <v>4</v>
      </c>
      <c r="D3161" s="38" t="s">
        <v>266</v>
      </c>
    </row>
    <row r="3162" spans="1:4" x14ac:dyDescent="0.25">
      <c r="A3162" s="41">
        <v>230519</v>
      </c>
      <c r="B3162" s="39" t="s">
        <v>4817</v>
      </c>
      <c r="C3162" s="40">
        <v>4</v>
      </c>
      <c r="D3162" s="38" t="s">
        <v>266</v>
      </c>
    </row>
    <row r="3163" spans="1:4" x14ac:dyDescent="0.25">
      <c r="A3163" s="41">
        <v>230523</v>
      </c>
      <c r="B3163" s="39" t="s">
        <v>4818</v>
      </c>
      <c r="C3163" s="40">
        <v>4</v>
      </c>
      <c r="D3163" s="38" t="s">
        <v>266</v>
      </c>
    </row>
    <row r="3164" spans="1:4" x14ac:dyDescent="0.25">
      <c r="A3164" s="41">
        <v>230529</v>
      </c>
      <c r="B3164" s="39" t="s">
        <v>4819</v>
      </c>
      <c r="C3164" s="40">
        <v>4</v>
      </c>
      <c r="D3164" s="38" t="s">
        <v>266</v>
      </c>
    </row>
    <row r="3165" spans="1:4" x14ac:dyDescent="0.25">
      <c r="A3165" s="41">
        <v>230533</v>
      </c>
      <c r="B3165" s="39" t="s">
        <v>4820</v>
      </c>
      <c r="C3165" s="40">
        <v>4</v>
      </c>
      <c r="D3165" s="38" t="s">
        <v>266</v>
      </c>
    </row>
    <row r="3166" spans="1:4" x14ac:dyDescent="0.25">
      <c r="A3166" s="41">
        <v>230548</v>
      </c>
      <c r="B3166" s="39" t="s">
        <v>4821</v>
      </c>
      <c r="C3166" s="40">
        <v>4</v>
      </c>
      <c r="D3166" s="38" t="s">
        <v>266</v>
      </c>
    </row>
    <row r="3167" spans="1:4" x14ac:dyDescent="0.25">
      <c r="A3167" s="41">
        <v>230553</v>
      </c>
      <c r="B3167" s="39" t="s">
        <v>4822</v>
      </c>
      <c r="C3167" s="40">
        <v>4</v>
      </c>
      <c r="D3167" s="38" t="s">
        <v>266</v>
      </c>
    </row>
    <row r="3168" spans="1:4" x14ac:dyDescent="0.25">
      <c r="A3168" s="41">
        <v>230563</v>
      </c>
      <c r="B3168" s="39" t="s">
        <v>4823</v>
      </c>
      <c r="C3168" s="40">
        <v>4</v>
      </c>
      <c r="D3168" s="38" t="s">
        <v>266</v>
      </c>
    </row>
    <row r="3169" spans="1:4" x14ac:dyDescent="0.25">
      <c r="A3169" s="41">
        <v>230566</v>
      </c>
      <c r="B3169" s="39" t="s">
        <v>4824</v>
      </c>
      <c r="C3169" s="40">
        <v>4</v>
      </c>
      <c r="D3169" s="38" t="s">
        <v>266</v>
      </c>
    </row>
    <row r="3170" spans="1:4" x14ac:dyDescent="0.25">
      <c r="A3170" s="41">
        <v>230593</v>
      </c>
      <c r="B3170" s="39" t="s">
        <v>4825</v>
      </c>
      <c r="C3170" s="40">
        <v>4</v>
      </c>
      <c r="D3170" s="38" t="s">
        <v>266</v>
      </c>
    </row>
    <row r="3171" spans="1:4" x14ac:dyDescent="0.25">
      <c r="A3171" s="41">
        <v>230700</v>
      </c>
      <c r="B3171" s="39" t="s">
        <v>4826</v>
      </c>
      <c r="C3171" s="40">
        <v>3</v>
      </c>
      <c r="D3171" s="38" t="s">
        <v>266</v>
      </c>
    </row>
    <row r="3172" spans="1:4" x14ac:dyDescent="0.25">
      <c r="A3172" s="41">
        <v>230713</v>
      </c>
      <c r="B3172" s="39" t="s">
        <v>4827</v>
      </c>
      <c r="C3172" s="40">
        <v>4</v>
      </c>
      <c r="D3172" s="38" t="s">
        <v>266</v>
      </c>
    </row>
    <row r="3173" spans="1:4" x14ac:dyDescent="0.25">
      <c r="A3173" s="41">
        <v>230716</v>
      </c>
      <c r="B3173" s="39" t="s">
        <v>4828</v>
      </c>
      <c r="C3173" s="40">
        <v>4</v>
      </c>
      <c r="D3173" s="38" t="s">
        <v>266</v>
      </c>
    </row>
    <row r="3174" spans="1:4" x14ac:dyDescent="0.25">
      <c r="A3174" s="41">
        <v>230719</v>
      </c>
      <c r="B3174" s="39" t="s">
        <v>4829</v>
      </c>
      <c r="C3174" s="40">
        <v>4</v>
      </c>
      <c r="D3174" s="38" t="s">
        <v>266</v>
      </c>
    </row>
    <row r="3175" spans="1:4" x14ac:dyDescent="0.25">
      <c r="A3175" s="41">
        <v>230800</v>
      </c>
      <c r="B3175" s="39" t="s">
        <v>4830</v>
      </c>
      <c r="C3175" s="40">
        <v>3</v>
      </c>
      <c r="D3175" s="38" t="s">
        <v>266</v>
      </c>
    </row>
    <row r="3176" spans="1:4" x14ac:dyDescent="0.25">
      <c r="A3176" s="41">
        <v>230900</v>
      </c>
      <c r="B3176" s="39" t="s">
        <v>4831</v>
      </c>
      <c r="C3176" s="40">
        <v>3</v>
      </c>
      <c r="D3176" s="38" t="s">
        <v>266</v>
      </c>
    </row>
    <row r="3177" spans="1:4" x14ac:dyDescent="0.25">
      <c r="A3177" s="41">
        <v>230913</v>
      </c>
      <c r="B3177" s="39" t="s">
        <v>4832</v>
      </c>
      <c r="C3177" s="40">
        <v>4</v>
      </c>
      <c r="D3177" s="38" t="s">
        <v>266</v>
      </c>
    </row>
    <row r="3178" spans="1:4" x14ac:dyDescent="0.25">
      <c r="A3178" s="42">
        <v>230913.13</v>
      </c>
      <c r="B3178" s="39" t="s">
        <v>4833</v>
      </c>
      <c r="C3178" s="40">
        <v>5</v>
      </c>
      <c r="D3178" s="38" t="s">
        <v>266</v>
      </c>
    </row>
    <row r="3179" spans="1:4" x14ac:dyDescent="0.25">
      <c r="A3179" s="42">
        <v>230913.23</v>
      </c>
      <c r="B3179" s="39" t="s">
        <v>4834</v>
      </c>
      <c r="C3179" s="40">
        <v>5</v>
      </c>
      <c r="D3179" s="38" t="s">
        <v>266</v>
      </c>
    </row>
    <row r="3180" spans="1:4" x14ac:dyDescent="0.25">
      <c r="A3180" s="42">
        <v>230913.33</v>
      </c>
      <c r="B3180" s="39" t="s">
        <v>4835</v>
      </c>
      <c r="C3180" s="40">
        <v>5</v>
      </c>
      <c r="D3180" s="38" t="s">
        <v>266</v>
      </c>
    </row>
    <row r="3181" spans="1:4" x14ac:dyDescent="0.25">
      <c r="A3181" s="42">
        <v>230913.43</v>
      </c>
      <c r="B3181" s="39" t="s">
        <v>4836</v>
      </c>
      <c r="C3181" s="40">
        <v>5</v>
      </c>
      <c r="D3181" s="38" t="s">
        <v>266</v>
      </c>
    </row>
    <row r="3182" spans="1:4" x14ac:dyDescent="0.25">
      <c r="A3182" s="41">
        <v>230923</v>
      </c>
      <c r="B3182" s="39" t="s">
        <v>4837</v>
      </c>
      <c r="C3182" s="40">
        <v>4</v>
      </c>
      <c r="D3182" s="38" t="s">
        <v>266</v>
      </c>
    </row>
    <row r="3183" spans="1:4" x14ac:dyDescent="0.25">
      <c r="A3183" s="41">
        <v>230933</v>
      </c>
      <c r="B3183" s="39" t="s">
        <v>4838</v>
      </c>
      <c r="C3183" s="40">
        <v>4</v>
      </c>
      <c r="D3183" s="38" t="s">
        <v>266</v>
      </c>
    </row>
    <row r="3184" spans="1:4" x14ac:dyDescent="0.25">
      <c r="A3184" s="41">
        <v>230943</v>
      </c>
      <c r="B3184" s="39" t="s">
        <v>4839</v>
      </c>
      <c r="C3184" s="40">
        <v>4</v>
      </c>
      <c r="D3184" s="38" t="s">
        <v>266</v>
      </c>
    </row>
    <row r="3185" spans="1:4" x14ac:dyDescent="0.25">
      <c r="A3185" s="41">
        <v>230953</v>
      </c>
      <c r="B3185" s="39" t="s">
        <v>4840</v>
      </c>
      <c r="C3185" s="40">
        <v>4</v>
      </c>
      <c r="D3185" s="38" t="s">
        <v>266</v>
      </c>
    </row>
    <row r="3186" spans="1:4" x14ac:dyDescent="0.25">
      <c r="A3186" s="41">
        <v>230993</v>
      </c>
      <c r="B3186" s="39" t="s">
        <v>4841</v>
      </c>
      <c r="C3186" s="40">
        <v>4</v>
      </c>
      <c r="D3186" s="38" t="s">
        <v>266</v>
      </c>
    </row>
    <row r="3187" spans="1:4" x14ac:dyDescent="0.25">
      <c r="A3187" s="41">
        <v>231000</v>
      </c>
      <c r="B3187" s="39" t="s">
        <v>970</v>
      </c>
      <c r="C3187" s="40">
        <v>3</v>
      </c>
      <c r="D3187" s="38" t="s">
        <v>969</v>
      </c>
    </row>
    <row r="3188" spans="1:4" x14ac:dyDescent="0.25">
      <c r="A3188" s="41">
        <v>231100</v>
      </c>
      <c r="B3188" s="39" t="s">
        <v>4842</v>
      </c>
      <c r="C3188" s="40">
        <v>3</v>
      </c>
      <c r="D3188" s="38" t="s">
        <v>971</v>
      </c>
    </row>
    <row r="3189" spans="1:4" x14ac:dyDescent="0.25">
      <c r="A3189" s="41">
        <v>231113</v>
      </c>
      <c r="B3189" s="39" t="s">
        <v>4843</v>
      </c>
      <c r="C3189" s="40">
        <v>4</v>
      </c>
      <c r="D3189" s="38" t="s">
        <v>266</v>
      </c>
    </row>
    <row r="3190" spans="1:4" x14ac:dyDescent="0.25">
      <c r="A3190" s="41">
        <v>231116</v>
      </c>
      <c r="B3190" s="39" t="s">
        <v>4844</v>
      </c>
      <c r="C3190" s="40">
        <v>4</v>
      </c>
      <c r="D3190" s="38" t="s">
        <v>266</v>
      </c>
    </row>
    <row r="3191" spans="1:4" x14ac:dyDescent="0.25">
      <c r="A3191" s="41">
        <v>231123</v>
      </c>
      <c r="B3191" s="39" t="s">
        <v>4845</v>
      </c>
      <c r="C3191" s="40">
        <v>4</v>
      </c>
      <c r="D3191" s="38" t="s">
        <v>266</v>
      </c>
    </row>
    <row r="3192" spans="1:4" x14ac:dyDescent="0.25">
      <c r="A3192" s="41">
        <v>231126</v>
      </c>
      <c r="B3192" s="39" t="s">
        <v>4846</v>
      </c>
      <c r="C3192" s="40">
        <v>4</v>
      </c>
      <c r="D3192" s="38" t="s">
        <v>266</v>
      </c>
    </row>
    <row r="3193" spans="1:4" x14ac:dyDescent="0.25">
      <c r="A3193" s="41">
        <v>231200</v>
      </c>
      <c r="B3193" s="39" t="s">
        <v>4847</v>
      </c>
      <c r="C3193" s="40">
        <v>3</v>
      </c>
      <c r="D3193" s="38" t="s">
        <v>266</v>
      </c>
    </row>
    <row r="3194" spans="1:4" x14ac:dyDescent="0.25">
      <c r="A3194" s="41">
        <v>231213</v>
      </c>
      <c r="B3194" s="39" t="s">
        <v>4848</v>
      </c>
      <c r="C3194" s="40">
        <v>4</v>
      </c>
      <c r="D3194" s="38" t="s">
        <v>266</v>
      </c>
    </row>
    <row r="3195" spans="1:4" x14ac:dyDescent="0.25">
      <c r="A3195" s="41">
        <v>231216</v>
      </c>
      <c r="B3195" s="39" t="s">
        <v>4849</v>
      </c>
      <c r="C3195" s="40">
        <v>4</v>
      </c>
      <c r="D3195" s="38" t="s">
        <v>266</v>
      </c>
    </row>
    <row r="3196" spans="1:4" x14ac:dyDescent="0.25">
      <c r="A3196" s="41">
        <v>231300</v>
      </c>
      <c r="B3196" s="39" t="s">
        <v>4850</v>
      </c>
      <c r="C3196" s="40">
        <v>3</v>
      </c>
      <c r="D3196" s="38" t="s">
        <v>266</v>
      </c>
    </row>
    <row r="3197" spans="1:4" x14ac:dyDescent="0.25">
      <c r="A3197" s="41">
        <v>231313</v>
      </c>
      <c r="B3197" s="39" t="s">
        <v>4851</v>
      </c>
      <c r="C3197" s="40">
        <v>4</v>
      </c>
      <c r="D3197" s="38" t="s">
        <v>266</v>
      </c>
    </row>
    <row r="3198" spans="1:4" x14ac:dyDescent="0.25">
      <c r="A3198" s="42">
        <v>231313.13</v>
      </c>
      <c r="B3198" s="39" t="s">
        <v>4852</v>
      </c>
      <c r="C3198" s="40">
        <v>5</v>
      </c>
      <c r="D3198" s="38" t="s">
        <v>266</v>
      </c>
    </row>
    <row r="3199" spans="1:4" x14ac:dyDescent="0.25">
      <c r="A3199" s="42">
        <v>231313.16</v>
      </c>
      <c r="B3199" s="39" t="s">
        <v>4853</v>
      </c>
      <c r="C3199" s="40">
        <v>5</v>
      </c>
      <c r="D3199" s="38" t="s">
        <v>266</v>
      </c>
    </row>
    <row r="3200" spans="1:4" x14ac:dyDescent="0.25">
      <c r="A3200" s="42">
        <v>231313.19</v>
      </c>
      <c r="B3200" s="39" t="s">
        <v>4854</v>
      </c>
      <c r="C3200" s="40">
        <v>5</v>
      </c>
      <c r="D3200" s="38" t="s">
        <v>266</v>
      </c>
    </row>
    <row r="3201" spans="1:4" x14ac:dyDescent="0.25">
      <c r="A3201" s="42">
        <v>231313.23</v>
      </c>
      <c r="B3201" s="39" t="s">
        <v>4855</v>
      </c>
      <c r="C3201" s="40">
        <v>5</v>
      </c>
      <c r="D3201" s="38" t="s">
        <v>266</v>
      </c>
    </row>
    <row r="3202" spans="1:4" x14ac:dyDescent="0.25">
      <c r="A3202" s="42">
        <v>231313.33</v>
      </c>
      <c r="B3202" s="39" t="s">
        <v>4856</v>
      </c>
      <c r="C3202" s="40">
        <v>5</v>
      </c>
      <c r="D3202" s="38" t="s">
        <v>266</v>
      </c>
    </row>
    <row r="3203" spans="1:4" x14ac:dyDescent="0.25">
      <c r="A3203" s="41">
        <v>231323</v>
      </c>
      <c r="B3203" s="39" t="s">
        <v>4857</v>
      </c>
      <c r="C3203" s="40">
        <v>4</v>
      </c>
      <c r="D3203" s="38" t="s">
        <v>266</v>
      </c>
    </row>
    <row r="3204" spans="1:4" x14ac:dyDescent="0.25">
      <c r="A3204" s="42">
        <v>231323.13</v>
      </c>
      <c r="B3204" s="39" t="s">
        <v>4858</v>
      </c>
      <c r="C3204" s="40">
        <v>5</v>
      </c>
      <c r="D3204" s="38" t="s">
        <v>266</v>
      </c>
    </row>
    <row r="3205" spans="1:4" x14ac:dyDescent="0.25">
      <c r="A3205" s="42">
        <v>231323.16</v>
      </c>
      <c r="B3205" s="39" t="s">
        <v>4859</v>
      </c>
      <c r="C3205" s="40">
        <v>5</v>
      </c>
      <c r="D3205" s="38" t="s">
        <v>266</v>
      </c>
    </row>
    <row r="3206" spans="1:4" x14ac:dyDescent="0.25">
      <c r="A3206" s="42">
        <v>231323.19</v>
      </c>
      <c r="B3206" s="39" t="s">
        <v>4860</v>
      </c>
      <c r="C3206" s="40">
        <v>5</v>
      </c>
      <c r="D3206" s="38" t="s">
        <v>266</v>
      </c>
    </row>
    <row r="3207" spans="1:4" x14ac:dyDescent="0.25">
      <c r="A3207" s="42">
        <v>231323.23</v>
      </c>
      <c r="B3207" s="39" t="s">
        <v>4861</v>
      </c>
      <c r="C3207" s="40">
        <v>5</v>
      </c>
      <c r="D3207" s="38" t="s">
        <v>266</v>
      </c>
    </row>
    <row r="3208" spans="1:4" x14ac:dyDescent="0.25">
      <c r="A3208" s="42">
        <v>231323.26</v>
      </c>
      <c r="B3208" s="39" t="s">
        <v>4862</v>
      </c>
      <c r="C3208" s="40">
        <v>5</v>
      </c>
      <c r="D3208" s="38" t="s">
        <v>266</v>
      </c>
    </row>
    <row r="3209" spans="1:4" x14ac:dyDescent="0.25">
      <c r="A3209" s="41">
        <v>232000</v>
      </c>
      <c r="B3209" s="39" t="s">
        <v>4863</v>
      </c>
      <c r="C3209" s="40">
        <v>3</v>
      </c>
      <c r="D3209" s="38" t="s">
        <v>266</v>
      </c>
    </row>
    <row r="3210" spans="1:4" x14ac:dyDescent="0.25">
      <c r="A3210" s="41">
        <v>232100</v>
      </c>
      <c r="B3210" s="39" t="s">
        <v>4864</v>
      </c>
      <c r="C3210" s="40">
        <v>3</v>
      </c>
      <c r="D3210" s="38" t="s">
        <v>266</v>
      </c>
    </row>
    <row r="3211" spans="1:4" x14ac:dyDescent="0.25">
      <c r="A3211" s="41">
        <v>232113</v>
      </c>
      <c r="B3211" s="39" t="s">
        <v>4865</v>
      </c>
      <c r="C3211" s="40">
        <v>4</v>
      </c>
      <c r="D3211" s="38" t="s">
        <v>266</v>
      </c>
    </row>
    <row r="3212" spans="1:4" x14ac:dyDescent="0.25">
      <c r="A3212" s="42">
        <v>232113.13</v>
      </c>
      <c r="B3212" s="39" t="s">
        <v>4866</v>
      </c>
      <c r="C3212" s="40">
        <v>5</v>
      </c>
      <c r="D3212" s="38" t="s">
        <v>266</v>
      </c>
    </row>
    <row r="3213" spans="1:4" x14ac:dyDescent="0.25">
      <c r="A3213" s="42">
        <v>232113.23</v>
      </c>
      <c r="B3213" s="39" t="s">
        <v>4867</v>
      </c>
      <c r="C3213" s="40">
        <v>5</v>
      </c>
      <c r="D3213" s="38" t="s">
        <v>266</v>
      </c>
    </row>
    <row r="3214" spans="1:4" x14ac:dyDescent="0.25">
      <c r="A3214" s="42">
        <v>232113.33</v>
      </c>
      <c r="B3214" s="39" t="s">
        <v>4868</v>
      </c>
      <c r="C3214" s="40">
        <v>5</v>
      </c>
      <c r="D3214" s="38" t="s">
        <v>266</v>
      </c>
    </row>
    <row r="3215" spans="1:4" x14ac:dyDescent="0.25">
      <c r="A3215" s="41">
        <v>232116</v>
      </c>
      <c r="B3215" s="39" t="s">
        <v>4869</v>
      </c>
      <c r="C3215" s="40">
        <v>4</v>
      </c>
      <c r="D3215" s="38" t="s">
        <v>266</v>
      </c>
    </row>
    <row r="3216" spans="1:4" x14ac:dyDescent="0.25">
      <c r="A3216" s="41">
        <v>232123</v>
      </c>
      <c r="B3216" s="39" t="s">
        <v>4870</v>
      </c>
      <c r="C3216" s="40">
        <v>4</v>
      </c>
      <c r="D3216" s="38" t="s">
        <v>266</v>
      </c>
    </row>
    <row r="3217" spans="1:4" x14ac:dyDescent="0.25">
      <c r="A3217" s="42">
        <v>232123.13</v>
      </c>
      <c r="B3217" s="39" t="s">
        <v>4871</v>
      </c>
      <c r="C3217" s="40">
        <v>5</v>
      </c>
      <c r="D3217" s="38" t="s">
        <v>266</v>
      </c>
    </row>
    <row r="3218" spans="1:4" x14ac:dyDescent="0.25">
      <c r="A3218" s="42">
        <v>232123.16</v>
      </c>
      <c r="B3218" s="39" t="s">
        <v>4872</v>
      </c>
      <c r="C3218" s="40">
        <v>5</v>
      </c>
      <c r="D3218" s="38" t="s">
        <v>266</v>
      </c>
    </row>
    <row r="3219" spans="1:4" x14ac:dyDescent="0.25">
      <c r="A3219" s="42">
        <v>232123.19</v>
      </c>
      <c r="B3219" s="39" t="s">
        <v>4873</v>
      </c>
      <c r="C3219" s="40">
        <v>5</v>
      </c>
      <c r="D3219" s="38" t="s">
        <v>266</v>
      </c>
    </row>
    <row r="3220" spans="1:4" x14ac:dyDescent="0.25">
      <c r="A3220" s="42">
        <v>232123.23</v>
      </c>
      <c r="B3220" s="39" t="s">
        <v>4874</v>
      </c>
      <c r="C3220" s="40">
        <v>5</v>
      </c>
      <c r="D3220" s="38" t="s">
        <v>266</v>
      </c>
    </row>
    <row r="3221" spans="1:4" x14ac:dyDescent="0.25">
      <c r="A3221" s="41">
        <v>232129</v>
      </c>
      <c r="B3221" s="39" t="s">
        <v>4875</v>
      </c>
      <c r="C3221" s="40">
        <v>4</v>
      </c>
      <c r="D3221" s="38" t="s">
        <v>266</v>
      </c>
    </row>
    <row r="3222" spans="1:4" x14ac:dyDescent="0.25">
      <c r="A3222" s="41">
        <v>232200</v>
      </c>
      <c r="B3222" s="39" t="s">
        <v>4876</v>
      </c>
      <c r="C3222" s="40">
        <v>3</v>
      </c>
      <c r="D3222" s="38" t="s">
        <v>266</v>
      </c>
    </row>
    <row r="3223" spans="1:4" x14ac:dyDescent="0.25">
      <c r="A3223" s="41">
        <v>232213</v>
      </c>
      <c r="B3223" s="39" t="s">
        <v>4877</v>
      </c>
      <c r="C3223" s="40">
        <v>4</v>
      </c>
      <c r="D3223" s="38" t="s">
        <v>266</v>
      </c>
    </row>
    <row r="3224" spans="1:4" x14ac:dyDescent="0.25">
      <c r="A3224" s="42">
        <v>232213.13</v>
      </c>
      <c r="B3224" s="39" t="s">
        <v>4878</v>
      </c>
      <c r="C3224" s="40">
        <v>5</v>
      </c>
      <c r="D3224" s="38" t="s">
        <v>266</v>
      </c>
    </row>
    <row r="3225" spans="1:4" x14ac:dyDescent="0.25">
      <c r="A3225" s="42">
        <v>232213.23</v>
      </c>
      <c r="B3225" s="39" t="s">
        <v>4879</v>
      </c>
      <c r="C3225" s="40">
        <v>5</v>
      </c>
      <c r="D3225" s="38" t="s">
        <v>266</v>
      </c>
    </row>
    <row r="3226" spans="1:4" x14ac:dyDescent="0.25">
      <c r="A3226" s="41">
        <v>232216</v>
      </c>
      <c r="B3226" s="39" t="s">
        <v>4880</v>
      </c>
      <c r="C3226" s="40">
        <v>4</v>
      </c>
      <c r="D3226" s="38" t="s">
        <v>266</v>
      </c>
    </row>
    <row r="3227" spans="1:4" x14ac:dyDescent="0.25">
      <c r="A3227" s="41">
        <v>232223</v>
      </c>
      <c r="B3227" s="39" t="s">
        <v>4881</v>
      </c>
      <c r="C3227" s="40">
        <v>4</v>
      </c>
      <c r="D3227" s="38" t="s">
        <v>266</v>
      </c>
    </row>
    <row r="3228" spans="1:4" x14ac:dyDescent="0.25">
      <c r="A3228" s="42">
        <v>232223.13</v>
      </c>
      <c r="B3228" s="39" t="s">
        <v>4882</v>
      </c>
      <c r="C3228" s="40">
        <v>5</v>
      </c>
      <c r="D3228" s="38" t="s">
        <v>266</v>
      </c>
    </row>
    <row r="3229" spans="1:4" x14ac:dyDescent="0.25">
      <c r="A3229" s="42">
        <v>232223.23</v>
      </c>
      <c r="B3229" s="39" t="s">
        <v>4883</v>
      </c>
      <c r="C3229" s="40">
        <v>5</v>
      </c>
      <c r="D3229" s="38" t="s">
        <v>266</v>
      </c>
    </row>
    <row r="3230" spans="1:4" x14ac:dyDescent="0.25">
      <c r="A3230" s="41">
        <v>232300</v>
      </c>
      <c r="B3230" s="39" t="s">
        <v>4884</v>
      </c>
      <c r="C3230" s="40">
        <v>3</v>
      </c>
      <c r="D3230" s="38" t="s">
        <v>266</v>
      </c>
    </row>
    <row r="3231" spans="1:4" x14ac:dyDescent="0.25">
      <c r="A3231" s="41">
        <v>232313</v>
      </c>
      <c r="B3231" s="39" t="s">
        <v>4885</v>
      </c>
      <c r="C3231" s="40">
        <v>4</v>
      </c>
      <c r="D3231" s="38" t="s">
        <v>266</v>
      </c>
    </row>
    <row r="3232" spans="1:4" x14ac:dyDescent="0.25">
      <c r="A3232" s="41">
        <v>232316</v>
      </c>
      <c r="B3232" s="39" t="s">
        <v>4886</v>
      </c>
      <c r="C3232" s="40">
        <v>4</v>
      </c>
      <c r="D3232" s="38" t="s">
        <v>266</v>
      </c>
    </row>
    <row r="3233" spans="1:4" x14ac:dyDescent="0.25">
      <c r="A3233" s="41">
        <v>232319</v>
      </c>
      <c r="B3233" s="39" t="s">
        <v>4887</v>
      </c>
      <c r="C3233" s="40">
        <v>4</v>
      </c>
      <c r="D3233" s="38" t="s">
        <v>266</v>
      </c>
    </row>
    <row r="3234" spans="1:4" x14ac:dyDescent="0.25">
      <c r="A3234" s="41">
        <v>232323</v>
      </c>
      <c r="B3234" s="39" t="s">
        <v>4888</v>
      </c>
      <c r="C3234" s="40">
        <v>4</v>
      </c>
      <c r="D3234" s="38" t="s">
        <v>266</v>
      </c>
    </row>
    <row r="3235" spans="1:4" x14ac:dyDescent="0.25">
      <c r="A3235" s="41">
        <v>232400</v>
      </c>
      <c r="B3235" s="39" t="s">
        <v>4889</v>
      </c>
      <c r="C3235" s="40">
        <v>3</v>
      </c>
      <c r="D3235" s="38" t="s">
        <v>266</v>
      </c>
    </row>
    <row r="3236" spans="1:4" x14ac:dyDescent="0.25">
      <c r="A3236" s="41">
        <v>232413</v>
      </c>
      <c r="B3236" s="39" t="s">
        <v>4890</v>
      </c>
      <c r="C3236" s="40">
        <v>4</v>
      </c>
      <c r="D3236" s="38" t="s">
        <v>266</v>
      </c>
    </row>
    <row r="3237" spans="1:4" x14ac:dyDescent="0.25">
      <c r="A3237" s="41">
        <v>232416</v>
      </c>
      <c r="B3237" s="39" t="s">
        <v>4891</v>
      </c>
      <c r="C3237" s="40">
        <v>4</v>
      </c>
      <c r="D3237" s="38" t="s">
        <v>266</v>
      </c>
    </row>
    <row r="3238" spans="1:4" x14ac:dyDescent="0.25">
      <c r="A3238" s="41">
        <v>232500</v>
      </c>
      <c r="B3238" s="39" t="s">
        <v>4892</v>
      </c>
      <c r="C3238" s="40">
        <v>3</v>
      </c>
      <c r="D3238" s="38" t="s">
        <v>266</v>
      </c>
    </row>
    <row r="3239" spans="1:4" x14ac:dyDescent="0.25">
      <c r="A3239" s="41">
        <v>232513</v>
      </c>
      <c r="B3239" s="39" t="s">
        <v>4893</v>
      </c>
      <c r="C3239" s="40">
        <v>4</v>
      </c>
      <c r="D3239" s="38" t="s">
        <v>266</v>
      </c>
    </row>
    <row r="3240" spans="1:4" x14ac:dyDescent="0.25">
      <c r="A3240" s="41">
        <v>232516</v>
      </c>
      <c r="B3240" s="39" t="s">
        <v>4894</v>
      </c>
      <c r="C3240" s="40">
        <v>4</v>
      </c>
      <c r="D3240" s="38" t="s">
        <v>266</v>
      </c>
    </row>
    <row r="3241" spans="1:4" x14ac:dyDescent="0.25">
      <c r="A3241" s="41">
        <v>232519</v>
      </c>
      <c r="B3241" s="39" t="s">
        <v>4895</v>
      </c>
      <c r="C3241" s="40">
        <v>4</v>
      </c>
      <c r="D3241" s="38" t="s">
        <v>266</v>
      </c>
    </row>
    <row r="3242" spans="1:4" x14ac:dyDescent="0.25">
      <c r="A3242" s="41">
        <v>232523</v>
      </c>
      <c r="B3242" s="39" t="s">
        <v>4896</v>
      </c>
      <c r="C3242" s="40">
        <v>4</v>
      </c>
      <c r="D3242" s="38" t="s">
        <v>266</v>
      </c>
    </row>
    <row r="3243" spans="1:4" x14ac:dyDescent="0.25">
      <c r="A3243" s="41">
        <v>233000</v>
      </c>
      <c r="B3243" s="39" t="s">
        <v>1006</v>
      </c>
      <c r="C3243" s="40">
        <v>3</v>
      </c>
      <c r="D3243" s="39" t="s">
        <v>1005</v>
      </c>
    </row>
    <row r="3244" spans="1:4" x14ac:dyDescent="0.25">
      <c r="A3244" s="41">
        <v>233100</v>
      </c>
      <c r="B3244" s="39" t="s">
        <v>4897</v>
      </c>
      <c r="C3244" s="40">
        <v>3</v>
      </c>
      <c r="D3244" s="38" t="s">
        <v>266</v>
      </c>
    </row>
    <row r="3245" spans="1:4" x14ac:dyDescent="0.25">
      <c r="A3245" s="41">
        <v>233113</v>
      </c>
      <c r="B3245" s="39" t="s">
        <v>4898</v>
      </c>
      <c r="C3245" s="40">
        <v>4</v>
      </c>
      <c r="D3245" s="38" t="s">
        <v>266</v>
      </c>
    </row>
    <row r="3246" spans="1:4" x14ac:dyDescent="0.25">
      <c r="A3246" s="42">
        <v>233113.13</v>
      </c>
      <c r="B3246" s="39" t="s">
        <v>4899</v>
      </c>
      <c r="C3246" s="40">
        <v>5</v>
      </c>
      <c r="D3246" s="38" t="s">
        <v>266</v>
      </c>
    </row>
    <row r="3247" spans="1:4" x14ac:dyDescent="0.25">
      <c r="A3247" s="42">
        <v>233113.16</v>
      </c>
      <c r="B3247" s="39" t="s">
        <v>4900</v>
      </c>
      <c r="C3247" s="40">
        <v>5</v>
      </c>
      <c r="D3247" s="38" t="s">
        <v>266</v>
      </c>
    </row>
    <row r="3248" spans="1:4" x14ac:dyDescent="0.25">
      <c r="A3248" s="42">
        <v>233113.19</v>
      </c>
      <c r="B3248" s="39" t="s">
        <v>4901</v>
      </c>
      <c r="C3248" s="40">
        <v>5</v>
      </c>
      <c r="D3248" s="38" t="s">
        <v>266</v>
      </c>
    </row>
    <row r="3249" spans="1:4" x14ac:dyDescent="0.25">
      <c r="A3249" s="41">
        <v>233116</v>
      </c>
      <c r="B3249" s="39" t="s">
        <v>4902</v>
      </c>
      <c r="C3249" s="40">
        <v>4</v>
      </c>
      <c r="D3249" s="38" t="s">
        <v>266</v>
      </c>
    </row>
    <row r="3250" spans="1:4" x14ac:dyDescent="0.25">
      <c r="A3250" s="42">
        <v>233116.13</v>
      </c>
      <c r="B3250" s="39" t="s">
        <v>4903</v>
      </c>
      <c r="C3250" s="40">
        <v>5</v>
      </c>
      <c r="D3250" s="38" t="s">
        <v>266</v>
      </c>
    </row>
    <row r="3251" spans="1:4" x14ac:dyDescent="0.25">
      <c r="A3251" s="42">
        <v>233116.16</v>
      </c>
      <c r="B3251" s="39" t="s">
        <v>4904</v>
      </c>
      <c r="C3251" s="40">
        <v>5</v>
      </c>
      <c r="D3251" s="38" t="s">
        <v>266</v>
      </c>
    </row>
    <row r="3252" spans="1:4" x14ac:dyDescent="0.25">
      <c r="A3252" s="42">
        <v>233116.19</v>
      </c>
      <c r="B3252" s="39" t="s">
        <v>4905</v>
      </c>
      <c r="C3252" s="40">
        <v>5</v>
      </c>
      <c r="D3252" s="38" t="s">
        <v>266</v>
      </c>
    </row>
    <row r="3253" spans="1:4" x14ac:dyDescent="0.25">
      <c r="A3253" s="42">
        <v>233116.26</v>
      </c>
      <c r="B3253" s="39" t="s">
        <v>4906</v>
      </c>
      <c r="C3253" s="40">
        <v>5</v>
      </c>
      <c r="D3253" s="38" t="s">
        <v>266</v>
      </c>
    </row>
    <row r="3254" spans="1:4" x14ac:dyDescent="0.25">
      <c r="A3254" s="41">
        <v>233119</v>
      </c>
      <c r="B3254" s="39" t="s">
        <v>4907</v>
      </c>
      <c r="C3254" s="40">
        <v>4</v>
      </c>
      <c r="D3254" s="38" t="s">
        <v>266</v>
      </c>
    </row>
    <row r="3255" spans="1:4" x14ac:dyDescent="0.25">
      <c r="A3255" s="41">
        <v>233200</v>
      </c>
      <c r="B3255" s="39" t="s">
        <v>4908</v>
      </c>
      <c r="C3255" s="40">
        <v>3</v>
      </c>
      <c r="D3255" s="38" t="s">
        <v>266</v>
      </c>
    </row>
    <row r="3256" spans="1:4" x14ac:dyDescent="0.25">
      <c r="A3256" s="41">
        <v>233213</v>
      </c>
      <c r="B3256" s="39" t="s">
        <v>4909</v>
      </c>
      <c r="C3256" s="40">
        <v>4</v>
      </c>
      <c r="D3256" s="38" t="s">
        <v>266</v>
      </c>
    </row>
    <row r="3257" spans="1:4" x14ac:dyDescent="0.25">
      <c r="A3257" s="41">
        <v>233233</v>
      </c>
      <c r="B3257" s="39" t="s">
        <v>4910</v>
      </c>
      <c r="C3257" s="40">
        <v>4</v>
      </c>
      <c r="D3257" s="38" t="s">
        <v>266</v>
      </c>
    </row>
    <row r="3258" spans="1:4" x14ac:dyDescent="0.25">
      <c r="A3258" s="41">
        <v>233236</v>
      </c>
      <c r="B3258" s="39" t="s">
        <v>4911</v>
      </c>
      <c r="C3258" s="40">
        <v>4</v>
      </c>
      <c r="D3258" s="38" t="s">
        <v>266</v>
      </c>
    </row>
    <row r="3259" spans="1:4" x14ac:dyDescent="0.25">
      <c r="A3259" s="41">
        <v>233239</v>
      </c>
      <c r="B3259" s="39" t="s">
        <v>4912</v>
      </c>
      <c r="C3259" s="40">
        <v>4</v>
      </c>
      <c r="D3259" s="38" t="s">
        <v>266</v>
      </c>
    </row>
    <row r="3260" spans="1:4" x14ac:dyDescent="0.25">
      <c r="A3260" s="41">
        <v>233243</v>
      </c>
      <c r="B3260" s="39" t="s">
        <v>4913</v>
      </c>
      <c r="C3260" s="40">
        <v>4</v>
      </c>
      <c r="D3260" s="38" t="s">
        <v>266</v>
      </c>
    </row>
    <row r="3261" spans="1:4" x14ac:dyDescent="0.25">
      <c r="A3261" s="41">
        <v>233248</v>
      </c>
      <c r="B3261" s="39" t="s">
        <v>4914</v>
      </c>
      <c r="C3261" s="40">
        <v>4</v>
      </c>
      <c r="D3261" s="38" t="s">
        <v>266</v>
      </c>
    </row>
    <row r="3262" spans="1:4" x14ac:dyDescent="0.25">
      <c r="A3262" s="41">
        <v>233300</v>
      </c>
      <c r="B3262" s="39" t="s">
        <v>4915</v>
      </c>
      <c r="C3262" s="40">
        <v>3</v>
      </c>
      <c r="D3262" s="38" t="s">
        <v>266</v>
      </c>
    </row>
    <row r="3263" spans="1:4" x14ac:dyDescent="0.25">
      <c r="A3263" s="41">
        <v>233313</v>
      </c>
      <c r="B3263" s="39" t="s">
        <v>4916</v>
      </c>
      <c r="C3263" s="40">
        <v>4</v>
      </c>
      <c r="D3263" s="38" t="s">
        <v>266</v>
      </c>
    </row>
    <row r="3264" spans="1:4" x14ac:dyDescent="0.25">
      <c r="A3264" s="42">
        <v>233313.13</v>
      </c>
      <c r="B3264" s="39" t="s">
        <v>4917</v>
      </c>
      <c r="C3264" s="40">
        <v>5</v>
      </c>
      <c r="D3264" s="38" t="s">
        <v>266</v>
      </c>
    </row>
    <row r="3265" spans="1:4" x14ac:dyDescent="0.25">
      <c r="A3265" s="42">
        <v>233313.16</v>
      </c>
      <c r="B3265" s="39" t="s">
        <v>4918</v>
      </c>
      <c r="C3265" s="40">
        <v>5</v>
      </c>
      <c r="D3265" s="38" t="s">
        <v>266</v>
      </c>
    </row>
    <row r="3266" spans="1:4" x14ac:dyDescent="0.25">
      <c r="A3266" s="42">
        <v>233313.19</v>
      </c>
      <c r="B3266" s="39" t="s">
        <v>4919</v>
      </c>
      <c r="C3266" s="40">
        <v>5</v>
      </c>
      <c r="D3266" s="38" t="s">
        <v>266</v>
      </c>
    </row>
    <row r="3267" spans="1:4" x14ac:dyDescent="0.25">
      <c r="A3267" s="42">
        <v>233313.23</v>
      </c>
      <c r="B3267" s="39" t="s">
        <v>4920</v>
      </c>
      <c r="C3267" s="40">
        <v>5</v>
      </c>
      <c r="D3267" s="38" t="s">
        <v>266</v>
      </c>
    </row>
    <row r="3268" spans="1:4" x14ac:dyDescent="0.25">
      <c r="A3268" s="41">
        <v>233319</v>
      </c>
      <c r="B3268" s="39" t="s">
        <v>4921</v>
      </c>
      <c r="C3268" s="40">
        <v>4</v>
      </c>
      <c r="D3268" s="38" t="s">
        <v>266</v>
      </c>
    </row>
    <row r="3269" spans="1:4" x14ac:dyDescent="0.25">
      <c r="A3269" s="41">
        <v>233323</v>
      </c>
      <c r="B3269" s="39" t="s">
        <v>4922</v>
      </c>
      <c r="C3269" s="40">
        <v>4</v>
      </c>
      <c r="D3269" s="38" t="s">
        <v>266</v>
      </c>
    </row>
    <row r="3270" spans="1:4" x14ac:dyDescent="0.25">
      <c r="A3270" s="41">
        <v>233333</v>
      </c>
      <c r="B3270" s="39" t="s">
        <v>4923</v>
      </c>
      <c r="C3270" s="40">
        <v>4</v>
      </c>
      <c r="D3270" s="38" t="s">
        <v>266</v>
      </c>
    </row>
    <row r="3271" spans="1:4" x14ac:dyDescent="0.25">
      <c r="A3271" s="41">
        <v>233343</v>
      </c>
      <c r="B3271" s="39" t="s">
        <v>4924</v>
      </c>
      <c r="C3271" s="40">
        <v>4</v>
      </c>
      <c r="D3271" s="38" t="s">
        <v>266</v>
      </c>
    </row>
    <row r="3272" spans="1:4" x14ac:dyDescent="0.25">
      <c r="A3272" s="41">
        <v>233346</v>
      </c>
      <c r="B3272" s="39" t="s">
        <v>4925</v>
      </c>
      <c r="C3272" s="40">
        <v>4</v>
      </c>
      <c r="D3272" s="38" t="s">
        <v>266</v>
      </c>
    </row>
    <row r="3273" spans="1:4" x14ac:dyDescent="0.25">
      <c r="A3273" s="41">
        <v>233353</v>
      </c>
      <c r="B3273" s="39" t="s">
        <v>4926</v>
      </c>
      <c r="C3273" s="40">
        <v>4</v>
      </c>
      <c r="D3273" s="38" t="s">
        <v>266</v>
      </c>
    </row>
    <row r="3274" spans="1:4" x14ac:dyDescent="0.25">
      <c r="A3274" s="41">
        <v>233400</v>
      </c>
      <c r="B3274" s="39" t="s">
        <v>4927</v>
      </c>
      <c r="C3274" s="40">
        <v>3</v>
      </c>
      <c r="D3274" s="38" t="s">
        <v>266</v>
      </c>
    </row>
    <row r="3275" spans="1:4" x14ac:dyDescent="0.25">
      <c r="A3275" s="41">
        <v>233413</v>
      </c>
      <c r="B3275" s="39" t="s">
        <v>4928</v>
      </c>
      <c r="C3275" s="40">
        <v>4</v>
      </c>
      <c r="D3275" s="38" t="s">
        <v>266</v>
      </c>
    </row>
    <row r="3276" spans="1:4" x14ac:dyDescent="0.25">
      <c r="A3276" s="41">
        <v>233416</v>
      </c>
      <c r="B3276" s="39" t="s">
        <v>4929</v>
      </c>
      <c r="C3276" s="40">
        <v>4</v>
      </c>
      <c r="D3276" s="38" t="s">
        <v>266</v>
      </c>
    </row>
    <row r="3277" spans="1:4" x14ac:dyDescent="0.25">
      <c r="A3277" s="41">
        <v>233423</v>
      </c>
      <c r="B3277" s="39" t="s">
        <v>4930</v>
      </c>
      <c r="C3277" s="40">
        <v>4</v>
      </c>
      <c r="D3277" s="38" t="s">
        <v>266</v>
      </c>
    </row>
    <row r="3278" spans="1:4" x14ac:dyDescent="0.25">
      <c r="A3278" s="41">
        <v>233433</v>
      </c>
      <c r="B3278" s="39" t="s">
        <v>4931</v>
      </c>
      <c r="C3278" s="40">
        <v>4</v>
      </c>
      <c r="D3278" s="38" t="s">
        <v>266</v>
      </c>
    </row>
    <row r="3279" spans="1:4" x14ac:dyDescent="0.25">
      <c r="A3279" s="41">
        <v>233500</v>
      </c>
      <c r="B3279" s="39" t="s">
        <v>4932</v>
      </c>
      <c r="C3279" s="40">
        <v>3</v>
      </c>
      <c r="D3279" s="38" t="s">
        <v>266</v>
      </c>
    </row>
    <row r="3280" spans="1:4" x14ac:dyDescent="0.25">
      <c r="A3280" s="41">
        <v>233513</v>
      </c>
      <c r="B3280" s="39" t="s">
        <v>4933</v>
      </c>
      <c r="C3280" s="40">
        <v>4</v>
      </c>
      <c r="D3280" s="38" t="s">
        <v>266</v>
      </c>
    </row>
    <row r="3281" spans="1:4" x14ac:dyDescent="0.25">
      <c r="A3281" s="42">
        <v>233513.13</v>
      </c>
      <c r="B3281" s="39" t="s">
        <v>4934</v>
      </c>
      <c r="C3281" s="40">
        <v>5</v>
      </c>
      <c r="D3281" s="38" t="s">
        <v>266</v>
      </c>
    </row>
    <row r="3282" spans="1:4" x14ac:dyDescent="0.25">
      <c r="A3282" s="41">
        <v>233516</v>
      </c>
      <c r="B3282" s="39" t="s">
        <v>4935</v>
      </c>
      <c r="C3282" s="40">
        <v>4</v>
      </c>
      <c r="D3282" s="38" t="s">
        <v>266</v>
      </c>
    </row>
    <row r="3283" spans="1:4" x14ac:dyDescent="0.25">
      <c r="A3283" s="42">
        <v>233516.13</v>
      </c>
      <c r="B3283" s="39" t="s">
        <v>4936</v>
      </c>
      <c r="C3283" s="40">
        <v>5</v>
      </c>
      <c r="D3283" s="38" t="s">
        <v>266</v>
      </c>
    </row>
    <row r="3284" spans="1:4" x14ac:dyDescent="0.25">
      <c r="A3284" s="42">
        <v>233516.16</v>
      </c>
      <c r="B3284" s="39" t="s">
        <v>4937</v>
      </c>
      <c r="C3284" s="40">
        <v>5</v>
      </c>
      <c r="D3284" s="38" t="s">
        <v>266</v>
      </c>
    </row>
    <row r="3285" spans="1:4" x14ac:dyDescent="0.25">
      <c r="A3285" s="41">
        <v>233600</v>
      </c>
      <c r="B3285" s="39" t="s">
        <v>4938</v>
      </c>
      <c r="C3285" s="40">
        <v>3</v>
      </c>
      <c r="D3285" s="38" t="s">
        <v>266</v>
      </c>
    </row>
    <row r="3286" spans="1:4" x14ac:dyDescent="0.25">
      <c r="A3286" s="41">
        <v>233613</v>
      </c>
      <c r="B3286" s="39" t="s">
        <v>4939</v>
      </c>
      <c r="C3286" s="40">
        <v>4</v>
      </c>
      <c r="D3286" s="38" t="s">
        <v>266</v>
      </c>
    </row>
    <row r="3287" spans="1:4" x14ac:dyDescent="0.25">
      <c r="A3287" s="41">
        <v>233616</v>
      </c>
      <c r="B3287" s="39" t="s">
        <v>4940</v>
      </c>
      <c r="C3287" s="40">
        <v>4</v>
      </c>
      <c r="D3287" s="38" t="s">
        <v>266</v>
      </c>
    </row>
    <row r="3288" spans="1:4" x14ac:dyDescent="0.25">
      <c r="A3288" s="41">
        <v>233700</v>
      </c>
      <c r="B3288" s="39" t="s">
        <v>4941</v>
      </c>
      <c r="C3288" s="40">
        <v>3</v>
      </c>
      <c r="D3288" s="38" t="s">
        <v>266</v>
      </c>
    </row>
    <row r="3289" spans="1:4" x14ac:dyDescent="0.25">
      <c r="A3289" s="41">
        <v>233713</v>
      </c>
      <c r="B3289" s="39" t="s">
        <v>4942</v>
      </c>
      <c r="C3289" s="40">
        <v>4</v>
      </c>
      <c r="D3289" s="38" t="s">
        <v>266</v>
      </c>
    </row>
    <row r="3290" spans="1:4" x14ac:dyDescent="0.25">
      <c r="A3290" s="41">
        <v>233716</v>
      </c>
      <c r="B3290" s="39" t="s">
        <v>4943</v>
      </c>
      <c r="C3290" s="40">
        <v>4</v>
      </c>
      <c r="D3290" s="38" t="s">
        <v>266</v>
      </c>
    </row>
    <row r="3291" spans="1:4" x14ac:dyDescent="0.25">
      <c r="A3291" s="41">
        <v>233723</v>
      </c>
      <c r="B3291" s="39" t="s">
        <v>4944</v>
      </c>
      <c r="C3291" s="40">
        <v>4</v>
      </c>
      <c r="D3291" s="38" t="s">
        <v>266</v>
      </c>
    </row>
    <row r="3292" spans="1:4" x14ac:dyDescent="0.25">
      <c r="A3292" s="42">
        <v>233723.13</v>
      </c>
      <c r="B3292" s="39" t="s">
        <v>4945</v>
      </c>
      <c r="C3292" s="40">
        <v>5</v>
      </c>
      <c r="D3292" s="38" t="s">
        <v>266</v>
      </c>
    </row>
    <row r="3293" spans="1:4" x14ac:dyDescent="0.25">
      <c r="A3293" s="42">
        <v>233723.16</v>
      </c>
      <c r="B3293" s="39" t="s">
        <v>4946</v>
      </c>
      <c r="C3293" s="40">
        <v>5</v>
      </c>
      <c r="D3293" s="38" t="s">
        <v>266</v>
      </c>
    </row>
    <row r="3294" spans="1:4" x14ac:dyDescent="0.25">
      <c r="A3294" s="42">
        <v>233723.19</v>
      </c>
      <c r="B3294" s="39" t="s">
        <v>4947</v>
      </c>
      <c r="C3294" s="40">
        <v>5</v>
      </c>
      <c r="D3294" s="38" t="s">
        <v>266</v>
      </c>
    </row>
    <row r="3295" spans="1:4" x14ac:dyDescent="0.25">
      <c r="A3295" s="41">
        <v>233800</v>
      </c>
      <c r="B3295" s="39" t="s">
        <v>4948</v>
      </c>
      <c r="C3295" s="40">
        <v>3</v>
      </c>
      <c r="D3295" s="38" t="s">
        <v>266</v>
      </c>
    </row>
    <row r="3296" spans="1:4" x14ac:dyDescent="0.25">
      <c r="A3296" s="41">
        <v>233813</v>
      </c>
      <c r="B3296" s="39" t="s">
        <v>4949</v>
      </c>
      <c r="C3296" s="40">
        <v>4</v>
      </c>
      <c r="D3296" s="38" t="s">
        <v>266</v>
      </c>
    </row>
    <row r="3297" spans="1:4" x14ac:dyDescent="0.25">
      <c r="A3297" s="42">
        <v>233813.13</v>
      </c>
      <c r="B3297" s="39" t="s">
        <v>4950</v>
      </c>
      <c r="C3297" s="40">
        <v>5</v>
      </c>
      <c r="D3297" s="38" t="s">
        <v>266</v>
      </c>
    </row>
    <row r="3298" spans="1:4" x14ac:dyDescent="0.25">
      <c r="A3298" s="42">
        <v>233813.16</v>
      </c>
      <c r="B3298" s="39" t="s">
        <v>4951</v>
      </c>
      <c r="C3298" s="40">
        <v>5</v>
      </c>
      <c r="D3298" s="38" t="s">
        <v>266</v>
      </c>
    </row>
    <row r="3299" spans="1:4" x14ac:dyDescent="0.25">
      <c r="A3299" s="41">
        <v>233816</v>
      </c>
      <c r="B3299" s="39" t="s">
        <v>4952</v>
      </c>
      <c r="C3299" s="40">
        <v>4</v>
      </c>
      <c r="D3299" s="38" t="s">
        <v>266</v>
      </c>
    </row>
    <row r="3300" spans="1:4" x14ac:dyDescent="0.25">
      <c r="A3300" s="41">
        <v>234000</v>
      </c>
      <c r="B3300" s="39" t="s">
        <v>4953</v>
      </c>
      <c r="C3300" s="40">
        <v>3</v>
      </c>
      <c r="D3300" s="38" t="s">
        <v>1021</v>
      </c>
    </row>
    <row r="3301" spans="1:4" x14ac:dyDescent="0.25">
      <c r="A3301" s="41">
        <v>234100</v>
      </c>
      <c r="B3301" s="39" t="s">
        <v>4954</v>
      </c>
      <c r="C3301" s="40">
        <v>3</v>
      </c>
      <c r="D3301" s="38" t="s">
        <v>266</v>
      </c>
    </row>
    <row r="3302" spans="1:4" x14ac:dyDescent="0.25">
      <c r="A3302" s="41">
        <v>234113</v>
      </c>
      <c r="B3302" s="39" t="s">
        <v>4955</v>
      </c>
      <c r="C3302" s="40">
        <v>4</v>
      </c>
      <c r="D3302" s="38" t="s">
        <v>266</v>
      </c>
    </row>
    <row r="3303" spans="1:4" x14ac:dyDescent="0.25">
      <c r="A3303" s="41">
        <v>234116</v>
      </c>
      <c r="B3303" s="39" t="s">
        <v>4956</v>
      </c>
      <c r="C3303" s="40">
        <v>4</v>
      </c>
      <c r="D3303" s="38" t="s">
        <v>266</v>
      </c>
    </row>
    <row r="3304" spans="1:4" x14ac:dyDescent="0.25">
      <c r="A3304" s="41">
        <v>234119</v>
      </c>
      <c r="B3304" s="39" t="s">
        <v>4957</v>
      </c>
      <c r="C3304" s="40">
        <v>4</v>
      </c>
      <c r="D3304" s="38" t="s">
        <v>266</v>
      </c>
    </row>
    <row r="3305" spans="1:4" x14ac:dyDescent="0.25">
      <c r="A3305" s="41">
        <v>234123</v>
      </c>
      <c r="B3305" s="39" t="s">
        <v>4958</v>
      </c>
      <c r="C3305" s="40">
        <v>4</v>
      </c>
      <c r="D3305" s="38" t="s">
        <v>266</v>
      </c>
    </row>
    <row r="3306" spans="1:4" x14ac:dyDescent="0.25">
      <c r="A3306" s="41">
        <v>234133</v>
      </c>
      <c r="B3306" s="39" t="s">
        <v>4959</v>
      </c>
      <c r="C3306" s="40">
        <v>4</v>
      </c>
      <c r="D3306" s="38" t="s">
        <v>266</v>
      </c>
    </row>
    <row r="3307" spans="1:4" x14ac:dyDescent="0.25">
      <c r="A3307" s="41">
        <v>234143</v>
      </c>
      <c r="B3307" s="39" t="s">
        <v>4960</v>
      </c>
      <c r="C3307" s="40">
        <v>4</v>
      </c>
      <c r="D3307" s="38" t="s">
        <v>266</v>
      </c>
    </row>
    <row r="3308" spans="1:4" x14ac:dyDescent="0.25">
      <c r="A3308" s="41">
        <v>234146</v>
      </c>
      <c r="B3308" s="39" t="s">
        <v>4961</v>
      </c>
      <c r="C3308" s="40">
        <v>4</v>
      </c>
      <c r="D3308" s="38" t="s">
        <v>266</v>
      </c>
    </row>
    <row r="3309" spans="1:4" x14ac:dyDescent="0.25">
      <c r="A3309" s="41">
        <v>234200</v>
      </c>
      <c r="B3309" s="39" t="s">
        <v>4962</v>
      </c>
      <c r="C3309" s="40">
        <v>3</v>
      </c>
      <c r="D3309" s="38" t="s">
        <v>266</v>
      </c>
    </row>
    <row r="3310" spans="1:4" x14ac:dyDescent="0.25">
      <c r="A3310" s="41">
        <v>234213</v>
      </c>
      <c r="B3310" s="39" t="s">
        <v>4963</v>
      </c>
      <c r="C3310" s="40">
        <v>4</v>
      </c>
      <c r="D3310" s="38" t="s">
        <v>266</v>
      </c>
    </row>
    <row r="3311" spans="1:4" x14ac:dyDescent="0.25">
      <c r="A3311" s="41">
        <v>234216</v>
      </c>
      <c r="B3311" s="39" t="s">
        <v>4964</v>
      </c>
      <c r="C3311" s="40">
        <v>4</v>
      </c>
      <c r="D3311" s="38" t="s">
        <v>266</v>
      </c>
    </row>
    <row r="3312" spans="1:4" x14ac:dyDescent="0.25">
      <c r="A3312" s="41">
        <v>234219</v>
      </c>
      <c r="B3312" s="39" t="s">
        <v>4965</v>
      </c>
      <c r="C3312" s="40">
        <v>4</v>
      </c>
      <c r="D3312" s="38" t="s">
        <v>266</v>
      </c>
    </row>
    <row r="3313" spans="1:4" x14ac:dyDescent="0.25">
      <c r="A3313" s="41">
        <v>234300</v>
      </c>
      <c r="B3313" s="39" t="s">
        <v>4966</v>
      </c>
      <c r="C3313" s="40">
        <v>3</v>
      </c>
      <c r="D3313" s="38" t="s">
        <v>266</v>
      </c>
    </row>
    <row r="3314" spans="1:4" x14ac:dyDescent="0.25">
      <c r="A3314" s="41">
        <v>234313</v>
      </c>
      <c r="B3314" s="39" t="s">
        <v>4967</v>
      </c>
      <c r="C3314" s="40">
        <v>4</v>
      </c>
      <c r="D3314" s="38" t="s">
        <v>266</v>
      </c>
    </row>
    <row r="3315" spans="1:4" x14ac:dyDescent="0.25">
      <c r="A3315" s="41">
        <v>234316</v>
      </c>
      <c r="B3315" s="39" t="s">
        <v>4968</v>
      </c>
      <c r="C3315" s="40">
        <v>4</v>
      </c>
      <c r="D3315" s="38" t="s">
        <v>266</v>
      </c>
    </row>
    <row r="3316" spans="1:4" x14ac:dyDescent="0.25">
      <c r="A3316" s="41">
        <v>234323</v>
      </c>
      <c r="B3316" s="39" t="s">
        <v>4969</v>
      </c>
      <c r="C3316" s="40">
        <v>4</v>
      </c>
      <c r="D3316" s="38" t="s">
        <v>266</v>
      </c>
    </row>
    <row r="3317" spans="1:4" x14ac:dyDescent="0.25">
      <c r="A3317" s="41">
        <v>235000</v>
      </c>
      <c r="B3317" s="39" t="s">
        <v>4970</v>
      </c>
      <c r="C3317" s="40">
        <v>3</v>
      </c>
      <c r="D3317" s="38" t="s">
        <v>266</v>
      </c>
    </row>
    <row r="3318" spans="1:4" x14ac:dyDescent="0.25">
      <c r="A3318" s="41">
        <v>235100</v>
      </c>
      <c r="B3318" s="39" t="s">
        <v>4971</v>
      </c>
      <c r="C3318" s="40">
        <v>3</v>
      </c>
      <c r="D3318" s="38" t="s">
        <v>266</v>
      </c>
    </row>
    <row r="3319" spans="1:4" x14ac:dyDescent="0.25">
      <c r="A3319" s="41">
        <v>235113</v>
      </c>
      <c r="B3319" s="39" t="s">
        <v>4972</v>
      </c>
      <c r="C3319" s="40">
        <v>4</v>
      </c>
      <c r="D3319" s="38" t="s">
        <v>266</v>
      </c>
    </row>
    <row r="3320" spans="1:4" x14ac:dyDescent="0.25">
      <c r="A3320" s="42">
        <v>235113.13</v>
      </c>
      <c r="B3320" s="39" t="s">
        <v>4973</v>
      </c>
      <c r="C3320" s="40">
        <v>5</v>
      </c>
      <c r="D3320" s="38" t="s">
        <v>266</v>
      </c>
    </row>
    <row r="3321" spans="1:4" x14ac:dyDescent="0.25">
      <c r="A3321" s="42">
        <v>235113.16</v>
      </c>
      <c r="B3321" s="39" t="s">
        <v>4974</v>
      </c>
      <c r="C3321" s="40">
        <v>5</v>
      </c>
      <c r="D3321" s="38" t="s">
        <v>266</v>
      </c>
    </row>
    <row r="3322" spans="1:4" x14ac:dyDescent="0.25">
      <c r="A3322" s="42">
        <v>235113.19</v>
      </c>
      <c r="B3322" s="39" t="s">
        <v>4975</v>
      </c>
      <c r="C3322" s="40">
        <v>5</v>
      </c>
      <c r="D3322" s="38" t="s">
        <v>266</v>
      </c>
    </row>
    <row r="3323" spans="1:4" x14ac:dyDescent="0.25">
      <c r="A3323" s="41">
        <v>235116</v>
      </c>
      <c r="B3323" s="39" t="s">
        <v>4976</v>
      </c>
      <c r="C3323" s="40">
        <v>4</v>
      </c>
      <c r="D3323" s="38" t="s">
        <v>266</v>
      </c>
    </row>
    <row r="3324" spans="1:4" x14ac:dyDescent="0.25">
      <c r="A3324" s="41">
        <v>235119</v>
      </c>
      <c r="B3324" s="39" t="s">
        <v>4977</v>
      </c>
      <c r="C3324" s="40">
        <v>4</v>
      </c>
      <c r="D3324" s="38" t="s">
        <v>266</v>
      </c>
    </row>
    <row r="3325" spans="1:4" x14ac:dyDescent="0.25">
      <c r="A3325" s="41">
        <v>235123</v>
      </c>
      <c r="B3325" s="39" t="s">
        <v>4978</v>
      </c>
      <c r="C3325" s="40">
        <v>4</v>
      </c>
      <c r="D3325" s="38" t="s">
        <v>266</v>
      </c>
    </row>
    <row r="3326" spans="1:4" x14ac:dyDescent="0.25">
      <c r="A3326" s="41">
        <v>235133</v>
      </c>
      <c r="B3326" s="39" t="s">
        <v>4979</v>
      </c>
      <c r="C3326" s="40">
        <v>4</v>
      </c>
      <c r="D3326" s="38" t="s">
        <v>266</v>
      </c>
    </row>
    <row r="3327" spans="1:4" x14ac:dyDescent="0.25">
      <c r="A3327" s="41">
        <v>235143</v>
      </c>
      <c r="B3327" s="39" t="s">
        <v>4980</v>
      </c>
      <c r="C3327" s="40">
        <v>4</v>
      </c>
      <c r="D3327" s="38" t="s">
        <v>266</v>
      </c>
    </row>
    <row r="3328" spans="1:4" x14ac:dyDescent="0.25">
      <c r="A3328" s="42">
        <v>235143.13</v>
      </c>
      <c r="B3328" s="39" t="s">
        <v>4981</v>
      </c>
      <c r="C3328" s="40">
        <v>5</v>
      </c>
      <c r="D3328" s="38" t="s">
        <v>266</v>
      </c>
    </row>
    <row r="3329" spans="1:4" x14ac:dyDescent="0.25">
      <c r="A3329" s="42">
        <v>235143.16</v>
      </c>
      <c r="B3329" s="39" t="s">
        <v>4982</v>
      </c>
      <c r="C3329" s="40">
        <v>5</v>
      </c>
      <c r="D3329" s="38" t="s">
        <v>266</v>
      </c>
    </row>
    <row r="3330" spans="1:4" x14ac:dyDescent="0.25">
      <c r="A3330" s="41">
        <v>235200</v>
      </c>
      <c r="B3330" s="39" t="s">
        <v>4983</v>
      </c>
      <c r="C3330" s="40">
        <v>3</v>
      </c>
      <c r="D3330" s="38" t="s">
        <v>266</v>
      </c>
    </row>
    <row r="3331" spans="1:4" x14ac:dyDescent="0.25">
      <c r="A3331" s="41">
        <v>235213</v>
      </c>
      <c r="B3331" s="39" t="s">
        <v>4984</v>
      </c>
      <c r="C3331" s="40">
        <v>4</v>
      </c>
      <c r="D3331" s="38" t="s">
        <v>266</v>
      </c>
    </row>
    <row r="3332" spans="1:4" x14ac:dyDescent="0.25">
      <c r="A3332" s="41">
        <v>235216</v>
      </c>
      <c r="B3332" s="39" t="s">
        <v>4985</v>
      </c>
      <c r="C3332" s="40">
        <v>4</v>
      </c>
      <c r="D3332" s="38" t="s">
        <v>266</v>
      </c>
    </row>
    <row r="3333" spans="1:4" x14ac:dyDescent="0.25">
      <c r="A3333" s="42">
        <v>235216.13</v>
      </c>
      <c r="B3333" s="39" t="s">
        <v>4986</v>
      </c>
      <c r="C3333" s="40">
        <v>5</v>
      </c>
      <c r="D3333" s="38" t="s">
        <v>266</v>
      </c>
    </row>
    <row r="3334" spans="1:4" x14ac:dyDescent="0.25">
      <c r="A3334" s="42">
        <v>235216.16</v>
      </c>
      <c r="B3334" s="39" t="s">
        <v>4987</v>
      </c>
      <c r="C3334" s="40">
        <v>5</v>
      </c>
      <c r="D3334" s="38" t="s">
        <v>266</v>
      </c>
    </row>
    <row r="3335" spans="1:4" x14ac:dyDescent="0.25">
      <c r="A3335" s="41">
        <v>235217</v>
      </c>
      <c r="B3335" s="39" t="s">
        <v>4988</v>
      </c>
      <c r="C3335" s="40">
        <v>4</v>
      </c>
      <c r="D3335" s="38" t="s">
        <v>266</v>
      </c>
    </row>
    <row r="3336" spans="1:4" x14ac:dyDescent="0.25">
      <c r="A3336" s="41">
        <v>235219</v>
      </c>
      <c r="B3336" s="39" t="s">
        <v>4989</v>
      </c>
      <c r="C3336" s="40">
        <v>4</v>
      </c>
      <c r="D3336" s="38" t="s">
        <v>266</v>
      </c>
    </row>
    <row r="3337" spans="1:4" x14ac:dyDescent="0.25">
      <c r="A3337" s="41">
        <v>235223</v>
      </c>
      <c r="B3337" s="39" t="s">
        <v>4990</v>
      </c>
      <c r="C3337" s="40">
        <v>4</v>
      </c>
      <c r="D3337" s="38" t="s">
        <v>266</v>
      </c>
    </row>
    <row r="3338" spans="1:4" x14ac:dyDescent="0.25">
      <c r="A3338" s="41">
        <v>235233</v>
      </c>
      <c r="B3338" s="39" t="s">
        <v>4991</v>
      </c>
      <c r="C3338" s="40">
        <v>4</v>
      </c>
      <c r="D3338" s="38" t="s">
        <v>266</v>
      </c>
    </row>
    <row r="3339" spans="1:4" x14ac:dyDescent="0.25">
      <c r="A3339" s="42">
        <v>235233.13</v>
      </c>
      <c r="B3339" s="39" t="s">
        <v>4992</v>
      </c>
      <c r="C3339" s="40">
        <v>5</v>
      </c>
      <c r="D3339" s="38" t="s">
        <v>266</v>
      </c>
    </row>
    <row r="3340" spans="1:4" x14ac:dyDescent="0.25">
      <c r="A3340" s="42">
        <v>235233.16</v>
      </c>
      <c r="B3340" s="39" t="s">
        <v>4993</v>
      </c>
      <c r="C3340" s="40">
        <v>5</v>
      </c>
      <c r="D3340" s="38" t="s">
        <v>266</v>
      </c>
    </row>
    <row r="3341" spans="1:4" x14ac:dyDescent="0.25">
      <c r="A3341" s="42">
        <v>235233.19</v>
      </c>
      <c r="B3341" s="39" t="s">
        <v>4994</v>
      </c>
      <c r="C3341" s="40">
        <v>5</v>
      </c>
      <c r="D3341" s="38" t="s">
        <v>266</v>
      </c>
    </row>
    <row r="3342" spans="1:4" x14ac:dyDescent="0.25">
      <c r="A3342" s="41">
        <v>235239</v>
      </c>
      <c r="B3342" s="39" t="s">
        <v>4995</v>
      </c>
      <c r="C3342" s="40">
        <v>4</v>
      </c>
      <c r="D3342" s="38" t="s">
        <v>266</v>
      </c>
    </row>
    <row r="3343" spans="1:4" x14ac:dyDescent="0.25">
      <c r="A3343" s="42">
        <v>235239.13</v>
      </c>
      <c r="B3343" s="39" t="s">
        <v>4996</v>
      </c>
      <c r="C3343" s="40">
        <v>5</v>
      </c>
      <c r="D3343" s="38" t="s">
        <v>266</v>
      </c>
    </row>
    <row r="3344" spans="1:4" x14ac:dyDescent="0.25">
      <c r="A3344" s="42">
        <v>235239.16</v>
      </c>
      <c r="B3344" s="39" t="s">
        <v>4997</v>
      </c>
      <c r="C3344" s="40">
        <v>5</v>
      </c>
      <c r="D3344" s="38" t="s">
        <v>266</v>
      </c>
    </row>
    <row r="3345" spans="1:4" x14ac:dyDescent="0.25">
      <c r="A3345" s="41">
        <v>235283</v>
      </c>
      <c r="B3345" s="39" t="s">
        <v>4998</v>
      </c>
      <c r="C3345" s="40">
        <v>4</v>
      </c>
      <c r="D3345" s="38" t="s">
        <v>266</v>
      </c>
    </row>
    <row r="3346" spans="1:4" x14ac:dyDescent="0.25">
      <c r="A3346" s="41">
        <v>235300</v>
      </c>
      <c r="B3346" s="39" t="s">
        <v>4999</v>
      </c>
      <c r="C3346" s="40">
        <v>3</v>
      </c>
      <c r="D3346" s="38" t="s">
        <v>266</v>
      </c>
    </row>
    <row r="3347" spans="1:4" x14ac:dyDescent="0.25">
      <c r="A3347" s="41">
        <v>235313</v>
      </c>
      <c r="B3347" s="39" t="s">
        <v>5000</v>
      </c>
      <c r="C3347" s="40">
        <v>4</v>
      </c>
      <c r="D3347" s="38" t="s">
        <v>266</v>
      </c>
    </row>
    <row r="3348" spans="1:4" x14ac:dyDescent="0.25">
      <c r="A3348" s="41">
        <v>235316</v>
      </c>
      <c r="B3348" s="39" t="s">
        <v>5001</v>
      </c>
      <c r="C3348" s="40">
        <v>4</v>
      </c>
      <c r="D3348" s="38" t="s">
        <v>266</v>
      </c>
    </row>
    <row r="3349" spans="1:4" x14ac:dyDescent="0.25">
      <c r="A3349" s="41">
        <v>235400</v>
      </c>
      <c r="B3349" s="39" t="s">
        <v>5002</v>
      </c>
      <c r="C3349" s="40">
        <v>3</v>
      </c>
      <c r="D3349" s="38" t="s">
        <v>266</v>
      </c>
    </row>
    <row r="3350" spans="1:4" x14ac:dyDescent="0.25">
      <c r="A3350" s="41">
        <v>235413</v>
      </c>
      <c r="B3350" s="39" t="s">
        <v>5003</v>
      </c>
      <c r="C3350" s="40">
        <v>4</v>
      </c>
      <c r="D3350" s="38" t="s">
        <v>266</v>
      </c>
    </row>
    <row r="3351" spans="1:4" x14ac:dyDescent="0.25">
      <c r="A3351" s="41">
        <v>235416</v>
      </c>
      <c r="B3351" s="39" t="s">
        <v>5004</v>
      </c>
      <c r="C3351" s="40">
        <v>4</v>
      </c>
      <c r="D3351" s="38" t="s">
        <v>266</v>
      </c>
    </row>
    <row r="3352" spans="1:4" x14ac:dyDescent="0.25">
      <c r="A3352" s="42">
        <v>235416.13</v>
      </c>
      <c r="B3352" s="39" t="s">
        <v>5005</v>
      </c>
      <c r="C3352" s="40">
        <v>5</v>
      </c>
      <c r="D3352" s="38" t="s">
        <v>266</v>
      </c>
    </row>
    <row r="3353" spans="1:4" x14ac:dyDescent="0.25">
      <c r="A3353" s="42">
        <v>235416.16</v>
      </c>
      <c r="B3353" s="39" t="s">
        <v>5006</v>
      </c>
      <c r="C3353" s="40">
        <v>5</v>
      </c>
      <c r="D3353" s="38" t="s">
        <v>266</v>
      </c>
    </row>
    <row r="3354" spans="1:4" x14ac:dyDescent="0.25">
      <c r="A3354" s="41">
        <v>235500</v>
      </c>
      <c r="B3354" s="39" t="s">
        <v>5007</v>
      </c>
      <c r="C3354" s="40">
        <v>3</v>
      </c>
      <c r="D3354" s="38" t="s">
        <v>266</v>
      </c>
    </row>
    <row r="3355" spans="1:4" x14ac:dyDescent="0.25">
      <c r="A3355" s="41">
        <v>235513</v>
      </c>
      <c r="B3355" s="39" t="s">
        <v>5008</v>
      </c>
      <c r="C3355" s="40">
        <v>4</v>
      </c>
      <c r="D3355" s="38" t="s">
        <v>266</v>
      </c>
    </row>
    <row r="3356" spans="1:4" x14ac:dyDescent="0.25">
      <c r="A3356" s="42">
        <v>235513.13</v>
      </c>
      <c r="B3356" s="39" t="s">
        <v>5009</v>
      </c>
      <c r="C3356" s="40">
        <v>5</v>
      </c>
      <c r="D3356" s="38" t="s">
        <v>266</v>
      </c>
    </row>
    <row r="3357" spans="1:4" x14ac:dyDescent="0.25">
      <c r="A3357" s="42">
        <v>235513.16</v>
      </c>
      <c r="B3357" s="39" t="s">
        <v>5010</v>
      </c>
      <c r="C3357" s="40">
        <v>5</v>
      </c>
      <c r="D3357" s="38" t="s">
        <v>266</v>
      </c>
    </row>
    <row r="3358" spans="1:4" x14ac:dyDescent="0.25">
      <c r="A3358" s="41">
        <v>235523</v>
      </c>
      <c r="B3358" s="39" t="s">
        <v>5011</v>
      </c>
      <c r="C3358" s="40">
        <v>4</v>
      </c>
      <c r="D3358" s="38" t="s">
        <v>266</v>
      </c>
    </row>
    <row r="3359" spans="1:4" x14ac:dyDescent="0.25">
      <c r="A3359" s="41">
        <v>235533</v>
      </c>
      <c r="B3359" s="39" t="s">
        <v>5012</v>
      </c>
      <c r="C3359" s="40">
        <v>4</v>
      </c>
      <c r="D3359" s="38" t="s">
        <v>266</v>
      </c>
    </row>
    <row r="3360" spans="1:4" x14ac:dyDescent="0.25">
      <c r="A3360" s="42">
        <v>235533.13</v>
      </c>
      <c r="B3360" s="39" t="s">
        <v>5013</v>
      </c>
      <c r="C3360" s="40">
        <v>5</v>
      </c>
      <c r="D3360" s="38" t="s">
        <v>266</v>
      </c>
    </row>
    <row r="3361" spans="1:4" x14ac:dyDescent="0.25">
      <c r="A3361" s="42">
        <v>235533.16</v>
      </c>
      <c r="B3361" s="39" t="s">
        <v>5014</v>
      </c>
      <c r="C3361" s="40">
        <v>5</v>
      </c>
      <c r="D3361" s="38" t="s">
        <v>266</v>
      </c>
    </row>
    <row r="3362" spans="1:4" x14ac:dyDescent="0.25">
      <c r="A3362" s="41">
        <v>235600</v>
      </c>
      <c r="B3362" s="39" t="s">
        <v>5015</v>
      </c>
      <c r="C3362" s="40">
        <v>3</v>
      </c>
      <c r="D3362" s="38" t="s">
        <v>266</v>
      </c>
    </row>
    <row r="3363" spans="1:4" x14ac:dyDescent="0.25">
      <c r="A3363" s="41">
        <v>235613</v>
      </c>
      <c r="B3363" s="39" t="s">
        <v>5016</v>
      </c>
      <c r="C3363" s="40">
        <v>4</v>
      </c>
      <c r="D3363" s="38" t="s">
        <v>266</v>
      </c>
    </row>
    <row r="3364" spans="1:4" x14ac:dyDescent="0.25">
      <c r="A3364" s="42">
        <v>235613.13</v>
      </c>
      <c r="B3364" s="39" t="s">
        <v>5017</v>
      </c>
      <c r="C3364" s="40">
        <v>5</v>
      </c>
      <c r="D3364" s="38" t="s">
        <v>266</v>
      </c>
    </row>
    <row r="3365" spans="1:4" x14ac:dyDescent="0.25">
      <c r="A3365" s="42">
        <v>235613.16</v>
      </c>
      <c r="B3365" s="39" t="s">
        <v>5018</v>
      </c>
      <c r="C3365" s="40">
        <v>5</v>
      </c>
      <c r="D3365" s="38" t="s">
        <v>266</v>
      </c>
    </row>
    <row r="3366" spans="1:4" x14ac:dyDescent="0.25">
      <c r="A3366" s="42">
        <v>235613.19</v>
      </c>
      <c r="B3366" s="39" t="s">
        <v>5019</v>
      </c>
      <c r="C3366" s="40">
        <v>5</v>
      </c>
      <c r="D3366" s="38" t="s">
        <v>266</v>
      </c>
    </row>
    <row r="3367" spans="1:4" x14ac:dyDescent="0.25">
      <c r="A3367" s="41">
        <v>235616</v>
      </c>
      <c r="B3367" s="39" t="s">
        <v>5020</v>
      </c>
      <c r="C3367" s="40">
        <v>4</v>
      </c>
      <c r="D3367" s="38" t="s">
        <v>266</v>
      </c>
    </row>
    <row r="3368" spans="1:4" x14ac:dyDescent="0.25">
      <c r="A3368" s="41">
        <v>235700</v>
      </c>
      <c r="B3368" s="39" t="s">
        <v>5021</v>
      </c>
      <c r="C3368" s="40">
        <v>3</v>
      </c>
      <c r="D3368" s="38" t="s">
        <v>266</v>
      </c>
    </row>
    <row r="3369" spans="1:4" x14ac:dyDescent="0.25">
      <c r="A3369" s="41">
        <v>235713</v>
      </c>
      <c r="B3369" s="39" t="s">
        <v>5022</v>
      </c>
      <c r="C3369" s="40">
        <v>4</v>
      </c>
      <c r="D3369" s="38" t="s">
        <v>266</v>
      </c>
    </row>
    <row r="3370" spans="1:4" x14ac:dyDescent="0.25">
      <c r="A3370" s="41">
        <v>235716</v>
      </c>
      <c r="B3370" s="39" t="s">
        <v>5023</v>
      </c>
      <c r="C3370" s="40">
        <v>4</v>
      </c>
      <c r="D3370" s="38" t="s">
        <v>266</v>
      </c>
    </row>
    <row r="3371" spans="1:4" x14ac:dyDescent="0.25">
      <c r="A3371" s="41">
        <v>235719</v>
      </c>
      <c r="B3371" s="39" t="s">
        <v>5024</v>
      </c>
      <c r="C3371" s="40">
        <v>4</v>
      </c>
      <c r="D3371" s="38" t="s">
        <v>266</v>
      </c>
    </row>
    <row r="3372" spans="1:4" x14ac:dyDescent="0.25">
      <c r="A3372" s="42">
        <v>235719.13</v>
      </c>
      <c r="B3372" s="39" t="s">
        <v>5025</v>
      </c>
      <c r="C3372" s="40">
        <v>5</v>
      </c>
      <c r="D3372" s="38" t="s">
        <v>266</v>
      </c>
    </row>
    <row r="3373" spans="1:4" x14ac:dyDescent="0.25">
      <c r="A3373" s="42">
        <v>235719.16</v>
      </c>
      <c r="B3373" s="39" t="s">
        <v>5026</v>
      </c>
      <c r="C3373" s="40">
        <v>5</v>
      </c>
      <c r="D3373" s="38" t="s">
        <v>266</v>
      </c>
    </row>
    <row r="3374" spans="1:4" x14ac:dyDescent="0.25">
      <c r="A3374" s="41">
        <v>235733</v>
      </c>
      <c r="B3374" s="39" t="s">
        <v>5027</v>
      </c>
      <c r="C3374" s="40">
        <v>4</v>
      </c>
      <c r="D3374" s="38" t="s">
        <v>266</v>
      </c>
    </row>
    <row r="3375" spans="1:4" x14ac:dyDescent="0.25">
      <c r="A3375" s="41">
        <v>236000</v>
      </c>
      <c r="B3375" s="39" t="s">
        <v>5028</v>
      </c>
      <c r="C3375" s="40">
        <v>3</v>
      </c>
      <c r="D3375" s="38" t="s">
        <v>266</v>
      </c>
    </row>
    <row r="3376" spans="1:4" x14ac:dyDescent="0.25">
      <c r="A3376" s="41">
        <v>236100</v>
      </c>
      <c r="B3376" s="39" t="s">
        <v>5029</v>
      </c>
      <c r="C3376" s="40">
        <v>3</v>
      </c>
      <c r="D3376" s="38" t="s">
        <v>266</v>
      </c>
    </row>
    <row r="3377" spans="1:4" x14ac:dyDescent="0.25">
      <c r="A3377" s="41">
        <v>236113</v>
      </c>
      <c r="B3377" s="39" t="s">
        <v>5030</v>
      </c>
      <c r="C3377" s="40">
        <v>4</v>
      </c>
      <c r="D3377" s="38" t="s">
        <v>266</v>
      </c>
    </row>
    <row r="3378" spans="1:4" x14ac:dyDescent="0.25">
      <c r="A3378" s="42">
        <v>236113.13</v>
      </c>
      <c r="B3378" s="39" t="s">
        <v>5031</v>
      </c>
      <c r="C3378" s="40">
        <v>5</v>
      </c>
      <c r="D3378" s="38" t="s">
        <v>266</v>
      </c>
    </row>
    <row r="3379" spans="1:4" x14ac:dyDescent="0.25">
      <c r="A3379" s="41">
        <v>236116</v>
      </c>
      <c r="B3379" s="39" t="s">
        <v>5032</v>
      </c>
      <c r="C3379" s="40">
        <v>4</v>
      </c>
      <c r="D3379" s="38" t="s">
        <v>266</v>
      </c>
    </row>
    <row r="3380" spans="1:4" x14ac:dyDescent="0.25">
      <c r="A3380" s="41">
        <v>236119</v>
      </c>
      <c r="B3380" s="39" t="s">
        <v>5033</v>
      </c>
      <c r="C3380" s="40">
        <v>4</v>
      </c>
      <c r="D3380" s="38" t="s">
        <v>266</v>
      </c>
    </row>
    <row r="3381" spans="1:4" x14ac:dyDescent="0.25">
      <c r="A3381" s="41">
        <v>236123</v>
      </c>
      <c r="B3381" s="39" t="s">
        <v>5034</v>
      </c>
      <c r="C3381" s="40">
        <v>4</v>
      </c>
      <c r="D3381" s="38" t="s">
        <v>266</v>
      </c>
    </row>
    <row r="3382" spans="1:4" x14ac:dyDescent="0.25">
      <c r="A3382" s="41">
        <v>236200</v>
      </c>
      <c r="B3382" s="39" t="s">
        <v>5035</v>
      </c>
      <c r="C3382" s="40">
        <v>3</v>
      </c>
      <c r="D3382" s="38" t="s">
        <v>266</v>
      </c>
    </row>
    <row r="3383" spans="1:4" x14ac:dyDescent="0.25">
      <c r="A3383" s="41">
        <v>236213</v>
      </c>
      <c r="B3383" s="39" t="s">
        <v>5036</v>
      </c>
      <c r="C3383" s="40">
        <v>4</v>
      </c>
      <c r="D3383" s="38" t="s">
        <v>266</v>
      </c>
    </row>
    <row r="3384" spans="1:4" x14ac:dyDescent="0.25">
      <c r="A3384" s="41">
        <v>236223</v>
      </c>
      <c r="B3384" s="39" t="s">
        <v>5037</v>
      </c>
      <c r="C3384" s="40">
        <v>4</v>
      </c>
      <c r="D3384" s="38" t="s">
        <v>266</v>
      </c>
    </row>
    <row r="3385" spans="1:4" x14ac:dyDescent="0.25">
      <c r="A3385" s="41">
        <v>236300</v>
      </c>
      <c r="B3385" s="39" t="s">
        <v>5038</v>
      </c>
      <c r="C3385" s="40">
        <v>3</v>
      </c>
      <c r="D3385" s="38" t="s">
        <v>266</v>
      </c>
    </row>
    <row r="3386" spans="1:4" x14ac:dyDescent="0.25">
      <c r="A3386" s="41">
        <v>236313</v>
      </c>
      <c r="B3386" s="39" t="s">
        <v>5039</v>
      </c>
      <c r="C3386" s="40">
        <v>4</v>
      </c>
      <c r="D3386" s="38" t="s">
        <v>266</v>
      </c>
    </row>
    <row r="3387" spans="1:4" x14ac:dyDescent="0.25">
      <c r="A3387" s="41">
        <v>236323</v>
      </c>
      <c r="B3387" s="39" t="s">
        <v>5040</v>
      </c>
      <c r="C3387" s="40">
        <v>4</v>
      </c>
      <c r="D3387" s="38" t="s">
        <v>266</v>
      </c>
    </row>
    <row r="3388" spans="1:4" x14ac:dyDescent="0.25">
      <c r="A3388" s="41">
        <v>236333</v>
      </c>
      <c r="B3388" s="39" t="s">
        <v>5041</v>
      </c>
      <c r="C3388" s="40">
        <v>4</v>
      </c>
      <c r="D3388" s="38" t="s">
        <v>266</v>
      </c>
    </row>
    <row r="3389" spans="1:4" x14ac:dyDescent="0.25">
      <c r="A3389" s="41">
        <v>236400</v>
      </c>
      <c r="B3389" s="39" t="s">
        <v>5042</v>
      </c>
      <c r="C3389" s="40">
        <v>3</v>
      </c>
      <c r="D3389" s="38" t="s">
        <v>266</v>
      </c>
    </row>
    <row r="3390" spans="1:4" x14ac:dyDescent="0.25">
      <c r="A3390" s="41">
        <v>236413</v>
      </c>
      <c r="B3390" s="39" t="s">
        <v>5043</v>
      </c>
      <c r="C3390" s="40">
        <v>4</v>
      </c>
      <c r="D3390" s="38" t="s">
        <v>266</v>
      </c>
    </row>
    <row r="3391" spans="1:4" x14ac:dyDescent="0.25">
      <c r="A3391" s="42">
        <v>236413.13</v>
      </c>
      <c r="B3391" s="39" t="s">
        <v>5044</v>
      </c>
      <c r="C3391" s="40">
        <v>5</v>
      </c>
      <c r="D3391" s="38" t="s">
        <v>266</v>
      </c>
    </row>
    <row r="3392" spans="1:4" x14ac:dyDescent="0.25">
      <c r="A3392" s="42">
        <v>236413.16</v>
      </c>
      <c r="B3392" s="39" t="s">
        <v>5045</v>
      </c>
      <c r="C3392" s="40">
        <v>5</v>
      </c>
      <c r="D3392" s="38" t="s">
        <v>266</v>
      </c>
    </row>
    <row r="3393" spans="1:4" x14ac:dyDescent="0.25">
      <c r="A3393" s="41">
        <v>236416</v>
      </c>
      <c r="B3393" s="39" t="s">
        <v>5046</v>
      </c>
      <c r="C3393" s="40">
        <v>4</v>
      </c>
      <c r="D3393" s="38" t="s">
        <v>266</v>
      </c>
    </row>
    <row r="3394" spans="1:4" x14ac:dyDescent="0.25">
      <c r="A3394" s="42">
        <v>236416.13</v>
      </c>
      <c r="B3394" s="39" t="s">
        <v>5047</v>
      </c>
      <c r="C3394" s="40">
        <v>5</v>
      </c>
      <c r="D3394" s="38" t="s">
        <v>266</v>
      </c>
    </row>
    <row r="3395" spans="1:4" x14ac:dyDescent="0.25">
      <c r="A3395" s="42">
        <v>236416.16</v>
      </c>
      <c r="B3395" s="39" t="s">
        <v>5048</v>
      </c>
      <c r="C3395" s="40">
        <v>5</v>
      </c>
      <c r="D3395" s="38" t="s">
        <v>266</v>
      </c>
    </row>
    <row r="3396" spans="1:4" x14ac:dyDescent="0.25">
      <c r="A3396" s="41">
        <v>236419</v>
      </c>
      <c r="B3396" s="39" t="s">
        <v>5049</v>
      </c>
      <c r="C3396" s="40">
        <v>4</v>
      </c>
      <c r="D3396" s="38" t="s">
        <v>266</v>
      </c>
    </row>
    <row r="3397" spans="1:4" x14ac:dyDescent="0.25">
      <c r="A3397" s="41">
        <v>236423</v>
      </c>
      <c r="B3397" s="39" t="s">
        <v>5050</v>
      </c>
      <c r="C3397" s="40">
        <v>4</v>
      </c>
      <c r="D3397" s="38" t="s">
        <v>266</v>
      </c>
    </row>
    <row r="3398" spans="1:4" x14ac:dyDescent="0.25">
      <c r="A3398" s="41">
        <v>236426</v>
      </c>
      <c r="B3398" s="39" t="s">
        <v>5051</v>
      </c>
      <c r="C3398" s="40">
        <v>4</v>
      </c>
      <c r="D3398" s="38" t="s">
        <v>266</v>
      </c>
    </row>
    <row r="3399" spans="1:4" x14ac:dyDescent="0.25">
      <c r="A3399" s="41">
        <v>236500</v>
      </c>
      <c r="B3399" s="39" t="s">
        <v>5052</v>
      </c>
      <c r="C3399" s="40">
        <v>3</v>
      </c>
      <c r="D3399" s="38" t="s">
        <v>266</v>
      </c>
    </row>
    <row r="3400" spans="1:4" x14ac:dyDescent="0.25">
      <c r="A3400" s="41">
        <v>236513</v>
      </c>
      <c r="B3400" s="39" t="s">
        <v>5053</v>
      </c>
      <c r="C3400" s="40">
        <v>4</v>
      </c>
      <c r="D3400" s="38" t="s">
        <v>266</v>
      </c>
    </row>
    <row r="3401" spans="1:4" x14ac:dyDescent="0.25">
      <c r="A3401" s="42">
        <v>236513.13</v>
      </c>
      <c r="B3401" s="39" t="s">
        <v>5054</v>
      </c>
      <c r="C3401" s="40">
        <v>5</v>
      </c>
      <c r="D3401" s="38" t="s">
        <v>266</v>
      </c>
    </row>
    <row r="3402" spans="1:4" x14ac:dyDescent="0.25">
      <c r="A3402" s="42">
        <v>236513.16</v>
      </c>
      <c r="B3402" s="39" t="s">
        <v>5055</v>
      </c>
      <c r="C3402" s="40">
        <v>5</v>
      </c>
      <c r="D3402" s="38" t="s">
        <v>266</v>
      </c>
    </row>
    <row r="3403" spans="1:4" x14ac:dyDescent="0.25">
      <c r="A3403" s="41">
        <v>236516</v>
      </c>
      <c r="B3403" s="39" t="s">
        <v>5056</v>
      </c>
      <c r="C3403" s="40">
        <v>4</v>
      </c>
      <c r="D3403" s="38" t="s">
        <v>266</v>
      </c>
    </row>
    <row r="3404" spans="1:4" x14ac:dyDescent="0.25">
      <c r="A3404" s="41">
        <v>236523</v>
      </c>
      <c r="B3404" s="39" t="s">
        <v>5057</v>
      </c>
      <c r="C3404" s="40">
        <v>4</v>
      </c>
      <c r="D3404" s="38" t="s">
        <v>266</v>
      </c>
    </row>
    <row r="3405" spans="1:4" x14ac:dyDescent="0.25">
      <c r="A3405" s="41">
        <v>236533</v>
      </c>
      <c r="B3405" s="39" t="s">
        <v>5058</v>
      </c>
      <c r="C3405" s="40">
        <v>4</v>
      </c>
      <c r="D3405" s="38" t="s">
        <v>266</v>
      </c>
    </row>
    <row r="3406" spans="1:4" x14ac:dyDescent="0.25">
      <c r="A3406" s="41">
        <v>237000</v>
      </c>
      <c r="B3406" s="39" t="s">
        <v>5059</v>
      </c>
      <c r="C3406" s="40">
        <v>3</v>
      </c>
      <c r="D3406" s="38" t="s">
        <v>266</v>
      </c>
    </row>
    <row r="3407" spans="1:4" x14ac:dyDescent="0.25">
      <c r="A3407" s="41">
        <v>237100</v>
      </c>
      <c r="B3407" s="39" t="s">
        <v>5060</v>
      </c>
      <c r="C3407" s="40">
        <v>3</v>
      </c>
      <c r="D3407" s="38" t="s">
        <v>266</v>
      </c>
    </row>
    <row r="3408" spans="1:4" x14ac:dyDescent="0.25">
      <c r="A3408" s="41">
        <v>237113</v>
      </c>
      <c r="B3408" s="39" t="s">
        <v>982</v>
      </c>
      <c r="C3408" s="40">
        <v>4</v>
      </c>
      <c r="D3408" s="38" t="s">
        <v>981</v>
      </c>
    </row>
    <row r="3409" spans="1:4" x14ac:dyDescent="0.25">
      <c r="A3409" s="42">
        <v>237113.13</v>
      </c>
      <c r="B3409" s="39" t="s">
        <v>5061</v>
      </c>
      <c r="C3409" s="40">
        <v>5</v>
      </c>
      <c r="D3409" s="38" t="s">
        <v>266</v>
      </c>
    </row>
    <row r="3410" spans="1:4" x14ac:dyDescent="0.25">
      <c r="A3410" s="42">
        <v>237113.16</v>
      </c>
      <c r="B3410" s="39" t="s">
        <v>5062</v>
      </c>
      <c r="C3410" s="40">
        <v>5</v>
      </c>
      <c r="D3410" s="38" t="s">
        <v>266</v>
      </c>
    </row>
    <row r="3411" spans="1:4" x14ac:dyDescent="0.25">
      <c r="A3411" s="42">
        <v>237113.19</v>
      </c>
      <c r="B3411" s="39" t="s">
        <v>5063</v>
      </c>
      <c r="C3411" s="40">
        <v>5</v>
      </c>
      <c r="D3411" s="38" t="s">
        <v>266</v>
      </c>
    </row>
    <row r="3412" spans="1:4" x14ac:dyDescent="0.25">
      <c r="A3412" s="42">
        <v>237113.23</v>
      </c>
      <c r="B3412" s="39" t="s">
        <v>5064</v>
      </c>
      <c r="C3412" s="40">
        <v>5</v>
      </c>
      <c r="D3412" s="38" t="s">
        <v>266</v>
      </c>
    </row>
    <row r="3413" spans="1:4" x14ac:dyDescent="0.25">
      <c r="A3413" s="41">
        <v>237116</v>
      </c>
      <c r="B3413" s="39" t="s">
        <v>5065</v>
      </c>
      <c r="C3413" s="40">
        <v>4</v>
      </c>
      <c r="D3413" s="38" t="s">
        <v>266</v>
      </c>
    </row>
    <row r="3414" spans="1:4" x14ac:dyDescent="0.25">
      <c r="A3414" s="41">
        <v>237119</v>
      </c>
      <c r="B3414" s="39" t="s">
        <v>5066</v>
      </c>
      <c r="C3414" s="40">
        <v>4</v>
      </c>
      <c r="D3414" s="38" t="s">
        <v>266</v>
      </c>
    </row>
    <row r="3415" spans="1:4" x14ac:dyDescent="0.25">
      <c r="A3415" s="42">
        <v>237119.13</v>
      </c>
      <c r="B3415" s="39" t="s">
        <v>5067</v>
      </c>
      <c r="C3415" s="40">
        <v>5</v>
      </c>
      <c r="D3415" s="38" t="s">
        <v>266</v>
      </c>
    </row>
    <row r="3416" spans="1:4" x14ac:dyDescent="0.25">
      <c r="A3416" s="42">
        <v>237119.16</v>
      </c>
      <c r="B3416" s="39" t="s">
        <v>5068</v>
      </c>
      <c r="C3416" s="40">
        <v>5</v>
      </c>
      <c r="D3416" s="38" t="s">
        <v>266</v>
      </c>
    </row>
    <row r="3417" spans="1:4" x14ac:dyDescent="0.25">
      <c r="A3417" s="42">
        <v>237119.19</v>
      </c>
      <c r="B3417" s="39" t="s">
        <v>5069</v>
      </c>
      <c r="C3417" s="40">
        <v>5</v>
      </c>
      <c r="D3417" s="38" t="s">
        <v>266</v>
      </c>
    </row>
    <row r="3418" spans="1:4" x14ac:dyDescent="0.25">
      <c r="A3418" s="42">
        <v>237119.23</v>
      </c>
      <c r="B3418" s="39" t="s">
        <v>5070</v>
      </c>
      <c r="C3418" s="40">
        <v>5</v>
      </c>
      <c r="D3418" s="38" t="s">
        <v>266</v>
      </c>
    </row>
    <row r="3419" spans="1:4" x14ac:dyDescent="0.25">
      <c r="A3419" s="42">
        <v>237119.26</v>
      </c>
      <c r="B3419" s="39" t="s">
        <v>5071</v>
      </c>
      <c r="C3419" s="40">
        <v>5</v>
      </c>
      <c r="D3419" s="38" t="s">
        <v>266</v>
      </c>
    </row>
    <row r="3420" spans="1:4" x14ac:dyDescent="0.25">
      <c r="A3420" s="41">
        <v>237200</v>
      </c>
      <c r="B3420" s="39" t="s">
        <v>5072</v>
      </c>
      <c r="C3420" s="40">
        <v>3</v>
      </c>
      <c r="D3420" s="38" t="s">
        <v>1019</v>
      </c>
    </row>
    <row r="3421" spans="1:4" x14ac:dyDescent="0.25">
      <c r="A3421" s="41">
        <v>237213</v>
      </c>
      <c r="B3421" s="39" t="s">
        <v>5073</v>
      </c>
      <c r="C3421" s="40">
        <v>4</v>
      </c>
      <c r="D3421" s="38" t="s">
        <v>266</v>
      </c>
    </row>
    <row r="3422" spans="1:4" x14ac:dyDescent="0.25">
      <c r="A3422" s="41">
        <v>237216</v>
      </c>
      <c r="B3422" s="39" t="s">
        <v>5074</v>
      </c>
      <c r="C3422" s="40">
        <v>4</v>
      </c>
      <c r="D3422" s="38" t="s">
        <v>266</v>
      </c>
    </row>
    <row r="3423" spans="1:4" x14ac:dyDescent="0.25">
      <c r="A3423" s="41">
        <v>237219</v>
      </c>
      <c r="B3423" s="39" t="s">
        <v>5075</v>
      </c>
      <c r="C3423" s="40">
        <v>4</v>
      </c>
      <c r="D3423" s="38" t="s">
        <v>266</v>
      </c>
    </row>
    <row r="3424" spans="1:4" x14ac:dyDescent="0.25">
      <c r="A3424" s="41">
        <v>237223</v>
      </c>
      <c r="B3424" s="39" t="s">
        <v>5076</v>
      </c>
      <c r="C3424" s="40">
        <v>4</v>
      </c>
      <c r="D3424" s="38" t="s">
        <v>266</v>
      </c>
    </row>
    <row r="3425" spans="1:4" x14ac:dyDescent="0.25">
      <c r="A3425" s="41">
        <v>237300</v>
      </c>
      <c r="B3425" s="39" t="s">
        <v>5077</v>
      </c>
      <c r="C3425" s="40">
        <v>3</v>
      </c>
      <c r="D3425" s="38" t="s">
        <v>266</v>
      </c>
    </row>
    <row r="3426" spans="1:4" x14ac:dyDescent="0.25">
      <c r="A3426" s="41">
        <v>237313</v>
      </c>
      <c r="B3426" s="39" t="s">
        <v>5078</v>
      </c>
      <c r="C3426" s="40">
        <v>4</v>
      </c>
      <c r="D3426" s="38" t="s">
        <v>266</v>
      </c>
    </row>
    <row r="3427" spans="1:4" x14ac:dyDescent="0.25">
      <c r="A3427" s="41">
        <v>237323</v>
      </c>
      <c r="B3427" s="39" t="s">
        <v>5079</v>
      </c>
      <c r="C3427" s="40">
        <v>4</v>
      </c>
      <c r="D3427" s="38" t="s">
        <v>266</v>
      </c>
    </row>
    <row r="3428" spans="1:4" x14ac:dyDescent="0.25">
      <c r="A3428" s="41">
        <v>237333</v>
      </c>
      <c r="B3428" s="39" t="s">
        <v>5080</v>
      </c>
      <c r="C3428" s="40">
        <v>4</v>
      </c>
      <c r="D3428" s="38" t="s">
        <v>266</v>
      </c>
    </row>
    <row r="3429" spans="1:4" x14ac:dyDescent="0.25">
      <c r="A3429" s="42">
        <v>237333.13</v>
      </c>
      <c r="B3429" s="39" t="s">
        <v>5081</v>
      </c>
      <c r="C3429" s="40">
        <v>5</v>
      </c>
      <c r="D3429" s="38" t="s">
        <v>266</v>
      </c>
    </row>
    <row r="3430" spans="1:4" x14ac:dyDescent="0.25">
      <c r="A3430" s="42">
        <v>237333.16</v>
      </c>
      <c r="B3430" s="39" t="s">
        <v>5082</v>
      </c>
      <c r="C3430" s="40">
        <v>5</v>
      </c>
      <c r="D3430" s="38" t="s">
        <v>266</v>
      </c>
    </row>
    <row r="3431" spans="1:4" x14ac:dyDescent="0.25">
      <c r="A3431" s="41">
        <v>237339</v>
      </c>
      <c r="B3431" s="39" t="s">
        <v>5083</v>
      </c>
      <c r="C3431" s="40">
        <v>4</v>
      </c>
      <c r="D3431" s="38" t="s">
        <v>266</v>
      </c>
    </row>
    <row r="3432" spans="1:4" x14ac:dyDescent="0.25">
      <c r="A3432" s="41">
        <v>237400</v>
      </c>
      <c r="B3432" s="39" t="s">
        <v>5084</v>
      </c>
      <c r="C3432" s="40">
        <v>3</v>
      </c>
      <c r="D3432" s="38" t="s">
        <v>266</v>
      </c>
    </row>
    <row r="3433" spans="1:4" x14ac:dyDescent="0.25">
      <c r="A3433" s="41">
        <v>237413</v>
      </c>
      <c r="B3433" s="39" t="s">
        <v>5085</v>
      </c>
      <c r="C3433" s="40">
        <v>4</v>
      </c>
      <c r="D3433" s="38" t="s">
        <v>266</v>
      </c>
    </row>
    <row r="3434" spans="1:4" x14ac:dyDescent="0.25">
      <c r="A3434" s="41">
        <v>237423</v>
      </c>
      <c r="B3434" s="39" t="s">
        <v>5086</v>
      </c>
      <c r="C3434" s="40">
        <v>4</v>
      </c>
      <c r="D3434" s="38" t="s">
        <v>266</v>
      </c>
    </row>
    <row r="3435" spans="1:4" x14ac:dyDescent="0.25">
      <c r="A3435" s="42">
        <v>237423.13</v>
      </c>
      <c r="B3435" s="39" t="s">
        <v>5087</v>
      </c>
      <c r="C3435" s="40">
        <v>5</v>
      </c>
      <c r="D3435" s="38" t="s">
        <v>266</v>
      </c>
    </row>
    <row r="3436" spans="1:4" x14ac:dyDescent="0.25">
      <c r="A3436" s="42">
        <v>237423.16</v>
      </c>
      <c r="B3436" s="39" t="s">
        <v>5088</v>
      </c>
      <c r="C3436" s="40">
        <v>5</v>
      </c>
      <c r="D3436" s="38" t="s">
        <v>266</v>
      </c>
    </row>
    <row r="3437" spans="1:4" x14ac:dyDescent="0.25">
      <c r="A3437" s="41">
        <v>237433</v>
      </c>
      <c r="B3437" s="39" t="s">
        <v>5089</v>
      </c>
      <c r="C3437" s="40">
        <v>4</v>
      </c>
      <c r="D3437" s="38" t="s">
        <v>266</v>
      </c>
    </row>
    <row r="3438" spans="1:4" x14ac:dyDescent="0.25">
      <c r="A3438" s="41">
        <v>237500</v>
      </c>
      <c r="B3438" s="39" t="s">
        <v>5090</v>
      </c>
      <c r="C3438" s="40">
        <v>3</v>
      </c>
      <c r="D3438" s="38" t="s">
        <v>266</v>
      </c>
    </row>
    <row r="3439" spans="1:4" x14ac:dyDescent="0.25">
      <c r="A3439" s="41">
        <v>237513</v>
      </c>
      <c r="B3439" s="39" t="s">
        <v>5091</v>
      </c>
      <c r="C3439" s="40">
        <v>4</v>
      </c>
      <c r="D3439" s="38" t="s">
        <v>266</v>
      </c>
    </row>
    <row r="3440" spans="1:4" x14ac:dyDescent="0.25">
      <c r="A3440" s="41">
        <v>237523</v>
      </c>
      <c r="B3440" s="39" t="s">
        <v>5092</v>
      </c>
      <c r="C3440" s="40">
        <v>4</v>
      </c>
      <c r="D3440" s="38" t="s">
        <v>266</v>
      </c>
    </row>
    <row r="3441" spans="1:4" x14ac:dyDescent="0.25">
      <c r="A3441" s="41">
        <v>237533</v>
      </c>
      <c r="B3441" s="39" t="s">
        <v>5093</v>
      </c>
      <c r="C3441" s="40">
        <v>4</v>
      </c>
      <c r="D3441" s="38" t="s">
        <v>266</v>
      </c>
    </row>
    <row r="3442" spans="1:4" x14ac:dyDescent="0.25">
      <c r="A3442" s="41">
        <v>237600</v>
      </c>
      <c r="B3442" s="39" t="s">
        <v>5094</v>
      </c>
      <c r="C3442" s="40">
        <v>3</v>
      </c>
      <c r="D3442" s="38" t="s">
        <v>991</v>
      </c>
    </row>
    <row r="3443" spans="1:4" x14ac:dyDescent="0.25">
      <c r="A3443" s="41">
        <v>237613</v>
      </c>
      <c r="B3443" s="39" t="s">
        <v>5095</v>
      </c>
      <c r="C3443" s="40">
        <v>4</v>
      </c>
      <c r="D3443" s="38" t="s">
        <v>266</v>
      </c>
    </row>
    <row r="3444" spans="1:4" x14ac:dyDescent="0.25">
      <c r="A3444" s="41">
        <v>237616</v>
      </c>
      <c r="B3444" s="39" t="s">
        <v>5096</v>
      </c>
      <c r="C3444" s="40">
        <v>4</v>
      </c>
      <c r="D3444" s="38" t="s">
        <v>266</v>
      </c>
    </row>
    <row r="3445" spans="1:4" x14ac:dyDescent="0.25">
      <c r="A3445" s="41">
        <v>237619</v>
      </c>
      <c r="B3445" s="39" t="s">
        <v>5097</v>
      </c>
      <c r="C3445" s="40">
        <v>4</v>
      </c>
      <c r="D3445" s="38" t="s">
        <v>266</v>
      </c>
    </row>
    <row r="3446" spans="1:4" x14ac:dyDescent="0.25">
      <c r="A3446" s="41">
        <v>238000</v>
      </c>
      <c r="B3446" s="39" t="s">
        <v>5098</v>
      </c>
      <c r="C3446" s="40">
        <v>3</v>
      </c>
      <c r="D3446" s="38" t="s">
        <v>266</v>
      </c>
    </row>
    <row r="3447" spans="1:4" x14ac:dyDescent="0.25">
      <c r="A3447" s="41">
        <v>238100</v>
      </c>
      <c r="B3447" s="39" t="s">
        <v>5099</v>
      </c>
      <c r="C3447" s="40">
        <v>3</v>
      </c>
      <c r="D3447" s="38" t="s">
        <v>266</v>
      </c>
    </row>
    <row r="3448" spans="1:4" x14ac:dyDescent="0.25">
      <c r="A3448" s="41">
        <v>238113</v>
      </c>
      <c r="B3448" s="39" t="s">
        <v>5100</v>
      </c>
      <c r="C3448" s="40">
        <v>4</v>
      </c>
      <c r="D3448" s="38" t="s">
        <v>266</v>
      </c>
    </row>
    <row r="3449" spans="1:4" x14ac:dyDescent="0.25">
      <c r="A3449" s="41">
        <v>238116</v>
      </c>
      <c r="B3449" s="39" t="s">
        <v>5101</v>
      </c>
      <c r="C3449" s="40">
        <v>4</v>
      </c>
      <c r="D3449" s="38" t="s">
        <v>266</v>
      </c>
    </row>
    <row r="3450" spans="1:4" x14ac:dyDescent="0.25">
      <c r="A3450" s="41">
        <v>238119</v>
      </c>
      <c r="B3450" s="39" t="s">
        <v>5102</v>
      </c>
      <c r="C3450" s="40">
        <v>4</v>
      </c>
      <c r="D3450" s="38" t="s">
        <v>266</v>
      </c>
    </row>
    <row r="3451" spans="1:4" x14ac:dyDescent="0.25">
      <c r="A3451" s="42">
        <v>238119.13</v>
      </c>
      <c r="B3451" s="39" t="s">
        <v>5103</v>
      </c>
      <c r="C3451" s="40">
        <v>5</v>
      </c>
      <c r="D3451" s="38" t="s">
        <v>266</v>
      </c>
    </row>
    <row r="3452" spans="1:4" x14ac:dyDescent="0.25">
      <c r="A3452" s="42">
        <v>238119.16</v>
      </c>
      <c r="B3452" s="39" t="s">
        <v>5104</v>
      </c>
      <c r="C3452" s="40">
        <v>5</v>
      </c>
      <c r="D3452" s="38" t="s">
        <v>266</v>
      </c>
    </row>
    <row r="3453" spans="1:4" x14ac:dyDescent="0.25">
      <c r="A3453" s="41">
        <v>238123</v>
      </c>
      <c r="B3453" s="39" t="s">
        <v>5105</v>
      </c>
      <c r="C3453" s="40">
        <v>4</v>
      </c>
      <c r="D3453" s="38" t="s">
        <v>266</v>
      </c>
    </row>
    <row r="3454" spans="1:4" x14ac:dyDescent="0.25">
      <c r="A3454" s="41">
        <v>238126</v>
      </c>
      <c r="B3454" s="39" t="s">
        <v>5106</v>
      </c>
      <c r="C3454" s="40">
        <v>4</v>
      </c>
      <c r="D3454" s="38" t="s">
        <v>266</v>
      </c>
    </row>
    <row r="3455" spans="1:4" x14ac:dyDescent="0.25">
      <c r="A3455" s="42">
        <v>238126.13</v>
      </c>
      <c r="B3455" s="39" t="s">
        <v>5107</v>
      </c>
      <c r="C3455" s="40">
        <v>5</v>
      </c>
      <c r="D3455" s="38" t="s">
        <v>266</v>
      </c>
    </row>
    <row r="3456" spans="1:4" x14ac:dyDescent="0.25">
      <c r="A3456" s="42">
        <v>238126.16</v>
      </c>
      <c r="B3456" s="39" t="s">
        <v>5108</v>
      </c>
      <c r="C3456" s="40">
        <v>5</v>
      </c>
      <c r="D3456" s="38" t="s">
        <v>266</v>
      </c>
    </row>
    <row r="3457" spans="1:4" x14ac:dyDescent="0.25">
      <c r="A3457" s="41">
        <v>238143</v>
      </c>
      <c r="B3457" s="39" t="s">
        <v>5109</v>
      </c>
      <c r="C3457" s="40">
        <v>4</v>
      </c>
      <c r="D3457" s="38" t="s">
        <v>266</v>
      </c>
    </row>
    <row r="3458" spans="1:4" x14ac:dyDescent="0.25">
      <c r="A3458" s="41">
        <v>238146</v>
      </c>
      <c r="B3458" s="39" t="s">
        <v>5110</v>
      </c>
      <c r="C3458" s="40">
        <v>4</v>
      </c>
      <c r="D3458" s="38" t="s">
        <v>266</v>
      </c>
    </row>
    <row r="3459" spans="1:4" x14ac:dyDescent="0.25">
      <c r="A3459" s="41">
        <v>238200</v>
      </c>
      <c r="B3459" s="39" t="s">
        <v>5111</v>
      </c>
      <c r="C3459" s="40">
        <v>3</v>
      </c>
      <c r="D3459" s="38" t="s">
        <v>266</v>
      </c>
    </row>
    <row r="3460" spans="1:4" x14ac:dyDescent="0.25">
      <c r="A3460" s="41">
        <v>238213</v>
      </c>
      <c r="B3460" s="39" t="s">
        <v>5112</v>
      </c>
      <c r="C3460" s="40">
        <v>4</v>
      </c>
      <c r="D3460" s="38" t="s">
        <v>266</v>
      </c>
    </row>
    <row r="3461" spans="1:4" x14ac:dyDescent="0.25">
      <c r="A3461" s="41">
        <v>238214</v>
      </c>
      <c r="B3461" s="39" t="s">
        <v>5113</v>
      </c>
      <c r="C3461" s="40">
        <v>4</v>
      </c>
      <c r="D3461" s="38" t="s">
        <v>266</v>
      </c>
    </row>
    <row r="3462" spans="1:4" x14ac:dyDescent="0.25">
      <c r="A3462" s="41">
        <v>238216</v>
      </c>
      <c r="B3462" s="39" t="s">
        <v>5114</v>
      </c>
      <c r="C3462" s="40">
        <v>4</v>
      </c>
      <c r="D3462" s="38" t="s">
        <v>266</v>
      </c>
    </row>
    <row r="3463" spans="1:4" x14ac:dyDescent="0.25">
      <c r="A3463" s="41">
        <v>238219</v>
      </c>
      <c r="B3463" s="39" t="s">
        <v>5115</v>
      </c>
      <c r="C3463" s="40">
        <v>4</v>
      </c>
      <c r="D3463" s="38" t="s">
        <v>266</v>
      </c>
    </row>
    <row r="3464" spans="1:4" x14ac:dyDescent="0.25">
      <c r="A3464" s="41">
        <v>238223</v>
      </c>
      <c r="B3464" s="39" t="s">
        <v>5116</v>
      </c>
      <c r="C3464" s="40">
        <v>4</v>
      </c>
      <c r="D3464" s="38" t="s">
        <v>266</v>
      </c>
    </row>
    <row r="3465" spans="1:4" x14ac:dyDescent="0.25">
      <c r="A3465" s="41">
        <v>238226</v>
      </c>
      <c r="B3465" s="39" t="s">
        <v>5117</v>
      </c>
      <c r="C3465" s="40">
        <v>4</v>
      </c>
      <c r="D3465" s="38" t="s">
        <v>266</v>
      </c>
    </row>
    <row r="3466" spans="1:4" x14ac:dyDescent="0.25">
      <c r="A3466" s="41">
        <v>238229</v>
      </c>
      <c r="B3466" s="39" t="s">
        <v>5118</v>
      </c>
      <c r="C3466" s="40">
        <v>4</v>
      </c>
      <c r="D3466" s="38" t="s">
        <v>266</v>
      </c>
    </row>
    <row r="3467" spans="1:4" x14ac:dyDescent="0.25">
      <c r="A3467" s="41">
        <v>238233</v>
      </c>
      <c r="B3467" s="39" t="s">
        <v>5119</v>
      </c>
      <c r="C3467" s="40">
        <v>4</v>
      </c>
      <c r="D3467" s="38" t="s">
        <v>266</v>
      </c>
    </row>
    <row r="3468" spans="1:4" x14ac:dyDescent="0.25">
      <c r="A3468" s="41">
        <v>238236</v>
      </c>
      <c r="B3468" s="39" t="s">
        <v>5120</v>
      </c>
      <c r="C3468" s="40">
        <v>4</v>
      </c>
      <c r="D3468" s="38" t="s">
        <v>266</v>
      </c>
    </row>
    <row r="3469" spans="1:4" x14ac:dyDescent="0.25">
      <c r="A3469" s="41">
        <v>238239</v>
      </c>
      <c r="B3469" s="39" t="s">
        <v>5121</v>
      </c>
      <c r="C3469" s="40">
        <v>4</v>
      </c>
      <c r="D3469" s="38" t="s">
        <v>266</v>
      </c>
    </row>
    <row r="3470" spans="1:4" x14ac:dyDescent="0.25">
      <c r="A3470" s="42">
        <v>238239.13</v>
      </c>
      <c r="B3470" s="39" t="s">
        <v>5122</v>
      </c>
      <c r="C3470" s="40">
        <v>5</v>
      </c>
      <c r="D3470" s="38" t="s">
        <v>266</v>
      </c>
    </row>
    <row r="3471" spans="1:4" x14ac:dyDescent="0.25">
      <c r="A3471" s="42">
        <v>238239.16</v>
      </c>
      <c r="B3471" s="39" t="s">
        <v>5123</v>
      </c>
      <c r="C3471" s="40">
        <v>5</v>
      </c>
      <c r="D3471" s="38" t="s">
        <v>266</v>
      </c>
    </row>
    <row r="3472" spans="1:4" x14ac:dyDescent="0.25">
      <c r="A3472" s="42">
        <v>238239.19</v>
      </c>
      <c r="B3472" s="39" t="s">
        <v>5124</v>
      </c>
      <c r="C3472" s="40">
        <v>5</v>
      </c>
      <c r="D3472" s="38" t="s">
        <v>266</v>
      </c>
    </row>
    <row r="3473" spans="1:4" x14ac:dyDescent="0.25">
      <c r="A3473" s="41">
        <v>238241</v>
      </c>
      <c r="B3473" s="39" t="s">
        <v>5125</v>
      </c>
      <c r="C3473" s="40">
        <v>4</v>
      </c>
      <c r="D3473" s="38" t="s">
        <v>266</v>
      </c>
    </row>
    <row r="3474" spans="1:4" x14ac:dyDescent="0.25">
      <c r="A3474" s="41">
        <v>238300</v>
      </c>
      <c r="B3474" s="39" t="s">
        <v>5126</v>
      </c>
      <c r="C3474" s="40">
        <v>3</v>
      </c>
      <c r="D3474" s="38" t="s">
        <v>266</v>
      </c>
    </row>
    <row r="3475" spans="1:4" x14ac:dyDescent="0.25">
      <c r="A3475" s="41">
        <v>238313</v>
      </c>
      <c r="B3475" s="39" t="s">
        <v>5127</v>
      </c>
      <c r="C3475" s="40">
        <v>4</v>
      </c>
      <c r="D3475" s="38" t="s">
        <v>266</v>
      </c>
    </row>
    <row r="3476" spans="1:4" x14ac:dyDescent="0.25">
      <c r="A3476" s="42">
        <v>238313.16</v>
      </c>
      <c r="B3476" s="39" t="s">
        <v>5128</v>
      </c>
      <c r="C3476" s="40">
        <v>5</v>
      </c>
      <c r="D3476" s="38" t="s">
        <v>266</v>
      </c>
    </row>
    <row r="3477" spans="1:4" x14ac:dyDescent="0.25">
      <c r="A3477" s="41">
        <v>238316</v>
      </c>
      <c r="B3477" s="39" t="s">
        <v>5129</v>
      </c>
      <c r="C3477" s="40">
        <v>4</v>
      </c>
      <c r="D3477" s="38" t="s">
        <v>266</v>
      </c>
    </row>
    <row r="3478" spans="1:4" x14ac:dyDescent="0.25">
      <c r="A3478" s="41">
        <v>238323</v>
      </c>
      <c r="B3478" s="39" t="s">
        <v>5130</v>
      </c>
      <c r="C3478" s="40">
        <v>4</v>
      </c>
      <c r="D3478" s="38" t="s">
        <v>266</v>
      </c>
    </row>
    <row r="3479" spans="1:4" x14ac:dyDescent="0.25">
      <c r="A3479" s="41">
        <v>238326</v>
      </c>
      <c r="B3479" s="39" t="s">
        <v>5011</v>
      </c>
      <c r="C3479" s="40">
        <v>4</v>
      </c>
      <c r="D3479" s="38" t="s">
        <v>266</v>
      </c>
    </row>
    <row r="3480" spans="1:4" x14ac:dyDescent="0.25">
      <c r="A3480" s="41">
        <v>238333</v>
      </c>
      <c r="B3480" s="39" t="s">
        <v>5131</v>
      </c>
      <c r="C3480" s="40">
        <v>4</v>
      </c>
      <c r="D3480" s="38" t="s">
        <v>266</v>
      </c>
    </row>
    <row r="3481" spans="1:4" x14ac:dyDescent="0.25">
      <c r="A3481" s="41">
        <v>238400</v>
      </c>
      <c r="B3481" s="39" t="s">
        <v>5132</v>
      </c>
      <c r="C3481" s="40">
        <v>3</v>
      </c>
      <c r="D3481" s="38" t="s">
        <v>266</v>
      </c>
    </row>
    <row r="3482" spans="1:4" x14ac:dyDescent="0.25">
      <c r="A3482" s="41">
        <v>238413</v>
      </c>
      <c r="B3482" s="39" t="s">
        <v>5133</v>
      </c>
      <c r="C3482" s="40">
        <v>4</v>
      </c>
      <c r="D3482" s="38" t="s">
        <v>266</v>
      </c>
    </row>
    <row r="3483" spans="1:4" x14ac:dyDescent="0.25">
      <c r="A3483" s="42">
        <v>238413.13</v>
      </c>
      <c r="B3483" s="39" t="s">
        <v>5134</v>
      </c>
      <c r="C3483" s="40">
        <v>5</v>
      </c>
      <c r="D3483" s="38" t="s">
        <v>266</v>
      </c>
    </row>
    <row r="3484" spans="1:4" x14ac:dyDescent="0.25">
      <c r="A3484" s="42">
        <v>238413.16</v>
      </c>
      <c r="B3484" s="39" t="s">
        <v>5135</v>
      </c>
      <c r="C3484" s="40">
        <v>5</v>
      </c>
      <c r="D3484" s="38" t="s">
        <v>266</v>
      </c>
    </row>
    <row r="3485" spans="1:4" x14ac:dyDescent="0.25">
      <c r="A3485" s="42">
        <v>238413.18</v>
      </c>
      <c r="B3485" s="39" t="s">
        <v>5136</v>
      </c>
      <c r="C3485" s="40">
        <v>5</v>
      </c>
      <c r="D3485" s="38" t="s">
        <v>266</v>
      </c>
    </row>
    <row r="3486" spans="1:4" x14ac:dyDescent="0.25">
      <c r="A3486" s="42">
        <v>238413.23</v>
      </c>
      <c r="B3486" s="39" t="s">
        <v>5137</v>
      </c>
      <c r="C3486" s="40">
        <v>5</v>
      </c>
      <c r="D3486" s="38" t="s">
        <v>266</v>
      </c>
    </row>
    <row r="3487" spans="1:4" x14ac:dyDescent="0.25">
      <c r="A3487" s="42">
        <v>238413.26</v>
      </c>
      <c r="B3487" s="39" t="s">
        <v>5138</v>
      </c>
      <c r="C3487" s="40">
        <v>5</v>
      </c>
      <c r="D3487" s="38" t="s">
        <v>266</v>
      </c>
    </row>
    <row r="3488" spans="1:4" x14ac:dyDescent="0.25">
      <c r="A3488" s="42">
        <v>238413.29</v>
      </c>
      <c r="B3488" s="39" t="s">
        <v>5139</v>
      </c>
      <c r="C3488" s="40">
        <v>5</v>
      </c>
      <c r="D3488" s="38" t="s">
        <v>266</v>
      </c>
    </row>
    <row r="3489" spans="1:4" x14ac:dyDescent="0.25">
      <c r="A3489" s="42">
        <v>238413.33</v>
      </c>
      <c r="B3489" s="39" t="s">
        <v>5140</v>
      </c>
      <c r="C3489" s="40">
        <v>5</v>
      </c>
      <c r="D3489" s="38" t="s">
        <v>266</v>
      </c>
    </row>
    <row r="3490" spans="1:4" x14ac:dyDescent="0.25">
      <c r="A3490" s="41">
        <v>238416</v>
      </c>
      <c r="B3490" s="39" t="s">
        <v>5141</v>
      </c>
      <c r="C3490" s="40">
        <v>4</v>
      </c>
      <c r="D3490" s="38" t="s">
        <v>266</v>
      </c>
    </row>
    <row r="3491" spans="1:4" x14ac:dyDescent="0.25">
      <c r="A3491" s="42">
        <v>238416.13</v>
      </c>
      <c r="B3491" s="39" t="s">
        <v>5142</v>
      </c>
      <c r="C3491" s="40">
        <v>5</v>
      </c>
      <c r="D3491" s="38" t="s">
        <v>266</v>
      </c>
    </row>
    <row r="3492" spans="1:4" x14ac:dyDescent="0.25">
      <c r="A3492" s="42">
        <v>238416.16</v>
      </c>
      <c r="B3492" s="39" t="s">
        <v>5143</v>
      </c>
      <c r="C3492" s="40">
        <v>5</v>
      </c>
      <c r="D3492" s="38" t="s">
        <v>266</v>
      </c>
    </row>
    <row r="3493" spans="1:4" x14ac:dyDescent="0.25">
      <c r="A3493" s="42">
        <v>238416.19</v>
      </c>
      <c r="B3493" s="39" t="s">
        <v>5144</v>
      </c>
      <c r="C3493" s="40">
        <v>5</v>
      </c>
      <c r="D3493" s="38" t="s">
        <v>266</v>
      </c>
    </row>
    <row r="3494" spans="1:4" x14ac:dyDescent="0.25">
      <c r="A3494" s="41">
        <v>238419</v>
      </c>
      <c r="B3494" s="39" t="s">
        <v>5145</v>
      </c>
      <c r="C3494" s="40">
        <v>4</v>
      </c>
      <c r="D3494" s="38" t="s">
        <v>266</v>
      </c>
    </row>
    <row r="3495" spans="1:4" x14ac:dyDescent="0.25">
      <c r="A3495" s="41">
        <v>250000</v>
      </c>
      <c r="B3495" s="39" t="s">
        <v>1185</v>
      </c>
      <c r="C3495" s="40">
        <v>2</v>
      </c>
      <c r="D3495" s="39" t="s">
        <v>1184</v>
      </c>
    </row>
    <row r="3496" spans="1:4" x14ac:dyDescent="0.25">
      <c r="A3496" s="41">
        <v>250100</v>
      </c>
      <c r="B3496" s="39" t="s">
        <v>5146</v>
      </c>
      <c r="C3496" s="40">
        <v>3</v>
      </c>
      <c r="D3496" s="38" t="s">
        <v>266</v>
      </c>
    </row>
    <row r="3497" spans="1:4" x14ac:dyDescent="0.25">
      <c r="A3497" s="41">
        <v>250110</v>
      </c>
      <c r="B3497" s="39" t="s">
        <v>5147</v>
      </c>
      <c r="C3497" s="40">
        <v>4</v>
      </c>
      <c r="D3497" s="38" t="s">
        <v>266</v>
      </c>
    </row>
    <row r="3498" spans="1:4" x14ac:dyDescent="0.25">
      <c r="A3498" s="41">
        <v>250120</v>
      </c>
      <c r="B3498" s="39" t="s">
        <v>5148</v>
      </c>
      <c r="C3498" s="40">
        <v>4</v>
      </c>
      <c r="D3498" s="38" t="s">
        <v>266</v>
      </c>
    </row>
    <row r="3499" spans="1:4" x14ac:dyDescent="0.25">
      <c r="A3499" s="41">
        <v>250130</v>
      </c>
      <c r="B3499" s="39" t="s">
        <v>5149</v>
      </c>
      <c r="C3499" s="40">
        <v>4</v>
      </c>
      <c r="D3499" s="38" t="s">
        <v>266</v>
      </c>
    </row>
    <row r="3500" spans="1:4" x14ac:dyDescent="0.25">
      <c r="A3500" s="41">
        <v>250190</v>
      </c>
      <c r="B3500" s="39" t="s">
        <v>5150</v>
      </c>
      <c r="C3500" s="40">
        <v>4</v>
      </c>
      <c r="D3500" s="38" t="s">
        <v>266</v>
      </c>
    </row>
    <row r="3501" spans="1:4" x14ac:dyDescent="0.25">
      <c r="A3501" s="41">
        <v>250500</v>
      </c>
      <c r="B3501" s="39" t="s">
        <v>5151</v>
      </c>
      <c r="C3501" s="40">
        <v>3</v>
      </c>
      <c r="D3501" s="38" t="s">
        <v>266</v>
      </c>
    </row>
    <row r="3502" spans="1:4" x14ac:dyDescent="0.25">
      <c r="A3502" s="41">
        <v>250513</v>
      </c>
      <c r="B3502" s="39" t="s">
        <v>5152</v>
      </c>
      <c r="C3502" s="40">
        <v>4</v>
      </c>
      <c r="D3502" s="38" t="s">
        <v>266</v>
      </c>
    </row>
    <row r="3503" spans="1:4" x14ac:dyDescent="0.25">
      <c r="A3503" s="41">
        <v>250526</v>
      </c>
      <c r="B3503" s="39" t="s">
        <v>5153</v>
      </c>
      <c r="C3503" s="40">
        <v>4</v>
      </c>
      <c r="D3503" s="38" t="s">
        <v>266</v>
      </c>
    </row>
    <row r="3504" spans="1:4" x14ac:dyDescent="0.25">
      <c r="A3504" s="41">
        <v>250528</v>
      </c>
      <c r="B3504" s="39" t="s">
        <v>5154</v>
      </c>
      <c r="C3504" s="40">
        <v>4</v>
      </c>
      <c r="D3504" s="38" t="s">
        <v>266</v>
      </c>
    </row>
    <row r="3505" spans="1:4" x14ac:dyDescent="0.25">
      <c r="A3505" s="42">
        <v>250528.29</v>
      </c>
      <c r="B3505" s="39" t="s">
        <v>5155</v>
      </c>
      <c r="C3505" s="40">
        <v>5</v>
      </c>
      <c r="D3505" s="38" t="s">
        <v>266</v>
      </c>
    </row>
    <row r="3506" spans="1:4" x14ac:dyDescent="0.25">
      <c r="A3506" s="42">
        <v>250528.33</v>
      </c>
      <c r="B3506" s="39" t="s">
        <v>5156</v>
      </c>
      <c r="C3506" s="40">
        <v>5</v>
      </c>
      <c r="D3506" s="38" t="s">
        <v>266</v>
      </c>
    </row>
    <row r="3507" spans="1:4" x14ac:dyDescent="0.25">
      <c r="A3507" s="42">
        <v>250528.36</v>
      </c>
      <c r="B3507" s="39" t="s">
        <v>5157</v>
      </c>
      <c r="C3507" s="40">
        <v>5</v>
      </c>
      <c r="D3507" s="38" t="s">
        <v>266</v>
      </c>
    </row>
    <row r="3508" spans="1:4" x14ac:dyDescent="0.25">
      <c r="A3508" s="42">
        <v>250528.39</v>
      </c>
      <c r="B3508" s="39" t="s">
        <v>5158</v>
      </c>
      <c r="C3508" s="40">
        <v>5</v>
      </c>
      <c r="D3508" s="38" t="s">
        <v>266</v>
      </c>
    </row>
    <row r="3509" spans="1:4" x14ac:dyDescent="0.25">
      <c r="A3509" s="41">
        <v>250548</v>
      </c>
      <c r="B3509" s="39" t="s">
        <v>5159</v>
      </c>
      <c r="C3509" s="40">
        <v>4</v>
      </c>
      <c r="D3509" s="38" t="s">
        <v>266</v>
      </c>
    </row>
    <row r="3510" spans="1:4" x14ac:dyDescent="0.25">
      <c r="A3510" s="41">
        <v>250553</v>
      </c>
      <c r="B3510" s="39" t="s">
        <v>5160</v>
      </c>
      <c r="C3510" s="40">
        <v>4</v>
      </c>
      <c r="D3510" s="38" t="s">
        <v>266</v>
      </c>
    </row>
    <row r="3511" spans="1:4" x14ac:dyDescent="0.25">
      <c r="A3511" s="41">
        <v>250800</v>
      </c>
      <c r="B3511" s="39" t="s">
        <v>5161</v>
      </c>
      <c r="C3511" s="40">
        <v>3</v>
      </c>
      <c r="D3511" s="38" t="s">
        <v>266</v>
      </c>
    </row>
    <row r="3512" spans="1:4" x14ac:dyDescent="0.25">
      <c r="A3512" s="41">
        <v>251000</v>
      </c>
      <c r="B3512" s="39" t="s">
        <v>5162</v>
      </c>
      <c r="C3512" s="40">
        <v>3</v>
      </c>
      <c r="D3512" s="38" t="s">
        <v>266</v>
      </c>
    </row>
    <row r="3513" spans="1:4" x14ac:dyDescent="0.25">
      <c r="A3513" s="41">
        <v>251100</v>
      </c>
      <c r="B3513" s="39" t="s">
        <v>5163</v>
      </c>
      <c r="C3513" s="40">
        <v>3</v>
      </c>
      <c r="D3513" s="38" t="s">
        <v>266</v>
      </c>
    </row>
    <row r="3514" spans="1:4" x14ac:dyDescent="0.25">
      <c r="A3514" s="41">
        <v>251113</v>
      </c>
      <c r="B3514" s="39" t="s">
        <v>5164</v>
      </c>
      <c r="C3514" s="40">
        <v>4</v>
      </c>
      <c r="D3514" s="38" t="s">
        <v>266</v>
      </c>
    </row>
    <row r="3515" spans="1:4" x14ac:dyDescent="0.25">
      <c r="A3515" s="41">
        <v>251116</v>
      </c>
      <c r="B3515" s="39" t="s">
        <v>5165</v>
      </c>
      <c r="C3515" s="40">
        <v>4</v>
      </c>
      <c r="D3515" s="38" t="s">
        <v>266</v>
      </c>
    </row>
    <row r="3516" spans="1:4" x14ac:dyDescent="0.25">
      <c r="A3516" s="41">
        <v>251119</v>
      </c>
      <c r="B3516" s="39" t="s">
        <v>5166</v>
      </c>
      <c r="C3516" s="40">
        <v>4</v>
      </c>
      <c r="D3516" s="38" t="s">
        <v>266</v>
      </c>
    </row>
    <row r="3517" spans="1:4" x14ac:dyDescent="0.25">
      <c r="A3517" s="41">
        <v>251200</v>
      </c>
      <c r="B3517" s="39" t="s">
        <v>5167</v>
      </c>
      <c r="C3517" s="40">
        <v>3</v>
      </c>
      <c r="D3517" s="38" t="s">
        <v>266</v>
      </c>
    </row>
    <row r="3518" spans="1:4" x14ac:dyDescent="0.25">
      <c r="A3518" s="41">
        <v>251213</v>
      </c>
      <c r="B3518" s="39" t="s">
        <v>5168</v>
      </c>
      <c r="C3518" s="40">
        <v>4</v>
      </c>
      <c r="D3518" s="38" t="s">
        <v>266</v>
      </c>
    </row>
    <row r="3519" spans="1:4" x14ac:dyDescent="0.25">
      <c r="A3519" s="41">
        <v>251216</v>
      </c>
      <c r="B3519" s="39" t="s">
        <v>5169</v>
      </c>
      <c r="C3519" s="40">
        <v>4</v>
      </c>
      <c r="D3519" s="38" t="s">
        <v>266</v>
      </c>
    </row>
    <row r="3520" spans="1:4" x14ac:dyDescent="0.25">
      <c r="A3520" s="41">
        <v>251219</v>
      </c>
      <c r="B3520" s="39" t="s">
        <v>5170</v>
      </c>
      <c r="C3520" s="40">
        <v>4</v>
      </c>
      <c r="D3520" s="38" t="s">
        <v>266</v>
      </c>
    </row>
    <row r="3521" spans="1:4" x14ac:dyDescent="0.25">
      <c r="A3521" s="41">
        <v>251223</v>
      </c>
      <c r="B3521" s="39" t="s">
        <v>5171</v>
      </c>
      <c r="C3521" s="40">
        <v>4</v>
      </c>
      <c r="D3521" s="38" t="s">
        <v>266</v>
      </c>
    </row>
    <row r="3522" spans="1:4" x14ac:dyDescent="0.25">
      <c r="A3522" s="41">
        <v>251300</v>
      </c>
      <c r="B3522" s="39" t="s">
        <v>5172</v>
      </c>
      <c r="C3522" s="40">
        <v>3</v>
      </c>
      <c r="D3522" s="38" t="s">
        <v>266</v>
      </c>
    </row>
    <row r="3523" spans="1:4" x14ac:dyDescent="0.25">
      <c r="A3523" s="41">
        <v>251313</v>
      </c>
      <c r="B3523" s="39" t="s">
        <v>5173</v>
      </c>
      <c r="C3523" s="40">
        <v>4</v>
      </c>
      <c r="D3523" s="38" t="s">
        <v>266</v>
      </c>
    </row>
    <row r="3524" spans="1:4" x14ac:dyDescent="0.25">
      <c r="A3524" s="41">
        <v>251316</v>
      </c>
      <c r="B3524" s="39" t="s">
        <v>5174</v>
      </c>
      <c r="C3524" s="40">
        <v>4</v>
      </c>
      <c r="D3524" s="38" t="s">
        <v>266</v>
      </c>
    </row>
    <row r="3525" spans="1:4" x14ac:dyDescent="0.25">
      <c r="A3525" s="41">
        <v>251319</v>
      </c>
      <c r="B3525" s="39" t="s">
        <v>5175</v>
      </c>
      <c r="C3525" s="40">
        <v>4</v>
      </c>
      <c r="D3525" s="38" t="s">
        <v>266</v>
      </c>
    </row>
    <row r="3526" spans="1:4" x14ac:dyDescent="0.25">
      <c r="A3526" s="41">
        <v>251400</v>
      </c>
      <c r="B3526" s="39" t="s">
        <v>5176</v>
      </c>
      <c r="C3526" s="40">
        <v>3</v>
      </c>
      <c r="D3526" s="38" t="s">
        <v>266</v>
      </c>
    </row>
    <row r="3527" spans="1:4" x14ac:dyDescent="0.25">
      <c r="A3527" s="41">
        <v>251413</v>
      </c>
      <c r="B3527" s="39" t="s">
        <v>5177</v>
      </c>
      <c r="C3527" s="40">
        <v>4</v>
      </c>
      <c r="D3527" s="38" t="s">
        <v>266</v>
      </c>
    </row>
    <row r="3528" spans="1:4" x14ac:dyDescent="0.25">
      <c r="A3528" s="41">
        <v>251416</v>
      </c>
      <c r="B3528" s="39" t="s">
        <v>5178</v>
      </c>
      <c r="C3528" s="40">
        <v>4</v>
      </c>
      <c r="D3528" s="38" t="s">
        <v>266</v>
      </c>
    </row>
    <row r="3529" spans="1:4" x14ac:dyDescent="0.25">
      <c r="A3529" s="41">
        <v>251419</v>
      </c>
      <c r="B3529" s="39" t="s">
        <v>5179</v>
      </c>
      <c r="C3529" s="40">
        <v>4</v>
      </c>
      <c r="D3529" s="38" t="s">
        <v>266</v>
      </c>
    </row>
    <row r="3530" spans="1:4" x14ac:dyDescent="0.25">
      <c r="A3530" s="41">
        <v>251423</v>
      </c>
      <c r="B3530" s="39" t="s">
        <v>5180</v>
      </c>
      <c r="C3530" s="40">
        <v>4</v>
      </c>
      <c r="D3530" s="38" t="s">
        <v>266</v>
      </c>
    </row>
    <row r="3531" spans="1:4" x14ac:dyDescent="0.25">
      <c r="A3531" s="41">
        <v>251500</v>
      </c>
      <c r="B3531" s="39" t="s">
        <v>5181</v>
      </c>
      <c r="C3531" s="40">
        <v>3</v>
      </c>
      <c r="D3531" s="38" t="s">
        <v>266</v>
      </c>
    </row>
    <row r="3532" spans="1:4" x14ac:dyDescent="0.25">
      <c r="A3532" s="41">
        <v>251513</v>
      </c>
      <c r="B3532" s="39" t="s">
        <v>5182</v>
      </c>
      <c r="C3532" s="40">
        <v>4</v>
      </c>
      <c r="D3532" s="38" t="s">
        <v>266</v>
      </c>
    </row>
    <row r="3533" spans="1:4" x14ac:dyDescent="0.25">
      <c r="A3533" s="41">
        <v>251516</v>
      </c>
      <c r="B3533" s="39" t="s">
        <v>5183</v>
      </c>
      <c r="C3533" s="40">
        <v>4</v>
      </c>
      <c r="D3533" s="38" t="s">
        <v>266</v>
      </c>
    </row>
    <row r="3534" spans="1:4" x14ac:dyDescent="0.25">
      <c r="A3534" s="41">
        <v>251519</v>
      </c>
      <c r="B3534" s="39" t="s">
        <v>5184</v>
      </c>
      <c r="C3534" s="40">
        <v>4</v>
      </c>
      <c r="D3534" s="38" t="s">
        <v>266</v>
      </c>
    </row>
    <row r="3535" spans="1:4" x14ac:dyDescent="0.25">
      <c r="A3535" s="41">
        <v>253000</v>
      </c>
      <c r="B3535" s="39" t="s">
        <v>5185</v>
      </c>
      <c r="C3535" s="40">
        <v>3</v>
      </c>
      <c r="D3535" s="38" t="s">
        <v>1184</v>
      </c>
    </row>
    <row r="3536" spans="1:4" x14ac:dyDescent="0.25">
      <c r="A3536" s="41">
        <v>253100</v>
      </c>
      <c r="B3536" s="39" t="s">
        <v>5186</v>
      </c>
      <c r="C3536" s="40">
        <v>3</v>
      </c>
      <c r="D3536" s="38" t="s">
        <v>266</v>
      </c>
    </row>
    <row r="3537" spans="1:4" x14ac:dyDescent="0.25">
      <c r="A3537" s="41">
        <v>253200</v>
      </c>
      <c r="B3537" s="39" t="s">
        <v>5187</v>
      </c>
      <c r="C3537" s="40">
        <v>3</v>
      </c>
      <c r="D3537" s="38" t="s">
        <v>266</v>
      </c>
    </row>
    <row r="3538" spans="1:4" x14ac:dyDescent="0.25">
      <c r="A3538" s="41">
        <v>253300</v>
      </c>
      <c r="B3538" s="39" t="s">
        <v>5188</v>
      </c>
      <c r="C3538" s="40">
        <v>3</v>
      </c>
      <c r="D3538" s="38" t="s">
        <v>266</v>
      </c>
    </row>
    <row r="3539" spans="1:4" x14ac:dyDescent="0.25">
      <c r="A3539" s="41">
        <v>253400</v>
      </c>
      <c r="B3539" s="39" t="s">
        <v>5189</v>
      </c>
      <c r="C3539" s="40">
        <v>3</v>
      </c>
      <c r="D3539" s="38" t="s">
        <v>266</v>
      </c>
    </row>
    <row r="3540" spans="1:4" x14ac:dyDescent="0.25">
      <c r="A3540" s="41">
        <v>253500</v>
      </c>
      <c r="B3540" s="39" t="s">
        <v>5190</v>
      </c>
      <c r="C3540" s="40">
        <v>3</v>
      </c>
      <c r="D3540" s="38" t="s">
        <v>266</v>
      </c>
    </row>
    <row r="3541" spans="1:4" x14ac:dyDescent="0.25">
      <c r="A3541" s="41">
        <v>253513</v>
      </c>
      <c r="B3541" s="39" t="s">
        <v>5191</v>
      </c>
      <c r="C3541" s="40">
        <v>4</v>
      </c>
      <c r="D3541" s="38" t="s">
        <v>266</v>
      </c>
    </row>
    <row r="3542" spans="1:4" x14ac:dyDescent="0.25">
      <c r="A3542" s="41">
        <v>253516</v>
      </c>
      <c r="B3542" s="39" t="s">
        <v>5192</v>
      </c>
      <c r="C3542" s="40">
        <v>4</v>
      </c>
      <c r="D3542" s="38" t="s">
        <v>266</v>
      </c>
    </row>
    <row r="3543" spans="1:4" x14ac:dyDescent="0.25">
      <c r="A3543" s="41">
        <v>253519</v>
      </c>
      <c r="B3543" s="39" t="s">
        <v>5193</v>
      </c>
      <c r="C3543" s="40">
        <v>4</v>
      </c>
      <c r="D3543" s="38" t="s">
        <v>266</v>
      </c>
    </row>
    <row r="3544" spans="1:4" x14ac:dyDescent="0.25">
      <c r="A3544" s="41">
        <v>253523</v>
      </c>
      <c r="B3544" s="39" t="s">
        <v>5194</v>
      </c>
      <c r="C3544" s="40">
        <v>4</v>
      </c>
      <c r="D3544" s="38" t="s">
        <v>266</v>
      </c>
    </row>
    <row r="3545" spans="1:4" x14ac:dyDescent="0.25">
      <c r="A3545" s="41">
        <v>253526</v>
      </c>
      <c r="B3545" s="39" t="s">
        <v>5195</v>
      </c>
      <c r="C3545" s="40">
        <v>4</v>
      </c>
      <c r="D3545" s="38" t="s">
        <v>266</v>
      </c>
    </row>
    <row r="3546" spans="1:4" x14ac:dyDescent="0.25">
      <c r="A3546" s="41">
        <v>253600</v>
      </c>
      <c r="B3546" s="39" t="s">
        <v>5196</v>
      </c>
      <c r="C3546" s="40">
        <v>3</v>
      </c>
      <c r="D3546" s="38" t="s">
        <v>266</v>
      </c>
    </row>
    <row r="3547" spans="1:4" x14ac:dyDescent="0.25">
      <c r="A3547" s="41">
        <v>253613</v>
      </c>
      <c r="B3547" s="39" t="s">
        <v>5197</v>
      </c>
      <c r="C3547" s="40">
        <v>4</v>
      </c>
      <c r="D3547" s="38" t="s">
        <v>266</v>
      </c>
    </row>
    <row r="3548" spans="1:4" x14ac:dyDescent="0.25">
      <c r="A3548" s="41">
        <v>253616</v>
      </c>
      <c r="B3548" s="39" t="s">
        <v>5198</v>
      </c>
      <c r="C3548" s="40">
        <v>4</v>
      </c>
      <c r="D3548" s="38" t="s">
        <v>266</v>
      </c>
    </row>
    <row r="3549" spans="1:4" x14ac:dyDescent="0.25">
      <c r="A3549" s="41">
        <v>253619</v>
      </c>
      <c r="B3549" s="39" t="s">
        <v>5199</v>
      </c>
      <c r="C3549" s="40">
        <v>4</v>
      </c>
      <c r="D3549" s="38" t="s">
        <v>266</v>
      </c>
    </row>
    <row r="3550" spans="1:4" x14ac:dyDescent="0.25">
      <c r="A3550" s="41">
        <v>253623</v>
      </c>
      <c r="B3550" s="39" t="s">
        <v>5200</v>
      </c>
      <c r="C3550" s="40">
        <v>4</v>
      </c>
      <c r="D3550" s="38" t="s">
        <v>266</v>
      </c>
    </row>
    <row r="3551" spans="1:4" x14ac:dyDescent="0.25">
      <c r="A3551" s="41">
        <v>253626</v>
      </c>
      <c r="B3551" s="39" t="s">
        <v>5201</v>
      </c>
      <c r="C3551" s="40">
        <v>4</v>
      </c>
      <c r="D3551" s="38" t="s">
        <v>266</v>
      </c>
    </row>
    <row r="3552" spans="1:4" x14ac:dyDescent="0.25">
      <c r="A3552" s="41">
        <v>253629</v>
      </c>
      <c r="B3552" s="39" t="s">
        <v>5202</v>
      </c>
      <c r="C3552" s="40">
        <v>4</v>
      </c>
      <c r="D3552" s="38" t="s">
        <v>266</v>
      </c>
    </row>
    <row r="3553" spans="1:4" x14ac:dyDescent="0.25">
      <c r="A3553" s="41">
        <v>253700</v>
      </c>
      <c r="B3553" s="39" t="s">
        <v>5203</v>
      </c>
      <c r="C3553" s="40">
        <v>3</v>
      </c>
      <c r="D3553" s="38" t="s">
        <v>266</v>
      </c>
    </row>
    <row r="3554" spans="1:4" x14ac:dyDescent="0.25">
      <c r="A3554" s="41">
        <v>253800</v>
      </c>
      <c r="B3554" s="39" t="s">
        <v>5204</v>
      </c>
      <c r="C3554" s="40">
        <v>3</v>
      </c>
      <c r="D3554" s="38" t="s">
        <v>266</v>
      </c>
    </row>
    <row r="3555" spans="1:4" x14ac:dyDescent="0.25">
      <c r="A3555" s="41">
        <v>255000</v>
      </c>
      <c r="B3555" s="39" t="s">
        <v>1187</v>
      </c>
      <c r="C3555" s="40">
        <v>3</v>
      </c>
      <c r="D3555" s="38" t="s">
        <v>1186</v>
      </c>
    </row>
    <row r="3556" spans="1:4" x14ac:dyDescent="0.25">
      <c r="A3556" s="41">
        <v>255100</v>
      </c>
      <c r="B3556" s="39" t="s">
        <v>5205</v>
      </c>
      <c r="C3556" s="40">
        <v>3</v>
      </c>
      <c r="D3556" s="38" t="s">
        <v>1188</v>
      </c>
    </row>
    <row r="3557" spans="1:4" x14ac:dyDescent="0.25">
      <c r="A3557" s="41">
        <v>255200</v>
      </c>
      <c r="B3557" s="39" t="s">
        <v>1191</v>
      </c>
      <c r="C3557" s="40">
        <v>3</v>
      </c>
      <c r="D3557" s="38" t="s">
        <v>1190</v>
      </c>
    </row>
    <row r="3558" spans="1:4" x14ac:dyDescent="0.25">
      <c r="A3558" s="41">
        <v>255300</v>
      </c>
      <c r="B3558" s="39" t="s">
        <v>1193</v>
      </c>
      <c r="C3558" s="40">
        <v>3</v>
      </c>
      <c r="D3558" s="38" t="s">
        <v>1192</v>
      </c>
    </row>
    <row r="3559" spans="1:4" x14ac:dyDescent="0.25">
      <c r="A3559" s="41">
        <v>255400</v>
      </c>
      <c r="B3559" s="39" t="s">
        <v>5206</v>
      </c>
      <c r="C3559" s="40">
        <v>3</v>
      </c>
      <c r="D3559" s="38" t="s">
        <v>1194</v>
      </c>
    </row>
    <row r="3560" spans="1:4" x14ac:dyDescent="0.25">
      <c r="A3560" s="41">
        <v>255500</v>
      </c>
      <c r="B3560" s="39" t="s">
        <v>5207</v>
      </c>
      <c r="C3560" s="40">
        <v>3</v>
      </c>
      <c r="D3560" s="38" t="s">
        <v>1196</v>
      </c>
    </row>
    <row r="3561" spans="1:4" x14ac:dyDescent="0.25">
      <c r="A3561" s="41">
        <v>255600</v>
      </c>
      <c r="B3561" s="39" t="s">
        <v>1199</v>
      </c>
      <c r="C3561" s="40">
        <v>3</v>
      </c>
      <c r="D3561" s="38" t="s">
        <v>1198</v>
      </c>
    </row>
    <row r="3562" spans="1:4" x14ac:dyDescent="0.25">
      <c r="A3562" s="41">
        <v>255700</v>
      </c>
      <c r="B3562" s="39" t="s">
        <v>5208</v>
      </c>
      <c r="C3562" s="40">
        <v>3</v>
      </c>
      <c r="D3562" s="38" t="s">
        <v>1200</v>
      </c>
    </row>
    <row r="3563" spans="1:4" x14ac:dyDescent="0.25">
      <c r="A3563" s="41">
        <v>255800</v>
      </c>
      <c r="B3563" s="39" t="s">
        <v>1203</v>
      </c>
      <c r="C3563" s="40">
        <v>3</v>
      </c>
      <c r="D3563" s="38" t="s">
        <v>1202</v>
      </c>
    </row>
    <row r="3564" spans="1:4" x14ac:dyDescent="0.25">
      <c r="A3564" s="41">
        <v>259000</v>
      </c>
      <c r="B3564" s="39" t="s">
        <v>5209</v>
      </c>
      <c r="C3564" s="40">
        <v>3</v>
      </c>
      <c r="D3564" s="38" t="s">
        <v>266</v>
      </c>
    </row>
    <row r="3565" spans="1:4" x14ac:dyDescent="0.25">
      <c r="A3565" s="41">
        <v>259100</v>
      </c>
      <c r="B3565" s="39" t="s">
        <v>5210</v>
      </c>
      <c r="C3565" s="40">
        <v>3</v>
      </c>
      <c r="D3565" s="38" t="s">
        <v>266</v>
      </c>
    </row>
    <row r="3566" spans="1:4" x14ac:dyDescent="0.25">
      <c r="A3566" s="41">
        <v>259200</v>
      </c>
      <c r="B3566" s="39" t="s">
        <v>5211</v>
      </c>
      <c r="C3566" s="40">
        <v>3</v>
      </c>
      <c r="D3566" s="38" t="s">
        <v>266</v>
      </c>
    </row>
    <row r="3567" spans="1:4" x14ac:dyDescent="0.25">
      <c r="A3567" s="41">
        <v>259300</v>
      </c>
      <c r="B3567" s="39" t="s">
        <v>5212</v>
      </c>
      <c r="C3567" s="40">
        <v>3</v>
      </c>
      <c r="D3567" s="38" t="s">
        <v>266</v>
      </c>
    </row>
    <row r="3568" spans="1:4" x14ac:dyDescent="0.25">
      <c r="A3568" s="41">
        <v>259400</v>
      </c>
      <c r="B3568" s="39" t="s">
        <v>5213</v>
      </c>
      <c r="C3568" s="40">
        <v>3</v>
      </c>
      <c r="D3568" s="38" t="s">
        <v>266</v>
      </c>
    </row>
    <row r="3569" spans="1:4" x14ac:dyDescent="0.25">
      <c r="A3569" s="41">
        <v>259500</v>
      </c>
      <c r="B3569" s="39" t="s">
        <v>5214</v>
      </c>
      <c r="C3569" s="40">
        <v>3</v>
      </c>
      <c r="D3569" s="38" t="s">
        <v>266</v>
      </c>
    </row>
    <row r="3570" spans="1:4" x14ac:dyDescent="0.25">
      <c r="A3570" s="41">
        <v>259600</v>
      </c>
      <c r="B3570" s="39" t="s">
        <v>5215</v>
      </c>
      <c r="C3570" s="40">
        <v>3</v>
      </c>
      <c r="D3570" s="38" t="s">
        <v>266</v>
      </c>
    </row>
    <row r="3571" spans="1:4" x14ac:dyDescent="0.25">
      <c r="A3571" s="41">
        <v>259700</v>
      </c>
      <c r="B3571" s="39" t="s">
        <v>5216</v>
      </c>
      <c r="C3571" s="40">
        <v>3</v>
      </c>
      <c r="D3571" s="38" t="s">
        <v>266</v>
      </c>
    </row>
    <row r="3572" spans="1:4" x14ac:dyDescent="0.25">
      <c r="A3572" s="41">
        <v>259800</v>
      </c>
      <c r="B3572" s="39" t="s">
        <v>5217</v>
      </c>
      <c r="C3572" s="40">
        <v>3</v>
      </c>
      <c r="D3572" s="38" t="s">
        <v>266</v>
      </c>
    </row>
    <row r="3573" spans="1:4" x14ac:dyDescent="0.25">
      <c r="A3573" s="41">
        <v>260000</v>
      </c>
      <c r="B3573" s="39" t="s">
        <v>1050</v>
      </c>
      <c r="C3573" s="40">
        <v>2</v>
      </c>
      <c r="D3573" s="38" t="s">
        <v>1049</v>
      </c>
    </row>
    <row r="3574" spans="1:4" x14ac:dyDescent="0.25">
      <c r="A3574" s="41">
        <v>260100</v>
      </c>
      <c r="B3574" s="39" t="s">
        <v>5218</v>
      </c>
      <c r="C3574" s="40">
        <v>3</v>
      </c>
      <c r="D3574" s="38" t="s">
        <v>266</v>
      </c>
    </row>
    <row r="3575" spans="1:4" x14ac:dyDescent="0.25">
      <c r="A3575" s="41">
        <v>260110</v>
      </c>
      <c r="B3575" s="39" t="s">
        <v>5219</v>
      </c>
      <c r="C3575" s="40">
        <v>4</v>
      </c>
      <c r="D3575" s="38" t="s">
        <v>266</v>
      </c>
    </row>
    <row r="3576" spans="1:4" x14ac:dyDescent="0.25">
      <c r="A3576" s="41">
        <v>260120</v>
      </c>
      <c r="B3576" s="39" t="s">
        <v>5220</v>
      </c>
      <c r="C3576" s="40">
        <v>4</v>
      </c>
      <c r="D3576" s="38" t="s">
        <v>266</v>
      </c>
    </row>
    <row r="3577" spans="1:4" x14ac:dyDescent="0.25">
      <c r="A3577" s="41">
        <v>260126</v>
      </c>
      <c r="B3577" s="39" t="s">
        <v>5221</v>
      </c>
      <c r="C3577" s="40">
        <v>4</v>
      </c>
      <c r="D3577" s="38" t="s">
        <v>266</v>
      </c>
    </row>
    <row r="3578" spans="1:4" x14ac:dyDescent="0.25">
      <c r="A3578" s="41">
        <v>260130</v>
      </c>
      <c r="B3578" s="39" t="s">
        <v>5222</v>
      </c>
      <c r="C3578" s="40">
        <v>4</v>
      </c>
      <c r="D3578" s="38" t="s">
        <v>266</v>
      </c>
    </row>
    <row r="3579" spans="1:4" x14ac:dyDescent="0.25">
      <c r="A3579" s="41">
        <v>260140</v>
      </c>
      <c r="B3579" s="39" t="s">
        <v>5223</v>
      </c>
      <c r="C3579" s="40">
        <v>4</v>
      </c>
      <c r="D3579" s="38" t="s">
        <v>266</v>
      </c>
    </row>
    <row r="3580" spans="1:4" x14ac:dyDescent="0.25">
      <c r="A3580" s="41">
        <v>260150</v>
      </c>
      <c r="B3580" s="39" t="s">
        <v>5224</v>
      </c>
      <c r="C3580" s="40">
        <v>4</v>
      </c>
      <c r="D3580" s="38" t="s">
        <v>266</v>
      </c>
    </row>
    <row r="3581" spans="1:4" x14ac:dyDescent="0.25">
      <c r="A3581" s="42">
        <v>260150.51</v>
      </c>
      <c r="B3581" s="39" t="s">
        <v>5225</v>
      </c>
      <c r="C3581" s="40">
        <v>5</v>
      </c>
      <c r="D3581" s="38" t="s">
        <v>266</v>
      </c>
    </row>
    <row r="3582" spans="1:4" x14ac:dyDescent="0.25">
      <c r="A3582" s="42">
        <v>260150.81</v>
      </c>
      <c r="B3582" s="39" t="s">
        <v>5226</v>
      </c>
      <c r="C3582" s="40">
        <v>5</v>
      </c>
      <c r="D3582" s="38" t="s">
        <v>266</v>
      </c>
    </row>
    <row r="3583" spans="1:4" x14ac:dyDescent="0.25">
      <c r="A3583" s="41">
        <v>260500</v>
      </c>
      <c r="B3583" s="39" t="s">
        <v>5227</v>
      </c>
      <c r="C3583" s="40">
        <v>3</v>
      </c>
      <c r="D3583" s="38" t="s">
        <v>266</v>
      </c>
    </row>
    <row r="3584" spans="1:4" x14ac:dyDescent="0.25">
      <c r="A3584" s="41">
        <v>260513</v>
      </c>
      <c r="B3584" s="39" t="s">
        <v>5228</v>
      </c>
      <c r="C3584" s="40">
        <v>4</v>
      </c>
      <c r="D3584" s="38" t="s">
        <v>266</v>
      </c>
    </row>
    <row r="3585" spans="1:4" x14ac:dyDescent="0.25">
      <c r="A3585" s="42">
        <v>260513.13</v>
      </c>
      <c r="B3585" s="39" t="s">
        <v>5229</v>
      </c>
      <c r="C3585" s="40">
        <v>5</v>
      </c>
      <c r="D3585" s="38" t="s">
        <v>266</v>
      </c>
    </row>
    <row r="3586" spans="1:4" x14ac:dyDescent="0.25">
      <c r="A3586" s="42">
        <v>260513.16</v>
      </c>
      <c r="B3586" s="39" t="s">
        <v>5230</v>
      </c>
      <c r="C3586" s="40">
        <v>5</v>
      </c>
      <c r="D3586" s="38" t="s">
        <v>266</v>
      </c>
    </row>
    <row r="3587" spans="1:4" x14ac:dyDescent="0.25">
      <c r="A3587" s="41">
        <v>260519</v>
      </c>
      <c r="B3587" s="39" t="s">
        <v>5231</v>
      </c>
      <c r="C3587" s="40">
        <v>4</v>
      </c>
      <c r="D3587" s="38" t="s">
        <v>266</v>
      </c>
    </row>
    <row r="3588" spans="1:4" x14ac:dyDescent="0.25">
      <c r="A3588" s="42">
        <v>260519.13</v>
      </c>
      <c r="B3588" s="39" t="s">
        <v>5232</v>
      </c>
      <c r="C3588" s="40">
        <v>5</v>
      </c>
      <c r="D3588" s="38" t="s">
        <v>266</v>
      </c>
    </row>
    <row r="3589" spans="1:4" x14ac:dyDescent="0.25">
      <c r="A3589" s="42">
        <v>260519.23</v>
      </c>
      <c r="B3589" s="39" t="s">
        <v>5233</v>
      </c>
      <c r="C3589" s="40">
        <v>5</v>
      </c>
      <c r="D3589" s="38" t="s">
        <v>266</v>
      </c>
    </row>
    <row r="3590" spans="1:4" x14ac:dyDescent="0.25">
      <c r="A3590" s="41">
        <v>260523</v>
      </c>
      <c r="B3590" s="39" t="s">
        <v>5234</v>
      </c>
      <c r="C3590" s="40">
        <v>4</v>
      </c>
      <c r="D3590" s="38" t="s">
        <v>266</v>
      </c>
    </row>
    <row r="3591" spans="1:4" x14ac:dyDescent="0.25">
      <c r="A3591" s="41">
        <v>260526</v>
      </c>
      <c r="B3591" s="39" t="s">
        <v>5235</v>
      </c>
      <c r="C3591" s="40">
        <v>4</v>
      </c>
      <c r="D3591" s="38" t="s">
        <v>266</v>
      </c>
    </row>
    <row r="3592" spans="1:4" x14ac:dyDescent="0.25">
      <c r="A3592" s="41">
        <v>260529</v>
      </c>
      <c r="B3592" s="39" t="s">
        <v>5236</v>
      </c>
      <c r="C3592" s="40">
        <v>4</v>
      </c>
      <c r="D3592" s="38" t="s">
        <v>266</v>
      </c>
    </row>
    <row r="3593" spans="1:4" x14ac:dyDescent="0.25">
      <c r="A3593" s="41">
        <v>260533</v>
      </c>
      <c r="B3593" s="39" t="s">
        <v>5237</v>
      </c>
      <c r="C3593" s="40">
        <v>4</v>
      </c>
      <c r="D3593" s="38" t="s">
        <v>266</v>
      </c>
    </row>
    <row r="3594" spans="1:4" x14ac:dyDescent="0.25">
      <c r="A3594" s="42">
        <v>260533.13</v>
      </c>
      <c r="B3594" s="39" t="s">
        <v>5238</v>
      </c>
      <c r="C3594" s="40">
        <v>5</v>
      </c>
      <c r="D3594" s="38" t="s">
        <v>266</v>
      </c>
    </row>
    <row r="3595" spans="1:4" x14ac:dyDescent="0.25">
      <c r="A3595" s="42">
        <v>260533.16</v>
      </c>
      <c r="B3595" s="39" t="s">
        <v>5239</v>
      </c>
      <c r="C3595" s="40">
        <v>5</v>
      </c>
      <c r="D3595" s="38" t="s">
        <v>266</v>
      </c>
    </row>
    <row r="3596" spans="1:4" x14ac:dyDescent="0.25">
      <c r="A3596" s="42">
        <v>260533.23</v>
      </c>
      <c r="B3596" s="39" t="s">
        <v>5240</v>
      </c>
      <c r="C3596" s="40">
        <v>5</v>
      </c>
      <c r="D3596" s="38" t="s">
        <v>266</v>
      </c>
    </row>
    <row r="3597" spans="1:4" x14ac:dyDescent="0.25">
      <c r="A3597" s="41">
        <v>260536</v>
      </c>
      <c r="B3597" s="39" t="s">
        <v>5241</v>
      </c>
      <c r="C3597" s="40">
        <v>4</v>
      </c>
      <c r="D3597" s="38" t="s">
        <v>266</v>
      </c>
    </row>
    <row r="3598" spans="1:4" x14ac:dyDescent="0.25">
      <c r="A3598" s="41">
        <v>260539</v>
      </c>
      <c r="B3598" s="39" t="s">
        <v>5242</v>
      </c>
      <c r="C3598" s="40">
        <v>4</v>
      </c>
      <c r="D3598" s="38" t="s">
        <v>266</v>
      </c>
    </row>
    <row r="3599" spans="1:4" x14ac:dyDescent="0.25">
      <c r="A3599" s="41">
        <v>260543</v>
      </c>
      <c r="B3599" s="39" t="s">
        <v>5243</v>
      </c>
      <c r="C3599" s="40">
        <v>4</v>
      </c>
      <c r="D3599" s="38" t="s">
        <v>266</v>
      </c>
    </row>
    <row r="3600" spans="1:4" x14ac:dyDescent="0.25">
      <c r="A3600" s="41">
        <v>260546</v>
      </c>
      <c r="B3600" s="39" t="s">
        <v>5244</v>
      </c>
      <c r="C3600" s="40">
        <v>4</v>
      </c>
      <c r="D3600" s="38" t="s">
        <v>266</v>
      </c>
    </row>
    <row r="3601" spans="1:4" x14ac:dyDescent="0.25">
      <c r="A3601" s="41">
        <v>260548</v>
      </c>
      <c r="B3601" s="39" t="s">
        <v>5245</v>
      </c>
      <c r="C3601" s="40">
        <v>4</v>
      </c>
      <c r="D3601" s="38" t="s">
        <v>266</v>
      </c>
    </row>
    <row r="3602" spans="1:4" x14ac:dyDescent="0.25">
      <c r="A3602" s="41">
        <v>260553</v>
      </c>
      <c r="B3602" s="39" t="s">
        <v>5246</v>
      </c>
      <c r="C3602" s="40">
        <v>4</v>
      </c>
      <c r="D3602" s="38" t="s">
        <v>266</v>
      </c>
    </row>
    <row r="3603" spans="1:4" x14ac:dyDescent="0.25">
      <c r="A3603" s="41">
        <v>260573</v>
      </c>
      <c r="B3603" s="39" t="s">
        <v>5247</v>
      </c>
      <c r="C3603" s="40">
        <v>4</v>
      </c>
      <c r="D3603" s="38" t="s">
        <v>266</v>
      </c>
    </row>
    <row r="3604" spans="1:4" x14ac:dyDescent="0.25">
      <c r="A3604" s="41">
        <v>260583</v>
      </c>
      <c r="B3604" s="39" t="s">
        <v>5248</v>
      </c>
      <c r="C3604" s="40">
        <v>4</v>
      </c>
      <c r="D3604" s="38" t="s">
        <v>266</v>
      </c>
    </row>
    <row r="3605" spans="1:4" x14ac:dyDescent="0.25">
      <c r="A3605" s="41">
        <v>260800</v>
      </c>
      <c r="B3605" s="39" t="s">
        <v>5249</v>
      </c>
      <c r="C3605" s="40">
        <v>3</v>
      </c>
      <c r="D3605" s="38" t="s">
        <v>266</v>
      </c>
    </row>
    <row r="3606" spans="1:4" x14ac:dyDescent="0.25">
      <c r="A3606" s="41">
        <v>260900</v>
      </c>
      <c r="B3606" s="39" t="s">
        <v>5250</v>
      </c>
      <c r="C3606" s="40">
        <v>3</v>
      </c>
      <c r="D3606" s="38" t="s">
        <v>266</v>
      </c>
    </row>
    <row r="3607" spans="1:4" x14ac:dyDescent="0.25">
      <c r="A3607" s="41">
        <v>260913</v>
      </c>
      <c r="B3607" s="39" t="s">
        <v>5251</v>
      </c>
      <c r="C3607" s="40">
        <v>4</v>
      </c>
      <c r="D3607" s="38" t="s">
        <v>266</v>
      </c>
    </row>
    <row r="3608" spans="1:4" x14ac:dyDescent="0.25">
      <c r="A3608" s="41">
        <v>260915</v>
      </c>
      <c r="B3608" s="39" t="s">
        <v>5252</v>
      </c>
      <c r="C3608" s="40">
        <v>4</v>
      </c>
      <c r="D3608" s="38" t="s">
        <v>266</v>
      </c>
    </row>
    <row r="3609" spans="1:4" x14ac:dyDescent="0.25">
      <c r="A3609" s="41">
        <v>260916</v>
      </c>
      <c r="B3609" s="39" t="s">
        <v>5253</v>
      </c>
      <c r="C3609" s="40">
        <v>4</v>
      </c>
      <c r="D3609" s="38" t="s">
        <v>266</v>
      </c>
    </row>
    <row r="3610" spans="1:4" x14ac:dyDescent="0.25">
      <c r="A3610" s="41">
        <v>260917</v>
      </c>
      <c r="B3610" s="39" t="s">
        <v>5254</v>
      </c>
      <c r="C3610" s="40">
        <v>4</v>
      </c>
      <c r="D3610" s="38" t="s">
        <v>266</v>
      </c>
    </row>
    <row r="3611" spans="1:4" x14ac:dyDescent="0.25">
      <c r="A3611" s="41">
        <v>260919</v>
      </c>
      <c r="B3611" s="39" t="s">
        <v>5255</v>
      </c>
      <c r="C3611" s="40">
        <v>4</v>
      </c>
      <c r="D3611" s="38" t="s">
        <v>266</v>
      </c>
    </row>
    <row r="3612" spans="1:4" x14ac:dyDescent="0.25">
      <c r="A3612" s="41">
        <v>260923</v>
      </c>
      <c r="B3612" s="39" t="s">
        <v>5256</v>
      </c>
      <c r="C3612" s="40">
        <v>4</v>
      </c>
      <c r="D3612" s="38" t="s">
        <v>266</v>
      </c>
    </row>
    <row r="3613" spans="1:4" x14ac:dyDescent="0.25">
      <c r="A3613" s="41">
        <v>260926</v>
      </c>
      <c r="B3613" s="39" t="s">
        <v>5257</v>
      </c>
      <c r="C3613" s="40">
        <v>4</v>
      </c>
      <c r="D3613" s="38" t="s">
        <v>266</v>
      </c>
    </row>
    <row r="3614" spans="1:4" x14ac:dyDescent="0.25">
      <c r="A3614" s="41">
        <v>260933</v>
      </c>
      <c r="B3614" s="39" t="s">
        <v>5258</v>
      </c>
      <c r="C3614" s="40">
        <v>4</v>
      </c>
      <c r="D3614" s="38" t="s">
        <v>266</v>
      </c>
    </row>
    <row r="3615" spans="1:4" x14ac:dyDescent="0.25">
      <c r="A3615" s="42">
        <v>260933.13</v>
      </c>
      <c r="B3615" s="39" t="s">
        <v>5259</v>
      </c>
      <c r="C3615" s="40">
        <v>5</v>
      </c>
      <c r="D3615" s="38" t="s">
        <v>266</v>
      </c>
    </row>
    <row r="3616" spans="1:4" x14ac:dyDescent="0.25">
      <c r="A3616" s="42">
        <v>260933.16</v>
      </c>
      <c r="B3616" s="39" t="s">
        <v>5260</v>
      </c>
      <c r="C3616" s="40">
        <v>5</v>
      </c>
      <c r="D3616" s="38" t="s">
        <v>266</v>
      </c>
    </row>
    <row r="3617" spans="1:4" x14ac:dyDescent="0.25">
      <c r="A3617" s="41">
        <v>260936</v>
      </c>
      <c r="B3617" s="39" t="s">
        <v>5261</v>
      </c>
      <c r="C3617" s="40">
        <v>4</v>
      </c>
      <c r="D3617" s="38" t="s">
        <v>266</v>
      </c>
    </row>
    <row r="3618" spans="1:4" x14ac:dyDescent="0.25">
      <c r="A3618" s="42">
        <v>260936.13</v>
      </c>
      <c r="B3618" s="39" t="s">
        <v>5262</v>
      </c>
      <c r="C3618" s="40">
        <v>5</v>
      </c>
      <c r="D3618" s="38" t="s">
        <v>266</v>
      </c>
    </row>
    <row r="3619" spans="1:4" x14ac:dyDescent="0.25">
      <c r="A3619" s="42">
        <v>260936.16</v>
      </c>
      <c r="B3619" s="39" t="s">
        <v>5263</v>
      </c>
      <c r="C3619" s="40">
        <v>5</v>
      </c>
      <c r="D3619" s="38" t="s">
        <v>266</v>
      </c>
    </row>
    <row r="3620" spans="1:4" x14ac:dyDescent="0.25">
      <c r="A3620" s="41">
        <v>260943</v>
      </c>
      <c r="B3620" s="39" t="s">
        <v>5264</v>
      </c>
      <c r="C3620" s="40">
        <v>4</v>
      </c>
      <c r="D3620" s="38" t="s">
        <v>266</v>
      </c>
    </row>
    <row r="3621" spans="1:4" x14ac:dyDescent="0.25">
      <c r="A3621" s="42">
        <v>260943.13</v>
      </c>
      <c r="B3621" s="39" t="s">
        <v>5265</v>
      </c>
      <c r="C3621" s="40">
        <v>5</v>
      </c>
      <c r="D3621" s="38" t="s">
        <v>266</v>
      </c>
    </row>
    <row r="3622" spans="1:4" x14ac:dyDescent="0.25">
      <c r="A3622" s="42">
        <v>260943.16</v>
      </c>
      <c r="B3622" s="39" t="s">
        <v>5266</v>
      </c>
      <c r="C3622" s="40">
        <v>5</v>
      </c>
      <c r="D3622" s="38" t="s">
        <v>266</v>
      </c>
    </row>
    <row r="3623" spans="1:4" x14ac:dyDescent="0.25">
      <c r="A3623" s="41">
        <v>260961</v>
      </c>
      <c r="B3623" s="39" t="s">
        <v>5267</v>
      </c>
      <c r="C3623" s="40">
        <v>4</v>
      </c>
      <c r="D3623" s="38" t="s">
        <v>266</v>
      </c>
    </row>
    <row r="3624" spans="1:4" x14ac:dyDescent="0.25">
      <c r="A3624" s="41">
        <v>261000</v>
      </c>
      <c r="B3624" s="39" t="s">
        <v>5268</v>
      </c>
      <c r="C3624" s="40">
        <v>3</v>
      </c>
      <c r="D3624" s="38" t="s">
        <v>266</v>
      </c>
    </row>
    <row r="3625" spans="1:4" x14ac:dyDescent="0.25">
      <c r="A3625" s="41">
        <v>261100</v>
      </c>
      <c r="B3625" s="39" t="s">
        <v>5269</v>
      </c>
      <c r="C3625" s="40">
        <v>3</v>
      </c>
      <c r="D3625" s="38" t="s">
        <v>266</v>
      </c>
    </row>
    <row r="3626" spans="1:4" x14ac:dyDescent="0.25">
      <c r="A3626" s="41">
        <v>261113</v>
      </c>
      <c r="B3626" s="39" t="s">
        <v>5270</v>
      </c>
      <c r="C3626" s="40">
        <v>4</v>
      </c>
      <c r="D3626" s="38" t="s">
        <v>266</v>
      </c>
    </row>
    <row r="3627" spans="1:4" x14ac:dyDescent="0.25">
      <c r="A3627" s="41">
        <v>261116</v>
      </c>
      <c r="B3627" s="39" t="s">
        <v>5271</v>
      </c>
      <c r="C3627" s="40">
        <v>4</v>
      </c>
      <c r="D3627" s="38" t="s">
        <v>266</v>
      </c>
    </row>
    <row r="3628" spans="1:4" x14ac:dyDescent="0.25">
      <c r="A3628" s="41">
        <v>261200</v>
      </c>
      <c r="B3628" s="39" t="s">
        <v>5272</v>
      </c>
      <c r="C3628" s="40">
        <v>3</v>
      </c>
      <c r="D3628" s="38" t="s">
        <v>266</v>
      </c>
    </row>
    <row r="3629" spans="1:4" x14ac:dyDescent="0.25">
      <c r="A3629" s="41">
        <v>261213</v>
      </c>
      <c r="B3629" s="39" t="s">
        <v>5273</v>
      </c>
      <c r="C3629" s="40">
        <v>4</v>
      </c>
      <c r="D3629" s="38" t="s">
        <v>266</v>
      </c>
    </row>
    <row r="3630" spans="1:4" x14ac:dyDescent="0.25">
      <c r="A3630" s="41">
        <v>261216</v>
      </c>
      <c r="B3630" s="39" t="s">
        <v>5274</v>
      </c>
      <c r="C3630" s="40">
        <v>4</v>
      </c>
      <c r="D3630" s="38" t="s">
        <v>266</v>
      </c>
    </row>
    <row r="3631" spans="1:4" x14ac:dyDescent="0.25">
      <c r="A3631" s="41">
        <v>261219</v>
      </c>
      <c r="B3631" s="39" t="s">
        <v>5275</v>
      </c>
      <c r="C3631" s="40">
        <v>4</v>
      </c>
      <c r="D3631" s="38" t="s">
        <v>266</v>
      </c>
    </row>
    <row r="3632" spans="1:4" x14ac:dyDescent="0.25">
      <c r="A3632" s="41">
        <v>261300</v>
      </c>
      <c r="B3632" s="39" t="s">
        <v>5276</v>
      </c>
      <c r="C3632" s="40">
        <v>3</v>
      </c>
      <c r="D3632" s="38" t="s">
        <v>266</v>
      </c>
    </row>
    <row r="3633" spans="1:4" x14ac:dyDescent="0.25">
      <c r="A3633" s="41">
        <v>261313</v>
      </c>
      <c r="B3633" s="39" t="s">
        <v>5277</v>
      </c>
      <c r="C3633" s="40">
        <v>4</v>
      </c>
      <c r="D3633" s="38" t="s">
        <v>266</v>
      </c>
    </row>
    <row r="3634" spans="1:4" x14ac:dyDescent="0.25">
      <c r="A3634" s="41">
        <v>261316</v>
      </c>
      <c r="B3634" s="39" t="s">
        <v>5278</v>
      </c>
      <c r="C3634" s="40">
        <v>4</v>
      </c>
      <c r="D3634" s="38" t="s">
        <v>266</v>
      </c>
    </row>
    <row r="3635" spans="1:4" x14ac:dyDescent="0.25">
      <c r="A3635" s="41">
        <v>261319</v>
      </c>
      <c r="B3635" s="39" t="s">
        <v>5279</v>
      </c>
      <c r="C3635" s="40">
        <v>4</v>
      </c>
      <c r="D3635" s="38" t="s">
        <v>266</v>
      </c>
    </row>
    <row r="3636" spans="1:4" x14ac:dyDescent="0.25">
      <c r="A3636" s="41">
        <v>261323</v>
      </c>
      <c r="B3636" s="39" t="s">
        <v>5280</v>
      </c>
      <c r="C3636" s="40">
        <v>4</v>
      </c>
      <c r="D3636" s="38" t="s">
        <v>266</v>
      </c>
    </row>
    <row r="3637" spans="1:4" x14ac:dyDescent="0.25">
      <c r="A3637" s="41">
        <v>261326</v>
      </c>
      <c r="B3637" s="39" t="s">
        <v>5281</v>
      </c>
      <c r="C3637" s="40">
        <v>4</v>
      </c>
      <c r="D3637" s="38" t="s">
        <v>266</v>
      </c>
    </row>
    <row r="3638" spans="1:4" x14ac:dyDescent="0.25">
      <c r="A3638" s="41">
        <v>261329</v>
      </c>
      <c r="B3638" s="39" t="s">
        <v>5282</v>
      </c>
      <c r="C3638" s="40">
        <v>4</v>
      </c>
      <c r="D3638" s="38" t="s">
        <v>266</v>
      </c>
    </row>
    <row r="3639" spans="1:4" x14ac:dyDescent="0.25">
      <c r="A3639" s="41">
        <v>261600</v>
      </c>
      <c r="B3639" s="39" t="s">
        <v>5283</v>
      </c>
      <c r="C3639" s="40">
        <v>3</v>
      </c>
      <c r="D3639" s="38" t="s">
        <v>266</v>
      </c>
    </row>
    <row r="3640" spans="1:4" x14ac:dyDescent="0.25">
      <c r="A3640" s="41">
        <v>261800</v>
      </c>
      <c r="B3640" s="39" t="s">
        <v>5284</v>
      </c>
      <c r="C3640" s="40">
        <v>3</v>
      </c>
      <c r="D3640" s="38" t="s">
        <v>266</v>
      </c>
    </row>
    <row r="3641" spans="1:4" x14ac:dyDescent="0.25">
      <c r="A3641" s="41">
        <v>261813</v>
      </c>
      <c r="B3641" s="39" t="s">
        <v>5285</v>
      </c>
      <c r="C3641" s="40">
        <v>4</v>
      </c>
      <c r="D3641" s="38" t="s">
        <v>266</v>
      </c>
    </row>
    <row r="3642" spans="1:4" x14ac:dyDescent="0.25">
      <c r="A3642" s="41">
        <v>261816</v>
      </c>
      <c r="B3642" s="39" t="s">
        <v>5286</v>
      </c>
      <c r="C3642" s="40">
        <v>4</v>
      </c>
      <c r="D3642" s="38" t="s">
        <v>266</v>
      </c>
    </row>
    <row r="3643" spans="1:4" x14ac:dyDescent="0.25">
      <c r="A3643" s="41">
        <v>261819</v>
      </c>
      <c r="B3643" s="39" t="s">
        <v>5287</v>
      </c>
      <c r="C3643" s="40">
        <v>4</v>
      </c>
      <c r="D3643" s="38" t="s">
        <v>266</v>
      </c>
    </row>
    <row r="3644" spans="1:4" x14ac:dyDescent="0.25">
      <c r="A3644" s="41">
        <v>261823</v>
      </c>
      <c r="B3644" s="39" t="s">
        <v>5288</v>
      </c>
      <c r="C3644" s="40">
        <v>4</v>
      </c>
      <c r="D3644" s="38" t="s">
        <v>266</v>
      </c>
    </row>
    <row r="3645" spans="1:4" x14ac:dyDescent="0.25">
      <c r="A3645" s="41">
        <v>261826</v>
      </c>
      <c r="B3645" s="39" t="s">
        <v>5289</v>
      </c>
      <c r="C3645" s="40">
        <v>4</v>
      </c>
      <c r="D3645" s="38" t="s">
        <v>266</v>
      </c>
    </row>
    <row r="3646" spans="1:4" x14ac:dyDescent="0.25">
      <c r="A3646" s="41">
        <v>261829</v>
      </c>
      <c r="B3646" s="39" t="s">
        <v>5290</v>
      </c>
      <c r="C3646" s="40">
        <v>4</v>
      </c>
      <c r="D3646" s="38" t="s">
        <v>266</v>
      </c>
    </row>
    <row r="3647" spans="1:4" x14ac:dyDescent="0.25">
      <c r="A3647" s="41">
        <v>261833</v>
      </c>
      <c r="B3647" s="39" t="s">
        <v>5291</v>
      </c>
      <c r="C3647" s="40">
        <v>4</v>
      </c>
      <c r="D3647" s="38" t="s">
        <v>266</v>
      </c>
    </row>
    <row r="3648" spans="1:4" x14ac:dyDescent="0.25">
      <c r="A3648" s="41">
        <v>261836</v>
      </c>
      <c r="B3648" s="39" t="s">
        <v>5292</v>
      </c>
      <c r="C3648" s="40">
        <v>4</v>
      </c>
      <c r="D3648" s="38" t="s">
        <v>266</v>
      </c>
    </row>
    <row r="3649" spans="1:4" x14ac:dyDescent="0.25">
      <c r="A3649" s="41">
        <v>261839</v>
      </c>
      <c r="B3649" s="39" t="s">
        <v>5293</v>
      </c>
      <c r="C3649" s="40">
        <v>4</v>
      </c>
      <c r="D3649" s="38" t="s">
        <v>266</v>
      </c>
    </row>
    <row r="3650" spans="1:4" x14ac:dyDescent="0.25">
      <c r="A3650" s="41">
        <v>262000</v>
      </c>
      <c r="B3650" s="39" t="s">
        <v>5294</v>
      </c>
      <c r="C3650" s="40">
        <v>3</v>
      </c>
      <c r="D3650" s="38" t="s">
        <v>266</v>
      </c>
    </row>
    <row r="3651" spans="1:4" x14ac:dyDescent="0.25">
      <c r="A3651" s="41">
        <v>262100</v>
      </c>
      <c r="B3651" s="39" t="s">
        <v>5295</v>
      </c>
      <c r="C3651" s="40">
        <v>3</v>
      </c>
      <c r="D3651" s="38" t="s">
        <v>266</v>
      </c>
    </row>
    <row r="3652" spans="1:4" x14ac:dyDescent="0.25">
      <c r="A3652" s="41">
        <v>262113</v>
      </c>
      <c r="B3652" s="39" t="s">
        <v>5296</v>
      </c>
      <c r="C3652" s="40">
        <v>4</v>
      </c>
      <c r="D3652" s="38" t="s">
        <v>266</v>
      </c>
    </row>
    <row r="3653" spans="1:4" x14ac:dyDescent="0.25">
      <c r="A3653" s="41">
        <v>262116</v>
      </c>
      <c r="B3653" s="39" t="s">
        <v>5297</v>
      </c>
      <c r="C3653" s="40">
        <v>4</v>
      </c>
      <c r="D3653" s="38" t="s">
        <v>266</v>
      </c>
    </row>
    <row r="3654" spans="1:4" x14ac:dyDescent="0.25">
      <c r="A3654" s="41">
        <v>262200</v>
      </c>
      <c r="B3654" s="39" t="s">
        <v>5298</v>
      </c>
      <c r="C3654" s="40">
        <v>3</v>
      </c>
      <c r="D3654" s="38" t="s">
        <v>266</v>
      </c>
    </row>
    <row r="3655" spans="1:4" x14ac:dyDescent="0.25">
      <c r="A3655" s="41">
        <v>262213</v>
      </c>
      <c r="B3655" s="39" t="s">
        <v>5299</v>
      </c>
      <c r="C3655" s="40">
        <v>4</v>
      </c>
      <c r="D3655" s="38" t="s">
        <v>266</v>
      </c>
    </row>
    <row r="3656" spans="1:4" x14ac:dyDescent="0.25">
      <c r="A3656" s="41">
        <v>262216</v>
      </c>
      <c r="B3656" s="39" t="s">
        <v>5300</v>
      </c>
      <c r="C3656" s="40">
        <v>4</v>
      </c>
      <c r="D3656" s="38" t="s">
        <v>266</v>
      </c>
    </row>
    <row r="3657" spans="1:4" x14ac:dyDescent="0.25">
      <c r="A3657" s="41">
        <v>262219</v>
      </c>
      <c r="B3657" s="39" t="s">
        <v>5301</v>
      </c>
      <c r="C3657" s="40">
        <v>4</v>
      </c>
      <c r="D3657" s="38" t="s">
        <v>266</v>
      </c>
    </row>
    <row r="3658" spans="1:4" x14ac:dyDescent="0.25">
      <c r="A3658" s="41">
        <v>262300</v>
      </c>
      <c r="B3658" s="39" t="s">
        <v>5302</v>
      </c>
      <c r="C3658" s="40">
        <v>3</v>
      </c>
      <c r="D3658" s="38" t="s">
        <v>266</v>
      </c>
    </row>
    <row r="3659" spans="1:4" x14ac:dyDescent="0.25">
      <c r="A3659" s="41">
        <v>262313</v>
      </c>
      <c r="B3659" s="39" t="s">
        <v>5303</v>
      </c>
      <c r="C3659" s="40">
        <v>4</v>
      </c>
      <c r="D3659" s="38" t="s">
        <v>266</v>
      </c>
    </row>
    <row r="3660" spans="1:4" x14ac:dyDescent="0.25">
      <c r="A3660" s="41">
        <v>262400</v>
      </c>
      <c r="B3660" s="39" t="s">
        <v>5304</v>
      </c>
      <c r="C3660" s="40">
        <v>3</v>
      </c>
      <c r="D3660" s="38" t="s">
        <v>266</v>
      </c>
    </row>
    <row r="3661" spans="1:4" x14ac:dyDescent="0.25">
      <c r="A3661" s="41">
        <v>262413</v>
      </c>
      <c r="B3661" s="39" t="s">
        <v>5305</v>
      </c>
      <c r="C3661" s="40">
        <v>4</v>
      </c>
      <c r="D3661" s="38" t="s">
        <v>266</v>
      </c>
    </row>
    <row r="3662" spans="1:4" x14ac:dyDescent="0.25">
      <c r="A3662" s="41">
        <v>262416</v>
      </c>
      <c r="B3662" s="39" t="s">
        <v>5306</v>
      </c>
      <c r="C3662" s="40">
        <v>4</v>
      </c>
      <c r="D3662" s="38" t="s">
        <v>266</v>
      </c>
    </row>
    <row r="3663" spans="1:4" x14ac:dyDescent="0.25">
      <c r="A3663" s="41">
        <v>262419</v>
      </c>
      <c r="B3663" s="39" t="s">
        <v>5307</v>
      </c>
      <c r="C3663" s="40">
        <v>4</v>
      </c>
      <c r="D3663" s="38" t="s">
        <v>266</v>
      </c>
    </row>
    <row r="3664" spans="1:4" x14ac:dyDescent="0.25">
      <c r="A3664" s="41">
        <v>262500</v>
      </c>
      <c r="B3664" s="39" t="s">
        <v>5308</v>
      </c>
      <c r="C3664" s="40">
        <v>3</v>
      </c>
      <c r="D3664" s="38" t="s">
        <v>266</v>
      </c>
    </row>
    <row r="3665" spans="1:4" x14ac:dyDescent="0.25">
      <c r="A3665" s="41">
        <v>262600</v>
      </c>
      <c r="B3665" s="39" t="s">
        <v>5309</v>
      </c>
      <c r="C3665" s="40">
        <v>3</v>
      </c>
      <c r="D3665" s="38" t="s">
        <v>266</v>
      </c>
    </row>
    <row r="3666" spans="1:4" x14ac:dyDescent="0.25">
      <c r="A3666" s="41">
        <v>262700</v>
      </c>
      <c r="B3666" s="39" t="s">
        <v>5310</v>
      </c>
      <c r="C3666" s="40">
        <v>3</v>
      </c>
      <c r="D3666" s="38" t="s">
        <v>266</v>
      </c>
    </row>
    <row r="3667" spans="1:4" x14ac:dyDescent="0.25">
      <c r="A3667" s="41">
        <v>262713</v>
      </c>
      <c r="B3667" s="39" t="s">
        <v>5311</v>
      </c>
      <c r="C3667" s="40">
        <v>4</v>
      </c>
      <c r="D3667" s="38" t="s">
        <v>266</v>
      </c>
    </row>
    <row r="3668" spans="1:4" x14ac:dyDescent="0.25">
      <c r="A3668" s="41">
        <v>262716</v>
      </c>
      <c r="B3668" s="39" t="s">
        <v>5312</v>
      </c>
      <c r="C3668" s="40">
        <v>4</v>
      </c>
      <c r="D3668" s="38" t="s">
        <v>266</v>
      </c>
    </row>
    <row r="3669" spans="1:4" x14ac:dyDescent="0.25">
      <c r="A3669" s="41">
        <v>262719</v>
      </c>
      <c r="B3669" s="39" t="s">
        <v>5313</v>
      </c>
      <c r="C3669" s="40">
        <v>4</v>
      </c>
      <c r="D3669" s="38" t="s">
        <v>266</v>
      </c>
    </row>
    <row r="3670" spans="1:4" x14ac:dyDescent="0.25">
      <c r="A3670" s="41">
        <v>262723</v>
      </c>
      <c r="B3670" s="39" t="s">
        <v>5314</v>
      </c>
      <c r="C3670" s="40">
        <v>4</v>
      </c>
      <c r="D3670" s="38" t="s">
        <v>266</v>
      </c>
    </row>
    <row r="3671" spans="1:4" x14ac:dyDescent="0.25">
      <c r="A3671" s="41">
        <v>262726</v>
      </c>
      <c r="B3671" s="39" t="s">
        <v>1082</v>
      </c>
      <c r="C3671" s="40">
        <v>4</v>
      </c>
      <c r="D3671" s="38" t="s">
        <v>1081</v>
      </c>
    </row>
    <row r="3672" spans="1:4" x14ac:dyDescent="0.25">
      <c r="A3672" s="41">
        <v>262773</v>
      </c>
      <c r="B3672" s="39" t="s">
        <v>5315</v>
      </c>
      <c r="C3672" s="40">
        <v>4</v>
      </c>
      <c r="D3672" s="38" t="s">
        <v>266</v>
      </c>
    </row>
    <row r="3673" spans="1:4" x14ac:dyDescent="0.25">
      <c r="A3673" s="41">
        <v>262800</v>
      </c>
      <c r="B3673" s="39" t="s">
        <v>5316</v>
      </c>
      <c r="C3673" s="40">
        <v>3</v>
      </c>
      <c r="D3673" s="38" t="s">
        <v>266</v>
      </c>
    </row>
    <row r="3674" spans="1:4" x14ac:dyDescent="0.25">
      <c r="A3674" s="41">
        <v>262813</v>
      </c>
      <c r="B3674" s="39" t="s">
        <v>5317</v>
      </c>
      <c r="C3674" s="40">
        <v>4</v>
      </c>
      <c r="D3674" s="38" t="s">
        <v>266</v>
      </c>
    </row>
    <row r="3675" spans="1:4" x14ac:dyDescent="0.25">
      <c r="A3675" s="41">
        <v>262816</v>
      </c>
      <c r="B3675" s="39" t="s">
        <v>5318</v>
      </c>
      <c r="C3675" s="40">
        <v>4</v>
      </c>
      <c r="D3675" s="38" t="s">
        <v>266</v>
      </c>
    </row>
    <row r="3676" spans="1:4" x14ac:dyDescent="0.25">
      <c r="A3676" s="42">
        <v>262816.13</v>
      </c>
      <c r="B3676" s="39" t="s">
        <v>5319</v>
      </c>
      <c r="C3676" s="40">
        <v>5</v>
      </c>
      <c r="D3676" s="38" t="s">
        <v>266</v>
      </c>
    </row>
    <row r="3677" spans="1:4" x14ac:dyDescent="0.25">
      <c r="A3677" s="42">
        <v>262816.15999999997</v>
      </c>
      <c r="B3677" s="39" t="s">
        <v>5320</v>
      </c>
      <c r="C3677" s="40">
        <v>5</v>
      </c>
      <c r="D3677" s="38" t="s">
        <v>266</v>
      </c>
    </row>
    <row r="3678" spans="1:4" x14ac:dyDescent="0.25">
      <c r="A3678" s="41">
        <v>262900</v>
      </c>
      <c r="B3678" s="39" t="s">
        <v>5321</v>
      </c>
      <c r="C3678" s="40">
        <v>3</v>
      </c>
      <c r="D3678" s="38" t="s">
        <v>266</v>
      </c>
    </row>
    <row r="3679" spans="1:4" x14ac:dyDescent="0.25">
      <c r="A3679" s="41">
        <v>262913</v>
      </c>
      <c r="B3679" s="39" t="s">
        <v>5322</v>
      </c>
      <c r="C3679" s="40">
        <v>4</v>
      </c>
      <c r="D3679" s="38" t="s">
        <v>266</v>
      </c>
    </row>
    <row r="3680" spans="1:4" x14ac:dyDescent="0.25">
      <c r="A3680" s="42">
        <v>262913.13</v>
      </c>
      <c r="B3680" s="39" t="s">
        <v>5323</v>
      </c>
      <c r="C3680" s="40">
        <v>5</v>
      </c>
      <c r="D3680" s="38" t="s">
        <v>266</v>
      </c>
    </row>
    <row r="3681" spans="1:4" x14ac:dyDescent="0.25">
      <c r="A3681" s="42">
        <v>262913.15999999997</v>
      </c>
      <c r="B3681" s="39" t="s">
        <v>5324</v>
      </c>
      <c r="C3681" s="40">
        <v>5</v>
      </c>
      <c r="D3681" s="38" t="s">
        <v>266</v>
      </c>
    </row>
    <row r="3682" spans="1:4" x14ac:dyDescent="0.25">
      <c r="A3682" s="41">
        <v>262923</v>
      </c>
      <c r="B3682" s="39" t="s">
        <v>5325</v>
      </c>
      <c r="C3682" s="40">
        <v>4</v>
      </c>
      <c r="D3682" s="38" t="s">
        <v>266</v>
      </c>
    </row>
    <row r="3683" spans="1:4" x14ac:dyDescent="0.25">
      <c r="A3683" s="41">
        <v>262933</v>
      </c>
      <c r="B3683" s="39" t="s">
        <v>5326</v>
      </c>
      <c r="C3683" s="40">
        <v>4</v>
      </c>
      <c r="D3683" s="38" t="s">
        <v>266</v>
      </c>
    </row>
    <row r="3684" spans="1:4" x14ac:dyDescent="0.25">
      <c r="A3684" s="42">
        <v>262933.13</v>
      </c>
      <c r="B3684" s="39" t="s">
        <v>5327</v>
      </c>
      <c r="C3684" s="40">
        <v>5</v>
      </c>
      <c r="D3684" s="38" t="s">
        <v>266</v>
      </c>
    </row>
    <row r="3685" spans="1:4" x14ac:dyDescent="0.25">
      <c r="A3685" s="42">
        <v>262933.15999999997</v>
      </c>
      <c r="B3685" s="39" t="s">
        <v>5328</v>
      </c>
      <c r="C3685" s="40">
        <v>5</v>
      </c>
      <c r="D3685" s="38" t="s">
        <v>266</v>
      </c>
    </row>
    <row r="3686" spans="1:4" x14ac:dyDescent="0.25">
      <c r="A3686" s="42">
        <v>262933.19</v>
      </c>
      <c r="B3686" s="39" t="s">
        <v>5329</v>
      </c>
      <c r="C3686" s="40">
        <v>5</v>
      </c>
      <c r="D3686" s="38" t="s">
        <v>266</v>
      </c>
    </row>
    <row r="3687" spans="1:4" x14ac:dyDescent="0.25">
      <c r="A3687" s="41">
        <v>263000</v>
      </c>
      <c r="B3687" s="39" t="s">
        <v>5330</v>
      </c>
      <c r="C3687" s="40">
        <v>3</v>
      </c>
      <c r="D3687" s="38" t="s">
        <v>266</v>
      </c>
    </row>
    <row r="3688" spans="1:4" x14ac:dyDescent="0.25">
      <c r="A3688" s="41">
        <v>263100</v>
      </c>
      <c r="B3688" s="39" t="s">
        <v>1058</v>
      </c>
      <c r="C3688" s="40">
        <v>3</v>
      </c>
      <c r="D3688" s="38" t="s">
        <v>1057</v>
      </c>
    </row>
    <row r="3689" spans="1:4" x14ac:dyDescent="0.25">
      <c r="A3689" s="41">
        <v>263200</v>
      </c>
      <c r="B3689" s="39" t="s">
        <v>1054</v>
      </c>
      <c r="C3689" s="40">
        <v>3</v>
      </c>
      <c r="D3689" s="39" t="s">
        <v>1053</v>
      </c>
    </row>
    <row r="3690" spans="1:4" x14ac:dyDescent="0.25">
      <c r="A3690" s="41">
        <v>263213</v>
      </c>
      <c r="B3690" s="39" t="s">
        <v>5331</v>
      </c>
      <c r="C3690" s="40">
        <v>4</v>
      </c>
      <c r="D3690" s="38" t="s">
        <v>266</v>
      </c>
    </row>
    <row r="3691" spans="1:4" x14ac:dyDescent="0.25">
      <c r="A3691" s="42">
        <v>263213.13</v>
      </c>
      <c r="B3691" s="39" t="s">
        <v>5332</v>
      </c>
      <c r="C3691" s="40">
        <v>5</v>
      </c>
      <c r="D3691" s="38" t="s">
        <v>266</v>
      </c>
    </row>
    <row r="3692" spans="1:4" x14ac:dyDescent="0.25">
      <c r="A3692" s="42">
        <v>263213.15999999997</v>
      </c>
      <c r="B3692" s="39" t="s">
        <v>5333</v>
      </c>
      <c r="C3692" s="40">
        <v>5</v>
      </c>
      <c r="D3692" s="38" t="s">
        <v>266</v>
      </c>
    </row>
    <row r="3693" spans="1:4" x14ac:dyDescent="0.25">
      <c r="A3693" s="42">
        <v>263213.26</v>
      </c>
      <c r="B3693" s="39" t="s">
        <v>5334</v>
      </c>
      <c r="C3693" s="40">
        <v>5</v>
      </c>
      <c r="D3693" s="38" t="s">
        <v>266</v>
      </c>
    </row>
    <row r="3694" spans="1:4" x14ac:dyDescent="0.25">
      <c r="A3694" s="41">
        <v>263216</v>
      </c>
      <c r="B3694" s="39" t="s">
        <v>5335</v>
      </c>
      <c r="C3694" s="40">
        <v>4</v>
      </c>
      <c r="D3694" s="38" t="s">
        <v>266</v>
      </c>
    </row>
    <row r="3695" spans="1:4" x14ac:dyDescent="0.25">
      <c r="A3695" s="41">
        <v>263219</v>
      </c>
      <c r="B3695" s="39" t="s">
        <v>5336</v>
      </c>
      <c r="C3695" s="40">
        <v>4</v>
      </c>
      <c r="D3695" s="38" t="s">
        <v>266</v>
      </c>
    </row>
    <row r="3696" spans="1:4" x14ac:dyDescent="0.25">
      <c r="A3696" s="41">
        <v>263223</v>
      </c>
      <c r="B3696" s="39" t="s">
        <v>5337</v>
      </c>
      <c r="C3696" s="40">
        <v>4</v>
      </c>
      <c r="D3696" s="38" t="s">
        <v>266</v>
      </c>
    </row>
    <row r="3697" spans="1:4" x14ac:dyDescent="0.25">
      <c r="A3697" s="41">
        <v>263226</v>
      </c>
      <c r="B3697" s="39" t="s">
        <v>5338</v>
      </c>
      <c r="C3697" s="40">
        <v>4</v>
      </c>
      <c r="D3697" s="38" t="s">
        <v>266</v>
      </c>
    </row>
    <row r="3698" spans="1:4" x14ac:dyDescent="0.25">
      <c r="A3698" s="41">
        <v>263229</v>
      </c>
      <c r="B3698" s="39" t="s">
        <v>5339</v>
      </c>
      <c r="C3698" s="40">
        <v>4</v>
      </c>
      <c r="D3698" s="38" t="s">
        <v>266</v>
      </c>
    </row>
    <row r="3699" spans="1:4" x14ac:dyDescent="0.25">
      <c r="A3699" s="41">
        <v>263233</v>
      </c>
      <c r="B3699" s="39" t="s">
        <v>5340</v>
      </c>
      <c r="C3699" s="40">
        <v>4</v>
      </c>
      <c r="D3699" s="38" t="s">
        <v>266</v>
      </c>
    </row>
    <row r="3700" spans="1:4" x14ac:dyDescent="0.25">
      <c r="A3700" s="41">
        <v>263300</v>
      </c>
      <c r="B3700" s="39" t="s">
        <v>1056</v>
      </c>
      <c r="C3700" s="40">
        <v>3</v>
      </c>
      <c r="D3700" s="39" t="s">
        <v>1055</v>
      </c>
    </row>
    <row r="3701" spans="1:4" x14ac:dyDescent="0.25">
      <c r="A3701" s="41">
        <v>263313</v>
      </c>
      <c r="B3701" s="39" t="s">
        <v>5341</v>
      </c>
      <c r="C3701" s="40">
        <v>4</v>
      </c>
      <c r="D3701" s="38" t="s">
        <v>266</v>
      </c>
    </row>
    <row r="3702" spans="1:4" x14ac:dyDescent="0.25">
      <c r="A3702" s="41">
        <v>263316</v>
      </c>
      <c r="B3702" s="39" t="s">
        <v>5342</v>
      </c>
      <c r="C3702" s="40">
        <v>4</v>
      </c>
      <c r="D3702" s="38" t="s">
        <v>266</v>
      </c>
    </row>
    <row r="3703" spans="1:4" x14ac:dyDescent="0.25">
      <c r="A3703" s="41">
        <v>263319</v>
      </c>
      <c r="B3703" s="39" t="s">
        <v>5343</v>
      </c>
      <c r="C3703" s="40">
        <v>4</v>
      </c>
      <c r="D3703" s="38" t="s">
        <v>266</v>
      </c>
    </row>
    <row r="3704" spans="1:4" x14ac:dyDescent="0.25">
      <c r="A3704" s="41">
        <v>263323</v>
      </c>
      <c r="B3704" s="39" t="s">
        <v>5344</v>
      </c>
      <c r="C3704" s="40">
        <v>4</v>
      </c>
      <c r="D3704" s="38" t="s">
        <v>266</v>
      </c>
    </row>
    <row r="3705" spans="1:4" x14ac:dyDescent="0.25">
      <c r="A3705" s="41">
        <v>263333</v>
      </c>
      <c r="B3705" s="39" t="s">
        <v>5345</v>
      </c>
      <c r="C3705" s="40">
        <v>4</v>
      </c>
      <c r="D3705" s="38" t="s">
        <v>266</v>
      </c>
    </row>
    <row r="3706" spans="1:4" x14ac:dyDescent="0.25">
      <c r="A3706" s="41">
        <v>263343</v>
      </c>
      <c r="B3706" s="39" t="s">
        <v>5346</v>
      </c>
      <c r="C3706" s="40">
        <v>4</v>
      </c>
      <c r="D3706" s="38" t="s">
        <v>266</v>
      </c>
    </row>
    <row r="3707" spans="1:4" x14ac:dyDescent="0.25">
      <c r="A3707" s="41">
        <v>263346</v>
      </c>
      <c r="B3707" s="39" t="s">
        <v>5347</v>
      </c>
      <c r="C3707" s="40">
        <v>4</v>
      </c>
      <c r="D3707" s="38" t="s">
        <v>266</v>
      </c>
    </row>
    <row r="3708" spans="1:4" x14ac:dyDescent="0.25">
      <c r="A3708" s="41">
        <v>263353</v>
      </c>
      <c r="B3708" s="39" t="s">
        <v>5348</v>
      </c>
      <c r="C3708" s="40">
        <v>4</v>
      </c>
      <c r="D3708" s="38" t="s">
        <v>266</v>
      </c>
    </row>
    <row r="3709" spans="1:4" x14ac:dyDescent="0.25">
      <c r="A3709" s="41">
        <v>263500</v>
      </c>
      <c r="B3709" s="39" t="s">
        <v>5349</v>
      </c>
      <c r="C3709" s="40">
        <v>3</v>
      </c>
      <c r="D3709" s="38" t="s">
        <v>266</v>
      </c>
    </row>
    <row r="3710" spans="1:4" x14ac:dyDescent="0.25">
      <c r="A3710" s="41">
        <v>263513</v>
      </c>
      <c r="B3710" s="39" t="s">
        <v>5350</v>
      </c>
      <c r="C3710" s="40">
        <v>4</v>
      </c>
      <c r="D3710" s="38" t="s">
        <v>266</v>
      </c>
    </row>
    <row r="3711" spans="1:4" x14ac:dyDescent="0.25">
      <c r="A3711" s="41">
        <v>263516</v>
      </c>
      <c r="B3711" s="39" t="s">
        <v>5351</v>
      </c>
      <c r="C3711" s="40">
        <v>4</v>
      </c>
      <c r="D3711" s="38" t="s">
        <v>266</v>
      </c>
    </row>
    <row r="3712" spans="1:4" x14ac:dyDescent="0.25">
      <c r="A3712" s="41">
        <v>263523</v>
      </c>
      <c r="B3712" s="39" t="s">
        <v>5352</v>
      </c>
      <c r="C3712" s="40">
        <v>4</v>
      </c>
      <c r="D3712" s="38" t="s">
        <v>266</v>
      </c>
    </row>
    <row r="3713" spans="1:4" x14ac:dyDescent="0.25">
      <c r="A3713" s="41">
        <v>263526</v>
      </c>
      <c r="B3713" s="39" t="s">
        <v>5353</v>
      </c>
      <c r="C3713" s="40">
        <v>4</v>
      </c>
      <c r="D3713" s="38" t="s">
        <v>266</v>
      </c>
    </row>
    <row r="3714" spans="1:4" x14ac:dyDescent="0.25">
      <c r="A3714" s="41">
        <v>263533</v>
      </c>
      <c r="B3714" s="39" t="s">
        <v>5354</v>
      </c>
      <c r="C3714" s="40">
        <v>4</v>
      </c>
      <c r="D3714" s="38" t="s">
        <v>266</v>
      </c>
    </row>
    <row r="3715" spans="1:4" x14ac:dyDescent="0.25">
      <c r="A3715" s="41">
        <v>263536</v>
      </c>
      <c r="B3715" s="39" t="s">
        <v>5355</v>
      </c>
      <c r="C3715" s="40">
        <v>4</v>
      </c>
      <c r="D3715" s="38" t="s">
        <v>266</v>
      </c>
    </row>
    <row r="3716" spans="1:4" x14ac:dyDescent="0.25">
      <c r="A3716" s="41">
        <v>263543</v>
      </c>
      <c r="B3716" s="39" t="s">
        <v>5356</v>
      </c>
      <c r="C3716" s="40">
        <v>4</v>
      </c>
      <c r="D3716" s="38" t="s">
        <v>266</v>
      </c>
    </row>
    <row r="3717" spans="1:4" x14ac:dyDescent="0.25">
      <c r="A3717" s="41">
        <v>263546</v>
      </c>
      <c r="B3717" s="39" t="s">
        <v>5357</v>
      </c>
      <c r="C3717" s="40">
        <v>4</v>
      </c>
      <c r="D3717" s="38" t="s">
        <v>266</v>
      </c>
    </row>
    <row r="3718" spans="1:4" x14ac:dyDescent="0.25">
      <c r="A3718" s="41">
        <v>263553</v>
      </c>
      <c r="B3718" s="39" t="s">
        <v>5358</v>
      </c>
      <c r="C3718" s="40">
        <v>4</v>
      </c>
      <c r="D3718" s="38" t="s">
        <v>266</v>
      </c>
    </row>
    <row r="3719" spans="1:4" x14ac:dyDescent="0.25">
      <c r="A3719" s="41">
        <v>263600</v>
      </c>
      <c r="B3719" s="39" t="s">
        <v>1064</v>
      </c>
      <c r="C3719" s="40">
        <v>3</v>
      </c>
      <c r="D3719" s="38" t="s">
        <v>1063</v>
      </c>
    </row>
    <row r="3720" spans="1:4" x14ac:dyDescent="0.25">
      <c r="A3720" s="41">
        <v>263613</v>
      </c>
      <c r="B3720" s="39" t="s">
        <v>5359</v>
      </c>
      <c r="C3720" s="40">
        <v>4</v>
      </c>
      <c r="D3720" s="38" t="s">
        <v>266</v>
      </c>
    </row>
    <row r="3721" spans="1:4" x14ac:dyDescent="0.25">
      <c r="A3721" s="41">
        <v>263623</v>
      </c>
      <c r="B3721" s="39" t="s">
        <v>5360</v>
      </c>
      <c r="C3721" s="40">
        <v>4</v>
      </c>
      <c r="D3721" s="38" t="s">
        <v>266</v>
      </c>
    </row>
    <row r="3722" spans="1:4" x14ac:dyDescent="0.25">
      <c r="A3722" s="41">
        <v>264000</v>
      </c>
      <c r="B3722" s="39" t="s">
        <v>5361</v>
      </c>
      <c r="C3722" s="40">
        <v>3</v>
      </c>
      <c r="D3722" s="38" t="s">
        <v>266</v>
      </c>
    </row>
    <row r="3723" spans="1:4" x14ac:dyDescent="0.25">
      <c r="A3723" s="41">
        <v>264100</v>
      </c>
      <c r="B3723" s="39" t="s">
        <v>5362</v>
      </c>
      <c r="C3723" s="40">
        <v>3</v>
      </c>
      <c r="D3723" s="38" t="s">
        <v>266</v>
      </c>
    </row>
    <row r="3724" spans="1:4" x14ac:dyDescent="0.25">
      <c r="A3724" s="41">
        <v>264113</v>
      </c>
      <c r="B3724" s="39" t="s">
        <v>5363</v>
      </c>
      <c r="C3724" s="40">
        <v>4</v>
      </c>
      <c r="D3724" s="38" t="s">
        <v>266</v>
      </c>
    </row>
    <row r="3725" spans="1:4" x14ac:dyDescent="0.25">
      <c r="A3725" s="42">
        <v>264113.13</v>
      </c>
      <c r="B3725" s="39" t="s">
        <v>5364</v>
      </c>
      <c r="C3725" s="40">
        <v>5</v>
      </c>
      <c r="D3725" s="38" t="s">
        <v>266</v>
      </c>
    </row>
    <row r="3726" spans="1:4" x14ac:dyDescent="0.25">
      <c r="A3726" s="41">
        <v>264116</v>
      </c>
      <c r="B3726" s="39" t="s">
        <v>5365</v>
      </c>
      <c r="C3726" s="40">
        <v>4</v>
      </c>
      <c r="D3726" s="38" t="s">
        <v>266</v>
      </c>
    </row>
    <row r="3727" spans="1:4" x14ac:dyDescent="0.25">
      <c r="A3727" s="41">
        <v>264119</v>
      </c>
      <c r="B3727" s="39" t="s">
        <v>5366</v>
      </c>
      <c r="C3727" s="40">
        <v>4</v>
      </c>
      <c r="D3727" s="38" t="s">
        <v>266</v>
      </c>
    </row>
    <row r="3728" spans="1:4" x14ac:dyDescent="0.25">
      <c r="A3728" s="41">
        <v>264123</v>
      </c>
      <c r="B3728" s="39" t="s">
        <v>5367</v>
      </c>
      <c r="C3728" s="40">
        <v>4</v>
      </c>
      <c r="D3728" s="38" t="s">
        <v>266</v>
      </c>
    </row>
    <row r="3729" spans="1:4" x14ac:dyDescent="0.25">
      <c r="A3729" s="41">
        <v>264200</v>
      </c>
      <c r="B3729" s="39" t="s">
        <v>1100</v>
      </c>
      <c r="C3729" s="40">
        <v>3</v>
      </c>
      <c r="D3729" s="39" t="s">
        <v>1099</v>
      </c>
    </row>
    <row r="3730" spans="1:4" x14ac:dyDescent="0.25">
      <c r="A3730" s="41">
        <v>264213</v>
      </c>
      <c r="B3730" s="39" t="s">
        <v>5368</v>
      </c>
      <c r="C3730" s="40">
        <v>4</v>
      </c>
      <c r="D3730" s="38" t="s">
        <v>266</v>
      </c>
    </row>
    <row r="3731" spans="1:4" x14ac:dyDescent="0.25">
      <c r="A3731" s="41">
        <v>264216</v>
      </c>
      <c r="B3731" s="39" t="s">
        <v>5369</v>
      </c>
      <c r="C3731" s="40">
        <v>4</v>
      </c>
      <c r="D3731" s="38" t="s">
        <v>266</v>
      </c>
    </row>
    <row r="3732" spans="1:4" x14ac:dyDescent="0.25">
      <c r="A3732" s="41">
        <v>264300</v>
      </c>
      <c r="B3732" s="39" t="s">
        <v>5370</v>
      </c>
      <c r="C3732" s="40">
        <v>3</v>
      </c>
      <c r="D3732" s="38" t="s">
        <v>1101</v>
      </c>
    </row>
    <row r="3733" spans="1:4" x14ac:dyDescent="0.25">
      <c r="A3733" s="41">
        <v>264313</v>
      </c>
      <c r="B3733" s="39" t="s">
        <v>5371</v>
      </c>
      <c r="C3733" s="40">
        <v>4</v>
      </c>
      <c r="D3733" s="38" t="s">
        <v>266</v>
      </c>
    </row>
    <row r="3734" spans="1:4" x14ac:dyDescent="0.25">
      <c r="A3734" s="41">
        <v>265000</v>
      </c>
      <c r="B3734" s="39" t="s">
        <v>1086</v>
      </c>
      <c r="C3734" s="40">
        <v>3</v>
      </c>
      <c r="D3734" s="38" t="s">
        <v>1085</v>
      </c>
    </row>
    <row r="3735" spans="1:4" x14ac:dyDescent="0.25">
      <c r="A3735" s="41">
        <v>265100</v>
      </c>
      <c r="B3735" s="39" t="s">
        <v>5372</v>
      </c>
      <c r="C3735" s="40">
        <v>3</v>
      </c>
      <c r="D3735" s="38" t="s">
        <v>266</v>
      </c>
    </row>
    <row r="3736" spans="1:4" x14ac:dyDescent="0.25">
      <c r="A3736" s="41">
        <v>265113</v>
      </c>
      <c r="B3736" s="39" t="s">
        <v>5373</v>
      </c>
      <c r="C3736" s="40">
        <v>4</v>
      </c>
      <c r="D3736" s="38" t="s">
        <v>266</v>
      </c>
    </row>
    <row r="3737" spans="1:4" x14ac:dyDescent="0.25">
      <c r="A3737" s="41">
        <v>265200</v>
      </c>
      <c r="B3737" s="39" t="s">
        <v>5374</v>
      </c>
      <c r="C3737" s="40">
        <v>3</v>
      </c>
      <c r="D3737" s="38" t="s">
        <v>266</v>
      </c>
    </row>
    <row r="3738" spans="1:4" x14ac:dyDescent="0.25">
      <c r="A3738" s="41">
        <v>265300</v>
      </c>
      <c r="B3738" s="39" t="s">
        <v>5375</v>
      </c>
      <c r="C3738" s="40">
        <v>3</v>
      </c>
      <c r="D3738" s="38" t="s">
        <v>266</v>
      </c>
    </row>
    <row r="3739" spans="1:4" x14ac:dyDescent="0.25">
      <c r="A3739" s="41">
        <v>265400</v>
      </c>
      <c r="B3739" s="39" t="s">
        <v>5376</v>
      </c>
      <c r="C3739" s="40">
        <v>3</v>
      </c>
      <c r="D3739" s="38" t="s">
        <v>266</v>
      </c>
    </row>
    <row r="3740" spans="1:4" x14ac:dyDescent="0.25">
      <c r="A3740" s="41">
        <v>265500</v>
      </c>
      <c r="B3740" s="39" t="s">
        <v>5377</v>
      </c>
      <c r="C3740" s="40">
        <v>3</v>
      </c>
      <c r="D3740" s="38" t="s">
        <v>266</v>
      </c>
    </row>
    <row r="3741" spans="1:4" x14ac:dyDescent="0.25">
      <c r="A3741" s="41">
        <v>265523</v>
      </c>
      <c r="B3741" s="39" t="s">
        <v>5378</v>
      </c>
      <c r="C3741" s="40">
        <v>4</v>
      </c>
      <c r="D3741" s="38" t="s">
        <v>266</v>
      </c>
    </row>
    <row r="3742" spans="1:4" x14ac:dyDescent="0.25">
      <c r="A3742" s="41">
        <v>265529</v>
      </c>
      <c r="B3742" s="39" t="s">
        <v>5379</v>
      </c>
      <c r="C3742" s="40">
        <v>4</v>
      </c>
      <c r="D3742" s="38" t="s">
        <v>266</v>
      </c>
    </row>
    <row r="3743" spans="1:4" x14ac:dyDescent="0.25">
      <c r="A3743" s="41">
        <v>265533</v>
      </c>
      <c r="B3743" s="39" t="s">
        <v>5380</v>
      </c>
      <c r="C3743" s="40">
        <v>4</v>
      </c>
      <c r="D3743" s="38" t="s">
        <v>266</v>
      </c>
    </row>
    <row r="3744" spans="1:4" x14ac:dyDescent="0.25">
      <c r="A3744" s="41">
        <v>265536</v>
      </c>
      <c r="B3744" s="39" t="s">
        <v>5381</v>
      </c>
      <c r="C3744" s="40">
        <v>4</v>
      </c>
      <c r="D3744" s="38" t="s">
        <v>266</v>
      </c>
    </row>
    <row r="3745" spans="1:4" x14ac:dyDescent="0.25">
      <c r="A3745" s="41">
        <v>265539</v>
      </c>
      <c r="B3745" s="39" t="s">
        <v>5382</v>
      </c>
      <c r="C3745" s="40">
        <v>4</v>
      </c>
      <c r="D3745" s="38" t="s">
        <v>266</v>
      </c>
    </row>
    <row r="3746" spans="1:4" x14ac:dyDescent="0.25">
      <c r="A3746" s="41">
        <v>265553</v>
      </c>
      <c r="B3746" s="39" t="s">
        <v>5383</v>
      </c>
      <c r="C3746" s="40">
        <v>4</v>
      </c>
      <c r="D3746" s="38" t="s">
        <v>266</v>
      </c>
    </row>
    <row r="3747" spans="1:4" x14ac:dyDescent="0.25">
      <c r="A3747" s="41">
        <v>265559</v>
      </c>
      <c r="B3747" s="39" t="s">
        <v>5384</v>
      </c>
      <c r="C3747" s="40">
        <v>4</v>
      </c>
      <c r="D3747" s="38" t="s">
        <v>266</v>
      </c>
    </row>
    <row r="3748" spans="1:4" x14ac:dyDescent="0.25">
      <c r="A3748" s="41">
        <v>265561</v>
      </c>
      <c r="B3748" s="39" t="s">
        <v>5385</v>
      </c>
      <c r="C3748" s="40">
        <v>4</v>
      </c>
      <c r="D3748" s="38" t="s">
        <v>266</v>
      </c>
    </row>
    <row r="3749" spans="1:4" x14ac:dyDescent="0.25">
      <c r="A3749" s="41">
        <v>265563</v>
      </c>
      <c r="B3749" s="39" t="s">
        <v>5386</v>
      </c>
      <c r="C3749" s="40">
        <v>4</v>
      </c>
      <c r="D3749" s="38" t="s">
        <v>266</v>
      </c>
    </row>
    <row r="3750" spans="1:4" x14ac:dyDescent="0.25">
      <c r="A3750" s="41">
        <v>265570</v>
      </c>
      <c r="B3750" s="39" t="s">
        <v>5387</v>
      </c>
      <c r="C3750" s="40">
        <v>4</v>
      </c>
      <c r="D3750" s="38" t="s">
        <v>266</v>
      </c>
    </row>
    <row r="3751" spans="1:4" x14ac:dyDescent="0.25">
      <c r="A3751" s="41">
        <v>265583</v>
      </c>
      <c r="B3751" s="39" t="s">
        <v>5388</v>
      </c>
      <c r="C3751" s="40">
        <v>4</v>
      </c>
      <c r="D3751" s="38" t="s">
        <v>266</v>
      </c>
    </row>
    <row r="3752" spans="1:4" x14ac:dyDescent="0.25">
      <c r="A3752" s="41">
        <v>265600</v>
      </c>
      <c r="B3752" s="39" t="s">
        <v>5389</v>
      </c>
      <c r="C3752" s="40">
        <v>3</v>
      </c>
      <c r="D3752" s="38" t="s">
        <v>1552</v>
      </c>
    </row>
    <row r="3753" spans="1:4" x14ac:dyDescent="0.25">
      <c r="A3753" s="41">
        <v>265613</v>
      </c>
      <c r="B3753" s="39" t="s">
        <v>5390</v>
      </c>
      <c r="C3753" s="40">
        <v>4</v>
      </c>
      <c r="D3753" s="38" t="s">
        <v>266</v>
      </c>
    </row>
    <row r="3754" spans="1:4" x14ac:dyDescent="0.25">
      <c r="A3754" s="41">
        <v>265616</v>
      </c>
      <c r="B3754" s="39" t="s">
        <v>5391</v>
      </c>
      <c r="C3754" s="40">
        <v>4</v>
      </c>
      <c r="D3754" s="38" t="s">
        <v>1526</v>
      </c>
    </row>
    <row r="3755" spans="1:4" x14ac:dyDescent="0.25">
      <c r="A3755" s="41">
        <v>265619</v>
      </c>
      <c r="B3755" s="39" t="s">
        <v>1515</v>
      </c>
      <c r="C3755" s="40">
        <v>4</v>
      </c>
      <c r="D3755" s="38" t="s">
        <v>1514</v>
      </c>
    </row>
    <row r="3756" spans="1:4" x14ac:dyDescent="0.25">
      <c r="A3756" s="41">
        <v>265623</v>
      </c>
      <c r="B3756" s="39" t="s">
        <v>1685</v>
      </c>
      <c r="C3756" s="40">
        <v>4</v>
      </c>
      <c r="D3756" s="38" t="s">
        <v>1684</v>
      </c>
    </row>
    <row r="3757" spans="1:4" x14ac:dyDescent="0.25">
      <c r="A3757" s="41">
        <v>265626</v>
      </c>
      <c r="B3757" s="39" t="s">
        <v>1601</v>
      </c>
      <c r="C3757" s="40">
        <v>4</v>
      </c>
      <c r="D3757" s="38" t="s">
        <v>1600</v>
      </c>
    </row>
    <row r="3758" spans="1:4" x14ac:dyDescent="0.25">
      <c r="A3758" s="41">
        <v>265629</v>
      </c>
      <c r="B3758" s="39" t="s">
        <v>1683</v>
      </c>
      <c r="C3758" s="40">
        <v>4</v>
      </c>
      <c r="D3758" s="38" t="s">
        <v>1682</v>
      </c>
    </row>
    <row r="3759" spans="1:4" x14ac:dyDescent="0.25">
      <c r="A3759" s="41">
        <v>265633</v>
      </c>
      <c r="B3759" s="39" t="s">
        <v>5392</v>
      </c>
      <c r="C3759" s="40">
        <v>4</v>
      </c>
      <c r="D3759" s="38" t="s">
        <v>1540</v>
      </c>
    </row>
    <row r="3760" spans="1:4" x14ac:dyDescent="0.25">
      <c r="A3760" s="41">
        <v>265636</v>
      </c>
      <c r="B3760" s="39" t="s">
        <v>1687</v>
      </c>
      <c r="C3760" s="40">
        <v>4</v>
      </c>
      <c r="D3760" s="38" t="s">
        <v>1686</v>
      </c>
    </row>
    <row r="3761" spans="1:4" x14ac:dyDescent="0.25">
      <c r="A3761" s="41">
        <v>265668</v>
      </c>
      <c r="B3761" s="39" t="s">
        <v>5393</v>
      </c>
      <c r="C3761" s="40">
        <v>4</v>
      </c>
      <c r="D3761" s="38" t="s">
        <v>266</v>
      </c>
    </row>
    <row r="3762" spans="1:4" x14ac:dyDescent="0.25">
      <c r="A3762" s="41">
        <v>270000</v>
      </c>
      <c r="B3762" s="39" t="s">
        <v>1106</v>
      </c>
      <c r="C3762" s="40">
        <v>2</v>
      </c>
      <c r="D3762" s="38" t="s">
        <v>1105</v>
      </c>
    </row>
    <row r="3763" spans="1:4" x14ac:dyDescent="0.25">
      <c r="A3763" s="41">
        <v>270100</v>
      </c>
      <c r="B3763" s="39" t="s">
        <v>5394</v>
      </c>
      <c r="C3763" s="40">
        <v>3</v>
      </c>
      <c r="D3763" s="38" t="s">
        <v>266</v>
      </c>
    </row>
    <row r="3764" spans="1:4" x14ac:dyDescent="0.25">
      <c r="A3764" s="41">
        <v>270110</v>
      </c>
      <c r="B3764" s="39" t="s">
        <v>5395</v>
      </c>
      <c r="C3764" s="40">
        <v>4</v>
      </c>
      <c r="D3764" s="38" t="s">
        <v>266</v>
      </c>
    </row>
    <row r="3765" spans="1:4" x14ac:dyDescent="0.25">
      <c r="A3765" s="41">
        <v>270120</v>
      </c>
      <c r="B3765" s="39" t="s">
        <v>5396</v>
      </c>
      <c r="C3765" s="40">
        <v>4</v>
      </c>
      <c r="D3765" s="38" t="s">
        <v>266</v>
      </c>
    </row>
    <row r="3766" spans="1:4" x14ac:dyDescent="0.25">
      <c r="A3766" s="41">
        <v>270130</v>
      </c>
      <c r="B3766" s="39" t="s">
        <v>5397</v>
      </c>
      <c r="C3766" s="40">
        <v>4</v>
      </c>
      <c r="D3766" s="38" t="s">
        <v>266</v>
      </c>
    </row>
    <row r="3767" spans="1:4" x14ac:dyDescent="0.25">
      <c r="A3767" s="41">
        <v>270140</v>
      </c>
      <c r="B3767" s="39" t="s">
        <v>5398</v>
      </c>
      <c r="C3767" s="40">
        <v>4</v>
      </c>
      <c r="D3767" s="38" t="s">
        <v>266</v>
      </c>
    </row>
    <row r="3768" spans="1:4" x14ac:dyDescent="0.25">
      <c r="A3768" s="41">
        <v>270150</v>
      </c>
      <c r="B3768" s="39" t="s">
        <v>5399</v>
      </c>
      <c r="C3768" s="40">
        <v>4</v>
      </c>
      <c r="D3768" s="38" t="s">
        <v>266</v>
      </c>
    </row>
    <row r="3769" spans="1:4" x14ac:dyDescent="0.25">
      <c r="A3769" s="41">
        <v>270500</v>
      </c>
      <c r="B3769" s="39" t="s">
        <v>5400</v>
      </c>
      <c r="C3769" s="40">
        <v>3</v>
      </c>
      <c r="D3769" s="38" t="s">
        <v>266</v>
      </c>
    </row>
    <row r="3770" spans="1:4" x14ac:dyDescent="0.25">
      <c r="A3770" s="41">
        <v>270513</v>
      </c>
      <c r="B3770" s="39" t="s">
        <v>5401</v>
      </c>
      <c r="C3770" s="40">
        <v>4</v>
      </c>
      <c r="D3770" s="38" t="s">
        <v>266</v>
      </c>
    </row>
    <row r="3771" spans="1:4" x14ac:dyDescent="0.25">
      <c r="A3771" s="42">
        <v>270513.13</v>
      </c>
      <c r="B3771" s="39" t="s">
        <v>5402</v>
      </c>
      <c r="C3771" s="40">
        <v>5</v>
      </c>
      <c r="D3771" s="38" t="s">
        <v>266</v>
      </c>
    </row>
    <row r="3772" spans="1:4" x14ac:dyDescent="0.25">
      <c r="A3772" s="42">
        <v>270513.23</v>
      </c>
      <c r="B3772" s="39" t="s">
        <v>5403</v>
      </c>
      <c r="C3772" s="40">
        <v>5</v>
      </c>
      <c r="D3772" s="38" t="s">
        <v>266</v>
      </c>
    </row>
    <row r="3773" spans="1:4" x14ac:dyDescent="0.25">
      <c r="A3773" s="42">
        <v>270513.33</v>
      </c>
      <c r="B3773" s="39" t="s">
        <v>5404</v>
      </c>
      <c r="C3773" s="40">
        <v>5</v>
      </c>
      <c r="D3773" s="38" t="s">
        <v>266</v>
      </c>
    </row>
    <row r="3774" spans="1:4" x14ac:dyDescent="0.25">
      <c r="A3774" s="42">
        <v>270513.43</v>
      </c>
      <c r="B3774" s="39" t="s">
        <v>5405</v>
      </c>
      <c r="C3774" s="40">
        <v>5</v>
      </c>
      <c r="D3774" s="38" t="s">
        <v>266</v>
      </c>
    </row>
    <row r="3775" spans="1:4" x14ac:dyDescent="0.25">
      <c r="A3775" s="42">
        <v>270513.53000000003</v>
      </c>
      <c r="B3775" s="39" t="s">
        <v>5406</v>
      </c>
      <c r="C3775" s="40">
        <v>5</v>
      </c>
      <c r="D3775" s="38" t="s">
        <v>266</v>
      </c>
    </row>
    <row r="3776" spans="1:4" x14ac:dyDescent="0.25">
      <c r="A3776" s="41">
        <v>270526</v>
      </c>
      <c r="B3776" s="39" t="s">
        <v>5407</v>
      </c>
      <c r="C3776" s="40">
        <v>4</v>
      </c>
      <c r="D3776" s="38" t="s">
        <v>266</v>
      </c>
    </row>
    <row r="3777" spans="1:4" x14ac:dyDescent="0.25">
      <c r="A3777" s="41">
        <v>270528</v>
      </c>
      <c r="B3777" s="39" t="s">
        <v>5408</v>
      </c>
      <c r="C3777" s="40">
        <v>4</v>
      </c>
      <c r="D3777" s="38" t="s">
        <v>266</v>
      </c>
    </row>
    <row r="3778" spans="1:4" x14ac:dyDescent="0.25">
      <c r="A3778" s="41">
        <v>270529</v>
      </c>
      <c r="B3778" s="39" t="s">
        <v>5409</v>
      </c>
      <c r="C3778" s="40">
        <v>4</v>
      </c>
      <c r="D3778" s="38" t="s">
        <v>266</v>
      </c>
    </row>
    <row r="3779" spans="1:4" x14ac:dyDescent="0.25">
      <c r="A3779" s="41">
        <v>270533</v>
      </c>
      <c r="B3779" s="39" t="s">
        <v>5410</v>
      </c>
      <c r="C3779" s="40">
        <v>4</v>
      </c>
      <c r="D3779" s="38" t="s">
        <v>266</v>
      </c>
    </row>
    <row r="3780" spans="1:4" x14ac:dyDescent="0.25">
      <c r="A3780" s="41">
        <v>270536</v>
      </c>
      <c r="B3780" s="39" t="s">
        <v>5411</v>
      </c>
      <c r="C3780" s="40">
        <v>4</v>
      </c>
      <c r="D3780" s="38" t="s">
        <v>266</v>
      </c>
    </row>
    <row r="3781" spans="1:4" x14ac:dyDescent="0.25">
      <c r="A3781" s="41">
        <v>270539</v>
      </c>
      <c r="B3781" s="39" t="s">
        <v>5412</v>
      </c>
      <c r="C3781" s="40">
        <v>4</v>
      </c>
      <c r="D3781" s="38" t="s">
        <v>266</v>
      </c>
    </row>
    <row r="3782" spans="1:4" x14ac:dyDescent="0.25">
      <c r="A3782" s="41">
        <v>270543</v>
      </c>
      <c r="B3782" s="39" t="s">
        <v>5413</v>
      </c>
      <c r="C3782" s="40">
        <v>4</v>
      </c>
      <c r="D3782" s="38" t="s">
        <v>266</v>
      </c>
    </row>
    <row r="3783" spans="1:4" x14ac:dyDescent="0.25">
      <c r="A3783" s="41">
        <v>270546</v>
      </c>
      <c r="B3783" s="39" t="s">
        <v>5414</v>
      </c>
      <c r="C3783" s="40">
        <v>4</v>
      </c>
      <c r="D3783" s="38" t="s">
        <v>266</v>
      </c>
    </row>
    <row r="3784" spans="1:4" x14ac:dyDescent="0.25">
      <c r="A3784" s="41">
        <v>270548</v>
      </c>
      <c r="B3784" s="39" t="s">
        <v>5415</v>
      </c>
      <c r="C3784" s="40">
        <v>4</v>
      </c>
      <c r="D3784" s="38" t="s">
        <v>266</v>
      </c>
    </row>
    <row r="3785" spans="1:4" x14ac:dyDescent="0.25">
      <c r="A3785" s="41">
        <v>270553</v>
      </c>
      <c r="B3785" s="39" t="s">
        <v>5416</v>
      </c>
      <c r="C3785" s="40">
        <v>4</v>
      </c>
      <c r="D3785" s="38" t="s">
        <v>266</v>
      </c>
    </row>
    <row r="3786" spans="1:4" x14ac:dyDescent="0.25">
      <c r="A3786" s="41">
        <v>270800</v>
      </c>
      <c r="B3786" s="39" t="s">
        <v>5417</v>
      </c>
      <c r="C3786" s="40">
        <v>3</v>
      </c>
      <c r="D3786" s="38" t="s">
        <v>266</v>
      </c>
    </row>
    <row r="3787" spans="1:4" x14ac:dyDescent="0.25">
      <c r="A3787" s="41">
        <v>271000</v>
      </c>
      <c r="B3787" s="39" t="s">
        <v>5418</v>
      </c>
      <c r="C3787" s="40">
        <v>3</v>
      </c>
      <c r="D3787" s="38" t="s">
        <v>266</v>
      </c>
    </row>
    <row r="3788" spans="1:4" x14ac:dyDescent="0.25">
      <c r="A3788" s="41">
        <v>271100</v>
      </c>
      <c r="B3788" s="39" t="s">
        <v>5419</v>
      </c>
      <c r="C3788" s="40">
        <v>3</v>
      </c>
      <c r="D3788" s="38" t="s">
        <v>266</v>
      </c>
    </row>
    <row r="3789" spans="1:4" x14ac:dyDescent="0.25">
      <c r="A3789" s="41">
        <v>271113</v>
      </c>
      <c r="B3789" s="39" t="s">
        <v>5420</v>
      </c>
      <c r="C3789" s="40">
        <v>4</v>
      </c>
      <c r="D3789" s="38" t="s">
        <v>266</v>
      </c>
    </row>
    <row r="3790" spans="1:4" x14ac:dyDescent="0.25">
      <c r="A3790" s="41">
        <v>271116</v>
      </c>
      <c r="B3790" s="39" t="s">
        <v>5421</v>
      </c>
      <c r="C3790" s="40">
        <v>4</v>
      </c>
      <c r="D3790" s="38" t="s">
        <v>266</v>
      </c>
    </row>
    <row r="3791" spans="1:4" x14ac:dyDescent="0.25">
      <c r="A3791" s="41">
        <v>271119</v>
      </c>
      <c r="B3791" s="39" t="s">
        <v>5422</v>
      </c>
      <c r="C3791" s="40">
        <v>4</v>
      </c>
      <c r="D3791" s="38" t="s">
        <v>266</v>
      </c>
    </row>
    <row r="3792" spans="1:4" x14ac:dyDescent="0.25">
      <c r="A3792" s="41">
        <v>271123</v>
      </c>
      <c r="B3792" s="39" t="s">
        <v>5423</v>
      </c>
      <c r="C3792" s="40">
        <v>4</v>
      </c>
      <c r="D3792" s="38" t="s">
        <v>266</v>
      </c>
    </row>
    <row r="3793" spans="1:4" x14ac:dyDescent="0.25">
      <c r="A3793" s="41">
        <v>271126</v>
      </c>
      <c r="B3793" s="39" t="s">
        <v>5424</v>
      </c>
      <c r="C3793" s="40">
        <v>4</v>
      </c>
      <c r="D3793" s="38" t="s">
        <v>266</v>
      </c>
    </row>
    <row r="3794" spans="1:4" x14ac:dyDescent="0.25">
      <c r="A3794" s="41">
        <v>271300</v>
      </c>
      <c r="B3794" s="39" t="s">
        <v>5425</v>
      </c>
      <c r="C3794" s="40">
        <v>3</v>
      </c>
      <c r="D3794" s="38" t="s">
        <v>266</v>
      </c>
    </row>
    <row r="3795" spans="1:4" x14ac:dyDescent="0.25">
      <c r="A3795" s="41">
        <v>271313</v>
      </c>
      <c r="B3795" s="39" t="s">
        <v>5426</v>
      </c>
      <c r="C3795" s="40">
        <v>4</v>
      </c>
      <c r="D3795" s="38" t="s">
        <v>266</v>
      </c>
    </row>
    <row r="3796" spans="1:4" x14ac:dyDescent="0.25">
      <c r="A3796" s="42">
        <v>271313.13</v>
      </c>
      <c r="B3796" s="39" t="s">
        <v>5427</v>
      </c>
      <c r="C3796" s="40">
        <v>5</v>
      </c>
      <c r="D3796" s="38" t="s">
        <v>266</v>
      </c>
    </row>
    <row r="3797" spans="1:4" x14ac:dyDescent="0.25">
      <c r="A3797" s="41">
        <v>271323</v>
      </c>
      <c r="B3797" s="39" t="s">
        <v>5428</v>
      </c>
      <c r="C3797" s="40">
        <v>4</v>
      </c>
      <c r="D3797" s="38" t="s">
        <v>266</v>
      </c>
    </row>
    <row r="3798" spans="1:4" x14ac:dyDescent="0.25">
      <c r="A3798" s="42">
        <v>271323.13</v>
      </c>
      <c r="B3798" s="39" t="s">
        <v>5429</v>
      </c>
      <c r="C3798" s="40">
        <v>5</v>
      </c>
      <c r="D3798" s="38" t="s">
        <v>266</v>
      </c>
    </row>
    <row r="3799" spans="1:4" x14ac:dyDescent="0.25">
      <c r="A3799" s="41">
        <v>271333</v>
      </c>
      <c r="B3799" s="39" t="s">
        <v>5430</v>
      </c>
      <c r="C3799" s="40">
        <v>4</v>
      </c>
      <c r="D3799" s="38" t="s">
        <v>266</v>
      </c>
    </row>
    <row r="3800" spans="1:4" x14ac:dyDescent="0.25">
      <c r="A3800" s="42">
        <v>271333.13</v>
      </c>
      <c r="B3800" s="39" t="s">
        <v>5431</v>
      </c>
      <c r="C3800" s="40">
        <v>5</v>
      </c>
      <c r="D3800" s="38" t="s">
        <v>266</v>
      </c>
    </row>
    <row r="3801" spans="1:4" x14ac:dyDescent="0.25">
      <c r="A3801" s="41">
        <v>271343</v>
      </c>
      <c r="B3801" s="39" t="s">
        <v>5432</v>
      </c>
      <c r="C3801" s="40">
        <v>4</v>
      </c>
      <c r="D3801" s="38" t="s">
        <v>266</v>
      </c>
    </row>
    <row r="3802" spans="1:4" x14ac:dyDescent="0.25">
      <c r="A3802" s="42">
        <v>271343.13</v>
      </c>
      <c r="B3802" s="39" t="s">
        <v>5433</v>
      </c>
      <c r="C3802" s="40">
        <v>5</v>
      </c>
      <c r="D3802" s="38" t="s">
        <v>266</v>
      </c>
    </row>
    <row r="3803" spans="1:4" x14ac:dyDescent="0.25">
      <c r="A3803" s="42">
        <v>271343.23</v>
      </c>
      <c r="B3803" s="39" t="s">
        <v>5434</v>
      </c>
      <c r="C3803" s="40">
        <v>5</v>
      </c>
      <c r="D3803" s="38" t="s">
        <v>266</v>
      </c>
    </row>
    <row r="3804" spans="1:4" x14ac:dyDescent="0.25">
      <c r="A3804" s="42">
        <v>271343.33</v>
      </c>
      <c r="B3804" s="39" t="s">
        <v>5435</v>
      </c>
      <c r="C3804" s="40">
        <v>5</v>
      </c>
      <c r="D3804" s="38" t="s">
        <v>266</v>
      </c>
    </row>
    <row r="3805" spans="1:4" x14ac:dyDescent="0.25">
      <c r="A3805" s="42">
        <v>271343.43</v>
      </c>
      <c r="B3805" s="39" t="s">
        <v>5436</v>
      </c>
      <c r="C3805" s="40">
        <v>5</v>
      </c>
      <c r="D3805" s="38" t="s">
        <v>266</v>
      </c>
    </row>
    <row r="3806" spans="1:4" x14ac:dyDescent="0.25">
      <c r="A3806" s="42">
        <v>271343.53000000003</v>
      </c>
      <c r="B3806" s="39" t="s">
        <v>5437</v>
      </c>
      <c r="C3806" s="40">
        <v>5</v>
      </c>
      <c r="D3806" s="38" t="s">
        <v>266</v>
      </c>
    </row>
    <row r="3807" spans="1:4" x14ac:dyDescent="0.25">
      <c r="A3807" s="41">
        <v>271500</v>
      </c>
      <c r="B3807" s="39" t="s">
        <v>5438</v>
      </c>
      <c r="C3807" s="40">
        <v>3</v>
      </c>
      <c r="D3807" s="38" t="s">
        <v>266</v>
      </c>
    </row>
    <row r="3808" spans="1:4" x14ac:dyDescent="0.25">
      <c r="A3808" s="41">
        <v>271513</v>
      </c>
      <c r="B3808" s="39" t="s">
        <v>5439</v>
      </c>
      <c r="C3808" s="40">
        <v>4</v>
      </c>
      <c r="D3808" s="38" t="s">
        <v>266</v>
      </c>
    </row>
    <row r="3809" spans="1:4" x14ac:dyDescent="0.25">
      <c r="A3809" s="41">
        <v>271516</v>
      </c>
      <c r="B3809" s="39" t="s">
        <v>5440</v>
      </c>
      <c r="C3809" s="40">
        <v>4</v>
      </c>
      <c r="D3809" s="38" t="s">
        <v>266</v>
      </c>
    </row>
    <row r="3810" spans="1:4" x14ac:dyDescent="0.25">
      <c r="A3810" s="41">
        <v>271519</v>
      </c>
      <c r="B3810" s="39" t="s">
        <v>5441</v>
      </c>
      <c r="C3810" s="40">
        <v>4</v>
      </c>
      <c r="D3810" s="38" t="s">
        <v>266</v>
      </c>
    </row>
    <row r="3811" spans="1:4" x14ac:dyDescent="0.25">
      <c r="A3811" s="41">
        <v>271523</v>
      </c>
      <c r="B3811" s="39" t="s">
        <v>5442</v>
      </c>
      <c r="C3811" s="40">
        <v>4</v>
      </c>
      <c r="D3811" s="38" t="s">
        <v>266</v>
      </c>
    </row>
    <row r="3812" spans="1:4" x14ac:dyDescent="0.25">
      <c r="A3812" s="41">
        <v>271523</v>
      </c>
      <c r="B3812" s="39" t="s">
        <v>5443</v>
      </c>
      <c r="C3812" s="40">
        <v>4</v>
      </c>
      <c r="D3812" s="38" t="s">
        <v>266</v>
      </c>
    </row>
    <row r="3813" spans="1:4" x14ac:dyDescent="0.25">
      <c r="A3813" s="41">
        <v>271533</v>
      </c>
      <c r="B3813" s="39" t="s">
        <v>5444</v>
      </c>
      <c r="C3813" s="40">
        <v>4</v>
      </c>
      <c r="D3813" s="38" t="s">
        <v>266</v>
      </c>
    </row>
    <row r="3814" spans="1:4" x14ac:dyDescent="0.25">
      <c r="A3814" s="41">
        <v>271539</v>
      </c>
      <c r="B3814" s="39" t="s">
        <v>5445</v>
      </c>
      <c r="C3814" s="40">
        <v>4</v>
      </c>
      <c r="D3814" s="38" t="s">
        <v>266</v>
      </c>
    </row>
    <row r="3815" spans="1:4" x14ac:dyDescent="0.25">
      <c r="A3815" s="41">
        <v>271543</v>
      </c>
      <c r="B3815" s="39" t="s">
        <v>5446</v>
      </c>
      <c r="C3815" s="40">
        <v>4</v>
      </c>
      <c r="D3815" s="38" t="s">
        <v>266</v>
      </c>
    </row>
    <row r="3816" spans="1:4" x14ac:dyDescent="0.25">
      <c r="A3816" s="41">
        <v>271543</v>
      </c>
      <c r="B3816" s="39" t="s">
        <v>5447</v>
      </c>
      <c r="C3816" s="40">
        <v>4</v>
      </c>
      <c r="D3816" s="38" t="s">
        <v>266</v>
      </c>
    </row>
    <row r="3817" spans="1:4" x14ac:dyDescent="0.25">
      <c r="A3817" s="41">
        <v>271546</v>
      </c>
      <c r="B3817" s="39" t="s">
        <v>5448</v>
      </c>
      <c r="C3817" s="40">
        <v>4</v>
      </c>
      <c r="D3817" s="38" t="s">
        <v>266</v>
      </c>
    </row>
    <row r="3818" spans="1:4" x14ac:dyDescent="0.25">
      <c r="A3818" s="41">
        <v>271549</v>
      </c>
      <c r="B3818" s="39" t="s">
        <v>5449</v>
      </c>
      <c r="C3818" s="40">
        <v>4</v>
      </c>
      <c r="D3818" s="38" t="s">
        <v>266</v>
      </c>
    </row>
    <row r="3819" spans="1:4" x14ac:dyDescent="0.25">
      <c r="A3819" s="41">
        <v>271553</v>
      </c>
      <c r="B3819" s="39" t="s">
        <v>5450</v>
      </c>
      <c r="C3819" s="40">
        <v>4</v>
      </c>
      <c r="D3819" s="38" t="s">
        <v>266</v>
      </c>
    </row>
    <row r="3820" spans="1:4" x14ac:dyDescent="0.25">
      <c r="A3820" s="41">
        <v>271600</v>
      </c>
      <c r="B3820" s="39" t="s">
        <v>5451</v>
      </c>
      <c r="C3820" s="40">
        <v>3</v>
      </c>
      <c r="D3820" s="38" t="s">
        <v>266</v>
      </c>
    </row>
    <row r="3821" spans="1:4" x14ac:dyDescent="0.25">
      <c r="A3821" s="41">
        <v>271613</v>
      </c>
      <c r="B3821" s="39" t="s">
        <v>5452</v>
      </c>
      <c r="C3821" s="40">
        <v>4</v>
      </c>
      <c r="D3821" s="38" t="s">
        <v>266</v>
      </c>
    </row>
    <row r="3822" spans="1:4" x14ac:dyDescent="0.25">
      <c r="A3822" s="41">
        <v>271616</v>
      </c>
      <c r="B3822" s="39" t="s">
        <v>5453</v>
      </c>
      <c r="C3822" s="40">
        <v>4</v>
      </c>
      <c r="D3822" s="38" t="s">
        <v>266</v>
      </c>
    </row>
    <row r="3823" spans="1:4" x14ac:dyDescent="0.25">
      <c r="A3823" s="41">
        <v>271619</v>
      </c>
      <c r="B3823" s="39" t="s">
        <v>5454</v>
      </c>
      <c r="C3823" s="40">
        <v>4</v>
      </c>
      <c r="D3823" s="38" t="s">
        <v>266</v>
      </c>
    </row>
    <row r="3824" spans="1:4" x14ac:dyDescent="0.25">
      <c r="A3824" s="41">
        <v>272000</v>
      </c>
      <c r="B3824" s="39" t="s">
        <v>1108</v>
      </c>
      <c r="C3824" s="40">
        <v>3</v>
      </c>
      <c r="D3824" s="38" t="s">
        <v>1107</v>
      </c>
    </row>
    <row r="3825" spans="1:4" x14ac:dyDescent="0.25">
      <c r="A3825" s="41">
        <v>272100</v>
      </c>
      <c r="B3825" s="39" t="s">
        <v>1110</v>
      </c>
      <c r="C3825" s="40">
        <v>3</v>
      </c>
      <c r="D3825" s="39" t="s">
        <v>1109</v>
      </c>
    </row>
    <row r="3826" spans="1:4" x14ac:dyDescent="0.25">
      <c r="A3826" s="41">
        <v>272113</v>
      </c>
      <c r="B3826" s="39" t="s">
        <v>5455</v>
      </c>
      <c r="C3826" s="40">
        <v>4</v>
      </c>
      <c r="D3826" s="38" t="s">
        <v>266</v>
      </c>
    </row>
    <row r="3827" spans="1:4" x14ac:dyDescent="0.25">
      <c r="A3827" s="41">
        <v>272116</v>
      </c>
      <c r="B3827" s="39" t="s">
        <v>5456</v>
      </c>
      <c r="C3827" s="40">
        <v>4</v>
      </c>
      <c r="D3827" s="38" t="s">
        <v>266</v>
      </c>
    </row>
    <row r="3828" spans="1:4" x14ac:dyDescent="0.25">
      <c r="A3828" s="41">
        <v>272126</v>
      </c>
      <c r="B3828" s="39" t="s">
        <v>5457</v>
      </c>
      <c r="C3828" s="40">
        <v>4</v>
      </c>
      <c r="D3828" s="38" t="s">
        <v>266</v>
      </c>
    </row>
    <row r="3829" spans="1:4" x14ac:dyDescent="0.25">
      <c r="A3829" s="41">
        <v>272129</v>
      </c>
      <c r="B3829" s="39" t="s">
        <v>5458</v>
      </c>
      <c r="C3829" s="40">
        <v>4</v>
      </c>
      <c r="D3829" s="38" t="s">
        <v>266</v>
      </c>
    </row>
    <row r="3830" spans="1:4" x14ac:dyDescent="0.25">
      <c r="A3830" s="41">
        <v>272133</v>
      </c>
      <c r="B3830" s="39" t="s">
        <v>5459</v>
      </c>
      <c r="C3830" s="40">
        <v>4</v>
      </c>
      <c r="D3830" s="38" t="s">
        <v>266</v>
      </c>
    </row>
    <row r="3831" spans="1:4" x14ac:dyDescent="0.25">
      <c r="A3831" s="41">
        <v>272200</v>
      </c>
      <c r="B3831" s="39" t="s">
        <v>1112</v>
      </c>
      <c r="C3831" s="40">
        <v>3</v>
      </c>
      <c r="D3831" s="39" t="s">
        <v>1111</v>
      </c>
    </row>
    <row r="3832" spans="1:4" x14ac:dyDescent="0.25">
      <c r="A3832" s="41">
        <v>272213</v>
      </c>
      <c r="B3832" s="39" t="s">
        <v>5460</v>
      </c>
      <c r="C3832" s="40">
        <v>4</v>
      </c>
      <c r="D3832" s="38" t="s">
        <v>266</v>
      </c>
    </row>
    <row r="3833" spans="1:4" x14ac:dyDescent="0.25">
      <c r="A3833" s="41">
        <v>272216</v>
      </c>
      <c r="B3833" s="39" t="s">
        <v>5461</v>
      </c>
      <c r="C3833" s="40">
        <v>4</v>
      </c>
      <c r="D3833" s="38" t="s">
        <v>266</v>
      </c>
    </row>
    <row r="3834" spans="1:4" x14ac:dyDescent="0.25">
      <c r="A3834" s="41">
        <v>272219</v>
      </c>
      <c r="B3834" s="39" t="s">
        <v>5462</v>
      </c>
      <c r="C3834" s="40">
        <v>4</v>
      </c>
      <c r="D3834" s="38" t="s">
        <v>266</v>
      </c>
    </row>
    <row r="3835" spans="1:4" x14ac:dyDescent="0.25">
      <c r="A3835" s="41">
        <v>272223</v>
      </c>
      <c r="B3835" s="39" t="s">
        <v>5463</v>
      </c>
      <c r="C3835" s="40">
        <v>4</v>
      </c>
      <c r="D3835" s="38" t="s">
        <v>266</v>
      </c>
    </row>
    <row r="3836" spans="1:4" x14ac:dyDescent="0.25">
      <c r="A3836" s="41">
        <v>272226</v>
      </c>
      <c r="B3836" s="39" t="s">
        <v>5464</v>
      </c>
      <c r="C3836" s="40">
        <v>4</v>
      </c>
      <c r="D3836" s="38" t="s">
        <v>266</v>
      </c>
    </row>
    <row r="3837" spans="1:4" x14ac:dyDescent="0.25">
      <c r="A3837" s="41">
        <v>272229</v>
      </c>
      <c r="B3837" s="39" t="s">
        <v>5465</v>
      </c>
      <c r="C3837" s="40">
        <v>4</v>
      </c>
      <c r="D3837" s="38" t="s">
        <v>266</v>
      </c>
    </row>
    <row r="3838" spans="1:4" x14ac:dyDescent="0.25">
      <c r="A3838" s="41">
        <v>272400</v>
      </c>
      <c r="B3838" s="39" t="s">
        <v>1114</v>
      </c>
      <c r="C3838" s="40">
        <v>3</v>
      </c>
      <c r="D3838" s="39" t="s">
        <v>1113</v>
      </c>
    </row>
    <row r="3839" spans="1:4" x14ac:dyDescent="0.25">
      <c r="A3839" s="41">
        <v>272413</v>
      </c>
      <c r="B3839" s="39" t="s">
        <v>3862</v>
      </c>
      <c r="C3839" s="40">
        <v>4</v>
      </c>
      <c r="D3839" s="38" t="s">
        <v>266</v>
      </c>
    </row>
    <row r="3840" spans="1:4" x14ac:dyDescent="0.25">
      <c r="A3840" s="41">
        <v>272416</v>
      </c>
      <c r="B3840" s="39" t="s">
        <v>5466</v>
      </c>
      <c r="C3840" s="40">
        <v>4</v>
      </c>
      <c r="D3840" s="38" t="s">
        <v>266</v>
      </c>
    </row>
    <row r="3841" spans="1:4" x14ac:dyDescent="0.25">
      <c r="A3841" s="41">
        <v>272419</v>
      </c>
      <c r="B3841" s="39" t="s">
        <v>5467</v>
      </c>
      <c r="C3841" s="40">
        <v>4</v>
      </c>
      <c r="D3841" s="38" t="s">
        <v>266</v>
      </c>
    </row>
    <row r="3842" spans="1:4" x14ac:dyDescent="0.25">
      <c r="A3842" s="41">
        <v>272423</v>
      </c>
      <c r="B3842" s="39" t="s">
        <v>5468</v>
      </c>
      <c r="C3842" s="40">
        <v>4</v>
      </c>
      <c r="D3842" s="38" t="s">
        <v>266</v>
      </c>
    </row>
    <row r="3843" spans="1:4" x14ac:dyDescent="0.25">
      <c r="A3843" s="41">
        <v>272426</v>
      </c>
      <c r="B3843" s="39" t="s">
        <v>5469</v>
      </c>
      <c r="C3843" s="40">
        <v>4</v>
      </c>
      <c r="D3843" s="38" t="s">
        <v>266</v>
      </c>
    </row>
    <row r="3844" spans="1:4" x14ac:dyDescent="0.25">
      <c r="A3844" s="41">
        <v>272429</v>
      </c>
      <c r="B3844" s="39" t="s">
        <v>5470</v>
      </c>
      <c r="C3844" s="40">
        <v>4</v>
      </c>
      <c r="D3844" s="38" t="s">
        <v>266</v>
      </c>
    </row>
    <row r="3845" spans="1:4" x14ac:dyDescent="0.25">
      <c r="A3845" s="41">
        <v>272500</v>
      </c>
      <c r="B3845" s="39" t="s">
        <v>1116</v>
      </c>
      <c r="C3845" s="40">
        <v>3</v>
      </c>
      <c r="D3845" s="39" t="s">
        <v>1115</v>
      </c>
    </row>
    <row r="3846" spans="1:4" x14ac:dyDescent="0.25">
      <c r="A3846" s="41">
        <v>272513</v>
      </c>
      <c r="B3846" s="39" t="s">
        <v>5471</v>
      </c>
      <c r="C3846" s="40">
        <v>4</v>
      </c>
      <c r="D3846" s="38" t="s">
        <v>266</v>
      </c>
    </row>
    <row r="3847" spans="1:4" x14ac:dyDescent="0.25">
      <c r="A3847" s="41">
        <v>272516</v>
      </c>
      <c r="B3847" s="39" t="s">
        <v>5472</v>
      </c>
      <c r="C3847" s="40">
        <v>4</v>
      </c>
      <c r="D3847" s="38" t="s">
        <v>266</v>
      </c>
    </row>
    <row r="3848" spans="1:4" x14ac:dyDescent="0.25">
      <c r="A3848" s="41">
        <v>272519</v>
      </c>
      <c r="B3848" s="39" t="s">
        <v>5473</v>
      </c>
      <c r="C3848" s="40">
        <v>4</v>
      </c>
      <c r="D3848" s="38" t="s">
        <v>266</v>
      </c>
    </row>
    <row r="3849" spans="1:4" x14ac:dyDescent="0.25">
      <c r="A3849" s="41">
        <v>272523</v>
      </c>
      <c r="B3849" s="39" t="s">
        <v>5474</v>
      </c>
      <c r="C3849" s="40">
        <v>4</v>
      </c>
      <c r="D3849" s="38" t="s">
        <v>266</v>
      </c>
    </row>
    <row r="3850" spans="1:4" x14ac:dyDescent="0.25">
      <c r="A3850" s="41">
        <v>272526</v>
      </c>
      <c r="B3850" s="39" t="s">
        <v>5475</v>
      </c>
      <c r="C3850" s="40">
        <v>4</v>
      </c>
      <c r="D3850" s="38" t="s">
        <v>266</v>
      </c>
    </row>
    <row r="3851" spans="1:4" x14ac:dyDescent="0.25">
      <c r="A3851" s="41">
        <v>272529</v>
      </c>
      <c r="B3851" s="39" t="s">
        <v>5476</v>
      </c>
      <c r="C3851" s="40">
        <v>4</v>
      </c>
      <c r="D3851" s="38" t="s">
        <v>266</v>
      </c>
    </row>
    <row r="3852" spans="1:4" x14ac:dyDescent="0.25">
      <c r="A3852" s="41">
        <v>272533</v>
      </c>
      <c r="B3852" s="39" t="s">
        <v>5477</v>
      </c>
      <c r="C3852" s="40">
        <v>4</v>
      </c>
      <c r="D3852" s="38" t="s">
        <v>266</v>
      </c>
    </row>
    <row r="3853" spans="1:4" x14ac:dyDescent="0.25">
      <c r="A3853" s="41">
        <v>272537</v>
      </c>
      <c r="B3853" s="39" t="s">
        <v>5478</v>
      </c>
      <c r="C3853" s="40">
        <v>4</v>
      </c>
      <c r="D3853" s="38" t="s">
        <v>266</v>
      </c>
    </row>
    <row r="3854" spans="1:4" x14ac:dyDescent="0.25">
      <c r="A3854" s="41">
        <v>272539</v>
      </c>
      <c r="B3854" s="39" t="s">
        <v>5479</v>
      </c>
      <c r="C3854" s="40">
        <v>4</v>
      </c>
      <c r="D3854" s="38" t="s">
        <v>266</v>
      </c>
    </row>
    <row r="3855" spans="1:4" x14ac:dyDescent="0.25">
      <c r="A3855" s="41">
        <v>272600</v>
      </c>
      <c r="B3855" s="39" t="s">
        <v>5480</v>
      </c>
      <c r="C3855" s="40">
        <v>3</v>
      </c>
      <c r="D3855" s="38" t="s">
        <v>266</v>
      </c>
    </row>
    <row r="3856" spans="1:4" x14ac:dyDescent="0.25">
      <c r="A3856" s="41">
        <v>272613</v>
      </c>
      <c r="B3856" s="39" t="s">
        <v>5481</v>
      </c>
      <c r="C3856" s="40">
        <v>4</v>
      </c>
      <c r="D3856" s="38" t="s">
        <v>266</v>
      </c>
    </row>
    <row r="3857" spans="1:4" x14ac:dyDescent="0.25">
      <c r="A3857" s="41">
        <v>272616</v>
      </c>
      <c r="B3857" s="39" t="s">
        <v>5482</v>
      </c>
      <c r="C3857" s="40">
        <v>4</v>
      </c>
      <c r="D3857" s="38" t="s">
        <v>266</v>
      </c>
    </row>
    <row r="3858" spans="1:4" x14ac:dyDescent="0.25">
      <c r="A3858" s="41">
        <v>272619</v>
      </c>
      <c r="B3858" s="39" t="s">
        <v>5483</v>
      </c>
      <c r="C3858" s="40">
        <v>4</v>
      </c>
      <c r="D3858" s="38" t="s">
        <v>266</v>
      </c>
    </row>
    <row r="3859" spans="1:4" x14ac:dyDescent="0.25">
      <c r="A3859" s="41">
        <v>272623</v>
      </c>
      <c r="B3859" s="39" t="s">
        <v>5484</v>
      </c>
      <c r="C3859" s="40">
        <v>4</v>
      </c>
      <c r="D3859" s="38" t="s">
        <v>266</v>
      </c>
    </row>
    <row r="3860" spans="1:4" x14ac:dyDescent="0.25">
      <c r="A3860" s="41">
        <v>272626</v>
      </c>
      <c r="B3860" s="39" t="s">
        <v>5485</v>
      </c>
      <c r="C3860" s="40">
        <v>4</v>
      </c>
      <c r="D3860" s="38" t="s">
        <v>266</v>
      </c>
    </row>
    <row r="3861" spans="1:4" x14ac:dyDescent="0.25">
      <c r="A3861" s="41">
        <v>273000</v>
      </c>
      <c r="B3861" s="39" t="s">
        <v>1120</v>
      </c>
      <c r="C3861" s="40">
        <v>3</v>
      </c>
      <c r="D3861" s="38" t="s">
        <v>1119</v>
      </c>
    </row>
    <row r="3862" spans="1:4" x14ac:dyDescent="0.25">
      <c r="A3862" s="41">
        <v>273100</v>
      </c>
      <c r="B3862" s="39" t="s">
        <v>1122</v>
      </c>
      <c r="C3862" s="40">
        <v>3</v>
      </c>
      <c r="D3862" s="39" t="s">
        <v>1121</v>
      </c>
    </row>
    <row r="3863" spans="1:4" x14ac:dyDescent="0.25">
      <c r="A3863" s="41">
        <v>273113</v>
      </c>
      <c r="B3863" s="39" t="s">
        <v>5486</v>
      </c>
      <c r="C3863" s="40">
        <v>4</v>
      </c>
      <c r="D3863" s="38" t="s">
        <v>266</v>
      </c>
    </row>
    <row r="3864" spans="1:4" x14ac:dyDescent="0.25">
      <c r="A3864" s="41">
        <v>273123</v>
      </c>
      <c r="B3864" s="39" t="s">
        <v>5487</v>
      </c>
      <c r="C3864" s="40">
        <v>4</v>
      </c>
      <c r="D3864" s="38" t="s">
        <v>266</v>
      </c>
    </row>
    <row r="3865" spans="1:4" x14ac:dyDescent="0.25">
      <c r="A3865" s="41">
        <v>273200</v>
      </c>
      <c r="B3865" s="39" t="s">
        <v>1124</v>
      </c>
      <c r="C3865" s="40">
        <v>3</v>
      </c>
      <c r="D3865" s="38" t="s">
        <v>266</v>
      </c>
    </row>
    <row r="3866" spans="1:4" x14ac:dyDescent="0.25">
      <c r="A3866" s="41">
        <v>273213</v>
      </c>
      <c r="B3866" s="39" t="s">
        <v>5488</v>
      </c>
      <c r="C3866" s="40">
        <v>4</v>
      </c>
      <c r="D3866" s="38" t="s">
        <v>266</v>
      </c>
    </row>
    <row r="3867" spans="1:4" x14ac:dyDescent="0.25">
      <c r="A3867" s="41">
        <v>273216</v>
      </c>
      <c r="B3867" s="39" t="s">
        <v>5489</v>
      </c>
      <c r="C3867" s="40">
        <v>4</v>
      </c>
      <c r="D3867" s="38" t="s">
        <v>266</v>
      </c>
    </row>
    <row r="3868" spans="1:4" x14ac:dyDescent="0.25">
      <c r="A3868" s="41">
        <v>273223</v>
      </c>
      <c r="B3868" s="39" t="s">
        <v>5490</v>
      </c>
      <c r="C3868" s="40">
        <v>4</v>
      </c>
      <c r="D3868" s="38" t="s">
        <v>266</v>
      </c>
    </row>
    <row r="3869" spans="1:4" x14ac:dyDescent="0.25">
      <c r="A3869" s="41">
        <v>273226</v>
      </c>
      <c r="B3869" s="39" t="s">
        <v>5491</v>
      </c>
      <c r="C3869" s="40">
        <v>4</v>
      </c>
      <c r="D3869" s="38" t="s">
        <v>266</v>
      </c>
    </row>
    <row r="3870" spans="1:4" x14ac:dyDescent="0.25">
      <c r="A3870" s="41">
        <v>273229</v>
      </c>
      <c r="B3870" s="39" t="s">
        <v>5492</v>
      </c>
      <c r="C3870" s="40">
        <v>4</v>
      </c>
      <c r="D3870" s="38" t="s">
        <v>266</v>
      </c>
    </row>
    <row r="3871" spans="1:4" x14ac:dyDescent="0.25">
      <c r="A3871" s="41">
        <v>273236</v>
      </c>
      <c r="B3871" s="39" t="s">
        <v>5493</v>
      </c>
      <c r="C3871" s="40">
        <v>4</v>
      </c>
      <c r="D3871" s="38" t="s">
        <v>266</v>
      </c>
    </row>
    <row r="3872" spans="1:4" x14ac:dyDescent="0.25">
      <c r="A3872" s="41">
        <v>273243</v>
      </c>
      <c r="B3872" s="39" t="s">
        <v>5494</v>
      </c>
      <c r="C3872" s="40">
        <v>4</v>
      </c>
      <c r="D3872" s="38" t="s">
        <v>266</v>
      </c>
    </row>
    <row r="3873" spans="1:4" x14ac:dyDescent="0.25">
      <c r="A3873" s="41">
        <v>273300</v>
      </c>
      <c r="B3873" s="39" t="s">
        <v>1126</v>
      </c>
      <c r="C3873" s="40">
        <v>3</v>
      </c>
      <c r="D3873" s="39" t="s">
        <v>1125</v>
      </c>
    </row>
    <row r="3874" spans="1:4" x14ac:dyDescent="0.25">
      <c r="A3874" s="41">
        <v>273316</v>
      </c>
      <c r="B3874" s="39" t="s">
        <v>5495</v>
      </c>
      <c r="C3874" s="40">
        <v>4</v>
      </c>
      <c r="D3874" s="38" t="s">
        <v>266</v>
      </c>
    </row>
    <row r="3875" spans="1:4" x14ac:dyDescent="0.25">
      <c r="A3875" s="41">
        <v>273323</v>
      </c>
      <c r="B3875" s="39" t="s">
        <v>5496</v>
      </c>
      <c r="C3875" s="40">
        <v>4</v>
      </c>
      <c r="D3875" s="38" t="s">
        <v>266</v>
      </c>
    </row>
    <row r="3876" spans="1:4" x14ac:dyDescent="0.25">
      <c r="A3876" s="41">
        <v>273326</v>
      </c>
      <c r="B3876" s="39" t="s">
        <v>5497</v>
      </c>
      <c r="C3876" s="40">
        <v>4</v>
      </c>
      <c r="D3876" s="38" t="s">
        <v>266</v>
      </c>
    </row>
    <row r="3877" spans="1:4" x14ac:dyDescent="0.25">
      <c r="A3877" s="41">
        <v>273400</v>
      </c>
      <c r="B3877" s="39" t="s">
        <v>1128</v>
      </c>
      <c r="C3877" s="40">
        <v>3</v>
      </c>
      <c r="D3877" s="39" t="s">
        <v>1127</v>
      </c>
    </row>
    <row r="3878" spans="1:4" x14ac:dyDescent="0.25">
      <c r="A3878" s="41">
        <v>273413</v>
      </c>
      <c r="B3878" s="39" t="s">
        <v>5498</v>
      </c>
      <c r="C3878" s="40">
        <v>4</v>
      </c>
      <c r="D3878" s="38" t="s">
        <v>266</v>
      </c>
    </row>
    <row r="3879" spans="1:4" x14ac:dyDescent="0.25">
      <c r="A3879" s="41">
        <v>273416</v>
      </c>
      <c r="B3879" s="39" t="s">
        <v>5499</v>
      </c>
      <c r="C3879" s="40">
        <v>4</v>
      </c>
      <c r="D3879" s="38" t="s">
        <v>266</v>
      </c>
    </row>
    <row r="3880" spans="1:4" x14ac:dyDescent="0.25">
      <c r="A3880" s="41">
        <v>273500</v>
      </c>
      <c r="B3880" s="39" t="s">
        <v>1130</v>
      </c>
      <c r="C3880" s="40">
        <v>3</v>
      </c>
      <c r="D3880" s="39" t="s">
        <v>1129</v>
      </c>
    </row>
    <row r="3881" spans="1:4" x14ac:dyDescent="0.25">
      <c r="A3881" s="41">
        <v>273513</v>
      </c>
      <c r="B3881" s="39" t="s">
        <v>5500</v>
      </c>
      <c r="C3881" s="40">
        <v>4</v>
      </c>
      <c r="D3881" s="38" t="s">
        <v>266</v>
      </c>
    </row>
    <row r="3882" spans="1:4" x14ac:dyDescent="0.25">
      <c r="A3882" s="41">
        <v>273516</v>
      </c>
      <c r="B3882" s="39" t="s">
        <v>5501</v>
      </c>
      <c r="C3882" s="40">
        <v>4</v>
      </c>
      <c r="D3882" s="38" t="s">
        <v>266</v>
      </c>
    </row>
    <row r="3883" spans="1:4" x14ac:dyDescent="0.25">
      <c r="A3883" s="41">
        <v>273519</v>
      </c>
      <c r="B3883" s="39" t="s">
        <v>5502</v>
      </c>
      <c r="C3883" s="40">
        <v>4</v>
      </c>
      <c r="D3883" s="38" t="s">
        <v>266</v>
      </c>
    </row>
    <row r="3884" spans="1:4" x14ac:dyDescent="0.25">
      <c r="A3884" s="41">
        <v>273523</v>
      </c>
      <c r="B3884" s="39" t="s">
        <v>5503</v>
      </c>
      <c r="C3884" s="40">
        <v>4</v>
      </c>
      <c r="D3884" s="38" t="s">
        <v>266</v>
      </c>
    </row>
    <row r="3885" spans="1:4" x14ac:dyDescent="0.25">
      <c r="A3885" s="41">
        <v>274000</v>
      </c>
      <c r="B3885" s="39" t="s">
        <v>5504</v>
      </c>
      <c r="C3885" s="40">
        <v>3</v>
      </c>
      <c r="D3885" s="38" t="s">
        <v>1131</v>
      </c>
    </row>
    <row r="3886" spans="1:4" x14ac:dyDescent="0.25">
      <c r="A3886" s="41">
        <v>274100</v>
      </c>
      <c r="B3886" s="39" t="s">
        <v>1134</v>
      </c>
      <c r="C3886" s="40">
        <v>3</v>
      </c>
      <c r="D3886" s="39" t="s">
        <v>1133</v>
      </c>
    </row>
    <row r="3887" spans="1:4" x14ac:dyDescent="0.25">
      <c r="A3887" s="41">
        <v>274113</v>
      </c>
      <c r="B3887" s="39" t="s">
        <v>5505</v>
      </c>
      <c r="C3887" s="40">
        <v>4</v>
      </c>
      <c r="D3887" s="38" t="s">
        <v>266</v>
      </c>
    </row>
    <row r="3888" spans="1:4" x14ac:dyDescent="0.25">
      <c r="A3888" s="41">
        <v>274116</v>
      </c>
      <c r="B3888" s="39" t="s">
        <v>5506</v>
      </c>
      <c r="C3888" s="40">
        <v>4</v>
      </c>
      <c r="D3888" s="38" t="s">
        <v>266</v>
      </c>
    </row>
    <row r="3889" spans="1:4" x14ac:dyDescent="0.25">
      <c r="A3889" s="42">
        <v>274116.25</v>
      </c>
      <c r="B3889" s="39" t="s">
        <v>5507</v>
      </c>
      <c r="C3889" s="40">
        <v>5</v>
      </c>
      <c r="D3889" s="38" t="s">
        <v>266</v>
      </c>
    </row>
    <row r="3890" spans="1:4" x14ac:dyDescent="0.25">
      <c r="A3890" s="42">
        <v>274116.28000000003</v>
      </c>
      <c r="B3890" s="39" t="s">
        <v>5508</v>
      </c>
      <c r="C3890" s="40">
        <v>5</v>
      </c>
      <c r="D3890" s="38" t="s">
        <v>266</v>
      </c>
    </row>
    <row r="3891" spans="1:4" x14ac:dyDescent="0.25">
      <c r="A3891" s="42">
        <v>274116.28999999998</v>
      </c>
      <c r="B3891" s="39" t="s">
        <v>5509</v>
      </c>
      <c r="C3891" s="40">
        <v>5</v>
      </c>
      <c r="D3891" s="38" t="s">
        <v>266</v>
      </c>
    </row>
    <row r="3892" spans="1:4" x14ac:dyDescent="0.25">
      <c r="A3892" s="42">
        <v>274116.51</v>
      </c>
      <c r="B3892" s="39" t="s">
        <v>5510</v>
      </c>
      <c r="C3892" s="40">
        <v>5</v>
      </c>
      <c r="D3892" s="38" t="s">
        <v>266</v>
      </c>
    </row>
    <row r="3893" spans="1:4" x14ac:dyDescent="0.25">
      <c r="A3893" s="42">
        <v>274116.52</v>
      </c>
      <c r="B3893" s="39" t="s">
        <v>5511</v>
      </c>
      <c r="C3893" s="40">
        <v>5</v>
      </c>
      <c r="D3893" s="38" t="s">
        <v>266</v>
      </c>
    </row>
    <row r="3894" spans="1:4" x14ac:dyDescent="0.25">
      <c r="A3894" s="42">
        <v>274116.61</v>
      </c>
      <c r="B3894" s="39" t="s">
        <v>5512</v>
      </c>
      <c r="C3894" s="40">
        <v>5</v>
      </c>
      <c r="D3894" s="38" t="s">
        <v>266</v>
      </c>
    </row>
    <row r="3895" spans="1:4" x14ac:dyDescent="0.25">
      <c r="A3895" s="42">
        <v>274116.62</v>
      </c>
      <c r="B3895" s="39" t="s">
        <v>5513</v>
      </c>
      <c r="C3895" s="40">
        <v>5</v>
      </c>
      <c r="D3895" s="38" t="s">
        <v>266</v>
      </c>
    </row>
    <row r="3896" spans="1:4" x14ac:dyDescent="0.25">
      <c r="A3896" s="42">
        <v>274116.63</v>
      </c>
      <c r="B3896" s="39" t="s">
        <v>5514</v>
      </c>
      <c r="C3896" s="40">
        <v>5</v>
      </c>
      <c r="D3896" s="38" t="s">
        <v>266</v>
      </c>
    </row>
    <row r="3897" spans="1:4" x14ac:dyDescent="0.25">
      <c r="A3897" s="41">
        <v>274119</v>
      </c>
      <c r="B3897" s="39" t="s">
        <v>5515</v>
      </c>
      <c r="C3897" s="40">
        <v>4</v>
      </c>
      <c r="D3897" s="38" t="s">
        <v>266</v>
      </c>
    </row>
    <row r="3898" spans="1:4" x14ac:dyDescent="0.25">
      <c r="A3898" s="41">
        <v>274123</v>
      </c>
      <c r="B3898" s="39" t="s">
        <v>5516</v>
      </c>
      <c r="C3898" s="40">
        <v>4</v>
      </c>
      <c r="D3898" s="38" t="s">
        <v>266</v>
      </c>
    </row>
    <row r="3899" spans="1:4" x14ac:dyDescent="0.25">
      <c r="A3899" s="41">
        <v>274133</v>
      </c>
      <c r="B3899" s="39" t="s">
        <v>5517</v>
      </c>
      <c r="C3899" s="40">
        <v>4</v>
      </c>
      <c r="D3899" s="38" t="s">
        <v>266</v>
      </c>
    </row>
    <row r="3900" spans="1:4" x14ac:dyDescent="0.25">
      <c r="A3900" s="41">
        <v>274143</v>
      </c>
      <c r="B3900" s="39" t="s">
        <v>5518</v>
      </c>
      <c r="C3900" s="40">
        <v>4</v>
      </c>
      <c r="D3900" s="38" t="s">
        <v>266</v>
      </c>
    </row>
    <row r="3901" spans="1:4" x14ac:dyDescent="0.25">
      <c r="A3901" s="41">
        <v>274200</v>
      </c>
      <c r="B3901" s="39" t="s">
        <v>1136</v>
      </c>
      <c r="C3901" s="40">
        <v>3</v>
      </c>
      <c r="D3901" s="39" t="s">
        <v>1135</v>
      </c>
    </row>
    <row r="3902" spans="1:4" x14ac:dyDescent="0.25">
      <c r="A3902" s="41">
        <v>274213</v>
      </c>
      <c r="B3902" s="39" t="s">
        <v>5519</v>
      </c>
      <c r="C3902" s="40">
        <v>4</v>
      </c>
      <c r="D3902" s="38" t="s">
        <v>266</v>
      </c>
    </row>
    <row r="3903" spans="1:4" x14ac:dyDescent="0.25">
      <c r="A3903" s="41">
        <v>274216</v>
      </c>
      <c r="B3903" s="39" t="s">
        <v>5520</v>
      </c>
      <c r="C3903" s="40">
        <v>4</v>
      </c>
      <c r="D3903" s="38" t="s">
        <v>266</v>
      </c>
    </row>
    <row r="3904" spans="1:4" x14ac:dyDescent="0.25">
      <c r="A3904" s="41">
        <v>274219</v>
      </c>
      <c r="B3904" s="39" t="s">
        <v>5521</v>
      </c>
      <c r="C3904" s="40">
        <v>4</v>
      </c>
      <c r="D3904" s="38" t="s">
        <v>266</v>
      </c>
    </row>
    <row r="3905" spans="1:4" x14ac:dyDescent="0.25">
      <c r="A3905" s="41">
        <v>275000</v>
      </c>
      <c r="B3905" s="39" t="s">
        <v>5522</v>
      </c>
      <c r="C3905" s="40">
        <v>3</v>
      </c>
      <c r="D3905" s="38" t="s">
        <v>1137</v>
      </c>
    </row>
    <row r="3906" spans="1:4" x14ac:dyDescent="0.25">
      <c r="A3906" s="41">
        <v>275100</v>
      </c>
      <c r="B3906" s="39" t="s">
        <v>5523</v>
      </c>
      <c r="C3906" s="40">
        <v>3</v>
      </c>
      <c r="D3906" s="38" t="s">
        <v>266</v>
      </c>
    </row>
    <row r="3907" spans="1:4" x14ac:dyDescent="0.25">
      <c r="A3907" s="41">
        <v>275113</v>
      </c>
      <c r="B3907" s="39" t="s">
        <v>5524</v>
      </c>
      <c r="C3907" s="40">
        <v>4</v>
      </c>
      <c r="D3907" s="38" t="s">
        <v>266</v>
      </c>
    </row>
    <row r="3908" spans="1:4" x14ac:dyDescent="0.25">
      <c r="A3908" s="42">
        <v>275113.13</v>
      </c>
      <c r="B3908" s="39" t="s">
        <v>5525</v>
      </c>
      <c r="C3908" s="40">
        <v>5</v>
      </c>
      <c r="D3908" s="38" t="s">
        <v>266</v>
      </c>
    </row>
    <row r="3909" spans="1:4" x14ac:dyDescent="0.25">
      <c r="A3909" s="41">
        <v>275116</v>
      </c>
      <c r="B3909" s="39" t="s">
        <v>5526</v>
      </c>
      <c r="C3909" s="40">
        <v>4</v>
      </c>
      <c r="D3909" s="38" t="s">
        <v>266</v>
      </c>
    </row>
    <row r="3910" spans="1:4" x14ac:dyDescent="0.25">
      <c r="A3910" s="41">
        <v>275119</v>
      </c>
      <c r="B3910" s="39" t="s">
        <v>5527</v>
      </c>
      <c r="C3910" s="40">
        <v>4</v>
      </c>
      <c r="D3910" s="38" t="s">
        <v>266</v>
      </c>
    </row>
    <row r="3911" spans="1:4" x14ac:dyDescent="0.25">
      <c r="A3911" s="41">
        <v>275123</v>
      </c>
      <c r="B3911" s="39" t="s">
        <v>5528</v>
      </c>
      <c r="C3911" s="40">
        <v>4</v>
      </c>
      <c r="D3911" s="38" t="s">
        <v>266</v>
      </c>
    </row>
    <row r="3912" spans="1:4" x14ac:dyDescent="0.25">
      <c r="A3912" s="42">
        <v>275123.20000000001</v>
      </c>
      <c r="B3912" s="39" t="s">
        <v>5529</v>
      </c>
      <c r="C3912" s="40">
        <v>5</v>
      </c>
      <c r="D3912" s="38" t="s">
        <v>266</v>
      </c>
    </row>
    <row r="3913" spans="1:4" x14ac:dyDescent="0.25">
      <c r="A3913" s="42">
        <v>275123.3</v>
      </c>
      <c r="B3913" s="39" t="s">
        <v>5530</v>
      </c>
      <c r="C3913" s="40">
        <v>5</v>
      </c>
      <c r="D3913" s="38" t="s">
        <v>266</v>
      </c>
    </row>
    <row r="3914" spans="1:4" x14ac:dyDescent="0.25">
      <c r="A3914" s="42">
        <v>275123.5</v>
      </c>
      <c r="B3914" s="39" t="s">
        <v>5531</v>
      </c>
      <c r="C3914" s="40">
        <v>5</v>
      </c>
      <c r="D3914" s="38" t="s">
        <v>266</v>
      </c>
    </row>
    <row r="3915" spans="1:4" x14ac:dyDescent="0.25">
      <c r="A3915" s="42">
        <v>275123.63</v>
      </c>
      <c r="B3915" s="39" t="s">
        <v>5532</v>
      </c>
      <c r="C3915" s="40">
        <v>5</v>
      </c>
      <c r="D3915" s="38" t="s">
        <v>266</v>
      </c>
    </row>
    <row r="3916" spans="1:4" x14ac:dyDescent="0.25">
      <c r="A3916" s="42">
        <v>275123.7</v>
      </c>
      <c r="B3916" s="39" t="s">
        <v>5533</v>
      </c>
      <c r="C3916" s="40">
        <v>5</v>
      </c>
      <c r="D3916" s="38" t="s">
        <v>266</v>
      </c>
    </row>
    <row r="3917" spans="1:4" x14ac:dyDescent="0.25">
      <c r="A3917" s="41">
        <v>275126</v>
      </c>
      <c r="B3917" s="39" t="s">
        <v>5534</v>
      </c>
      <c r="C3917" s="40">
        <v>4</v>
      </c>
      <c r="D3917" s="38" t="s">
        <v>266</v>
      </c>
    </row>
    <row r="3918" spans="1:4" x14ac:dyDescent="0.25">
      <c r="A3918" s="41">
        <v>275200</v>
      </c>
      <c r="B3918" s="39" t="s">
        <v>5535</v>
      </c>
      <c r="C3918" s="40">
        <v>3</v>
      </c>
      <c r="D3918" s="38" t="s">
        <v>266</v>
      </c>
    </row>
    <row r="3919" spans="1:4" x14ac:dyDescent="0.25">
      <c r="A3919" s="41">
        <v>275213</v>
      </c>
      <c r="B3919" s="39" t="s">
        <v>5536</v>
      </c>
      <c r="C3919" s="40">
        <v>4</v>
      </c>
      <c r="D3919" s="38" t="s">
        <v>266</v>
      </c>
    </row>
    <row r="3920" spans="1:4" x14ac:dyDescent="0.25">
      <c r="A3920" s="41">
        <v>275216</v>
      </c>
      <c r="B3920" s="39" t="s">
        <v>5537</v>
      </c>
      <c r="C3920" s="40">
        <v>4</v>
      </c>
      <c r="D3920" s="38" t="s">
        <v>266</v>
      </c>
    </row>
    <row r="3921" spans="1:4" x14ac:dyDescent="0.25">
      <c r="A3921" s="41">
        <v>275219</v>
      </c>
      <c r="B3921" s="39" t="s">
        <v>5538</v>
      </c>
      <c r="C3921" s="40">
        <v>4</v>
      </c>
      <c r="D3921" s="38" t="s">
        <v>266</v>
      </c>
    </row>
    <row r="3922" spans="1:4" x14ac:dyDescent="0.25">
      <c r="A3922" s="41">
        <v>275223</v>
      </c>
      <c r="B3922" s="39" t="s">
        <v>5539</v>
      </c>
      <c r="C3922" s="40">
        <v>4</v>
      </c>
      <c r="D3922" s="38" t="s">
        <v>266</v>
      </c>
    </row>
    <row r="3923" spans="1:4" x14ac:dyDescent="0.25">
      <c r="A3923" s="41">
        <v>275300</v>
      </c>
      <c r="B3923" s="39" t="s">
        <v>1144</v>
      </c>
      <c r="C3923" s="40">
        <v>3</v>
      </c>
      <c r="D3923" s="39" t="s">
        <v>1143</v>
      </c>
    </row>
    <row r="3924" spans="1:4" x14ac:dyDescent="0.25">
      <c r="A3924" s="41">
        <v>275313</v>
      </c>
      <c r="B3924" s="39" t="s">
        <v>5540</v>
      </c>
      <c r="C3924" s="40">
        <v>4</v>
      </c>
      <c r="D3924" s="38" t="s">
        <v>266</v>
      </c>
    </row>
    <row r="3925" spans="1:4" x14ac:dyDescent="0.25">
      <c r="A3925" s="42">
        <v>275313.13</v>
      </c>
      <c r="B3925" s="39" t="s">
        <v>5541</v>
      </c>
      <c r="C3925" s="40">
        <v>5</v>
      </c>
      <c r="D3925" s="38" t="s">
        <v>266</v>
      </c>
    </row>
    <row r="3926" spans="1:4" x14ac:dyDescent="0.25">
      <c r="A3926" s="41">
        <v>275316</v>
      </c>
      <c r="B3926" s="39" t="s">
        <v>5542</v>
      </c>
      <c r="C3926" s="40">
        <v>4</v>
      </c>
      <c r="D3926" s="38" t="s">
        <v>266</v>
      </c>
    </row>
    <row r="3927" spans="1:4" x14ac:dyDescent="0.25">
      <c r="A3927" s="41">
        <v>275319</v>
      </c>
      <c r="B3927" s="39" t="s">
        <v>5543</v>
      </c>
      <c r="C3927" s="40">
        <v>4</v>
      </c>
      <c r="D3927" s="38" t="s">
        <v>266</v>
      </c>
    </row>
    <row r="3928" spans="1:4" x14ac:dyDescent="0.25">
      <c r="A3928" s="41">
        <v>276000</v>
      </c>
      <c r="B3928" s="39" t="s">
        <v>5489</v>
      </c>
      <c r="C3928" s="40">
        <v>3</v>
      </c>
      <c r="D3928" s="38" t="s">
        <v>266</v>
      </c>
    </row>
    <row r="3929" spans="1:4" x14ac:dyDescent="0.25">
      <c r="A3929" s="41">
        <v>280000</v>
      </c>
      <c r="B3929" s="39" t="s">
        <v>1150</v>
      </c>
      <c r="C3929" s="40">
        <v>2</v>
      </c>
      <c r="D3929" s="38" t="s">
        <v>1149</v>
      </c>
    </row>
    <row r="3930" spans="1:4" x14ac:dyDescent="0.25">
      <c r="A3930" s="41">
        <v>280100</v>
      </c>
      <c r="B3930" s="39" t="s">
        <v>5544</v>
      </c>
      <c r="C3930" s="40">
        <v>3</v>
      </c>
      <c r="D3930" s="38" t="s">
        <v>266</v>
      </c>
    </row>
    <row r="3931" spans="1:4" x14ac:dyDescent="0.25">
      <c r="A3931" s="41">
        <v>280110</v>
      </c>
      <c r="B3931" s="39" t="s">
        <v>5545</v>
      </c>
      <c r="C3931" s="40">
        <v>4</v>
      </c>
      <c r="D3931" s="38" t="s">
        <v>266</v>
      </c>
    </row>
    <row r="3932" spans="1:4" x14ac:dyDescent="0.25">
      <c r="A3932" s="42">
        <v>280110.51</v>
      </c>
      <c r="B3932" s="39" t="s">
        <v>5546</v>
      </c>
      <c r="C3932" s="40">
        <v>5</v>
      </c>
      <c r="D3932" s="38" t="s">
        <v>266</v>
      </c>
    </row>
    <row r="3933" spans="1:4" x14ac:dyDescent="0.25">
      <c r="A3933" s="42">
        <v>280110.71000000002</v>
      </c>
      <c r="B3933" s="39" t="s">
        <v>5547</v>
      </c>
      <c r="C3933" s="40">
        <v>5</v>
      </c>
      <c r="D3933" s="38" t="s">
        <v>266</v>
      </c>
    </row>
    <row r="3934" spans="1:4" x14ac:dyDescent="0.25">
      <c r="A3934" s="41">
        <v>280120</v>
      </c>
      <c r="B3934" s="39" t="s">
        <v>5548</v>
      </c>
      <c r="C3934" s="40">
        <v>4</v>
      </c>
      <c r="D3934" s="38" t="s">
        <v>266</v>
      </c>
    </row>
    <row r="3935" spans="1:4" x14ac:dyDescent="0.25">
      <c r="A3935" s="41">
        <v>280130</v>
      </c>
      <c r="B3935" s="39" t="s">
        <v>5549</v>
      </c>
      <c r="C3935" s="40">
        <v>4</v>
      </c>
      <c r="D3935" s="38" t="s">
        <v>266</v>
      </c>
    </row>
    <row r="3936" spans="1:4" x14ac:dyDescent="0.25">
      <c r="A3936" s="42">
        <v>280130.51</v>
      </c>
      <c r="B3936" s="39" t="s">
        <v>5550</v>
      </c>
      <c r="C3936" s="40">
        <v>5</v>
      </c>
      <c r="D3936" s="38" t="s">
        <v>266</v>
      </c>
    </row>
    <row r="3937" spans="1:4" x14ac:dyDescent="0.25">
      <c r="A3937" s="42">
        <v>280130.71000000002</v>
      </c>
      <c r="B3937" s="39" t="s">
        <v>5551</v>
      </c>
      <c r="C3937" s="40">
        <v>5</v>
      </c>
      <c r="D3937" s="38" t="s">
        <v>266</v>
      </c>
    </row>
    <row r="3938" spans="1:4" x14ac:dyDescent="0.25">
      <c r="A3938" s="41">
        <v>280140</v>
      </c>
      <c r="B3938" s="39" t="s">
        <v>5552</v>
      </c>
      <c r="C3938" s="40">
        <v>4</v>
      </c>
      <c r="D3938" s="38" t="s">
        <v>266</v>
      </c>
    </row>
    <row r="3939" spans="1:4" x14ac:dyDescent="0.25">
      <c r="A3939" s="42">
        <v>280140.51</v>
      </c>
      <c r="B3939" s="39" t="s">
        <v>5553</v>
      </c>
      <c r="C3939" s="40">
        <v>5</v>
      </c>
      <c r="D3939" s="38" t="s">
        <v>266</v>
      </c>
    </row>
    <row r="3940" spans="1:4" x14ac:dyDescent="0.25">
      <c r="A3940" s="42">
        <v>280140.71000000002</v>
      </c>
      <c r="B3940" s="39" t="s">
        <v>5554</v>
      </c>
      <c r="C3940" s="40">
        <v>5</v>
      </c>
      <c r="D3940" s="38" t="s">
        <v>266</v>
      </c>
    </row>
    <row r="3941" spans="1:4" x14ac:dyDescent="0.25">
      <c r="A3941" s="41">
        <v>280500</v>
      </c>
      <c r="B3941" s="39" t="s">
        <v>5555</v>
      </c>
      <c r="C3941" s="40">
        <v>3</v>
      </c>
      <c r="D3941" s="38" t="s">
        <v>266</v>
      </c>
    </row>
    <row r="3942" spans="1:4" x14ac:dyDescent="0.25">
      <c r="A3942" s="41">
        <v>280513</v>
      </c>
      <c r="B3942" s="39" t="s">
        <v>5556</v>
      </c>
      <c r="C3942" s="40">
        <v>4</v>
      </c>
      <c r="D3942" s="38" t="s">
        <v>266</v>
      </c>
    </row>
    <row r="3943" spans="1:4" x14ac:dyDescent="0.25">
      <c r="A3943" s="42">
        <v>280513.13</v>
      </c>
      <c r="B3943" s="39" t="s">
        <v>5557</v>
      </c>
      <c r="C3943" s="40">
        <v>5</v>
      </c>
      <c r="D3943" s="38" t="s">
        <v>266</v>
      </c>
    </row>
    <row r="3944" spans="1:4" x14ac:dyDescent="0.25">
      <c r="A3944" s="42">
        <v>280513.15999999997</v>
      </c>
      <c r="B3944" s="39" t="s">
        <v>5558</v>
      </c>
      <c r="C3944" s="40">
        <v>5</v>
      </c>
      <c r="D3944" s="38" t="s">
        <v>266</v>
      </c>
    </row>
    <row r="3945" spans="1:4" x14ac:dyDescent="0.25">
      <c r="A3945" s="42">
        <v>280513.19</v>
      </c>
      <c r="B3945" s="39" t="s">
        <v>5559</v>
      </c>
      <c r="C3945" s="40">
        <v>5</v>
      </c>
      <c r="D3945" s="38" t="s">
        <v>266</v>
      </c>
    </row>
    <row r="3946" spans="1:4" x14ac:dyDescent="0.25">
      <c r="A3946" s="42">
        <v>280513.23</v>
      </c>
      <c r="B3946" s="39" t="s">
        <v>5560</v>
      </c>
      <c r="C3946" s="40">
        <v>5</v>
      </c>
      <c r="D3946" s="38" t="s">
        <v>266</v>
      </c>
    </row>
    <row r="3947" spans="1:4" x14ac:dyDescent="0.25">
      <c r="A3947" s="41">
        <v>280526</v>
      </c>
      <c r="B3947" s="39" t="s">
        <v>5561</v>
      </c>
      <c r="C3947" s="40">
        <v>4</v>
      </c>
      <c r="D3947" s="38" t="s">
        <v>266</v>
      </c>
    </row>
    <row r="3948" spans="1:4" x14ac:dyDescent="0.25">
      <c r="A3948" s="41">
        <v>280528</v>
      </c>
      <c r="B3948" s="39" t="s">
        <v>5562</v>
      </c>
      <c r="C3948" s="40">
        <v>4</v>
      </c>
      <c r="D3948" s="38" t="s">
        <v>266</v>
      </c>
    </row>
    <row r="3949" spans="1:4" x14ac:dyDescent="0.25">
      <c r="A3949" s="42">
        <v>280528.28999999998</v>
      </c>
      <c r="B3949" s="39" t="s">
        <v>5563</v>
      </c>
      <c r="C3949" s="40">
        <v>5</v>
      </c>
      <c r="D3949" s="38" t="s">
        <v>266</v>
      </c>
    </row>
    <row r="3950" spans="1:4" x14ac:dyDescent="0.25">
      <c r="A3950" s="42">
        <v>280528.33</v>
      </c>
      <c r="B3950" s="39" t="s">
        <v>5564</v>
      </c>
      <c r="C3950" s="40">
        <v>5</v>
      </c>
      <c r="D3950" s="38" t="s">
        <v>266</v>
      </c>
    </row>
    <row r="3951" spans="1:4" x14ac:dyDescent="0.25">
      <c r="A3951" s="42">
        <v>280528.36</v>
      </c>
      <c r="B3951" s="39" t="s">
        <v>5565</v>
      </c>
      <c r="C3951" s="40">
        <v>5</v>
      </c>
      <c r="D3951" s="38" t="s">
        <v>266</v>
      </c>
    </row>
    <row r="3952" spans="1:4" x14ac:dyDescent="0.25">
      <c r="A3952" s="42">
        <v>280528.39</v>
      </c>
      <c r="B3952" s="39" t="s">
        <v>5566</v>
      </c>
      <c r="C3952" s="40">
        <v>5</v>
      </c>
      <c r="D3952" s="38" t="s">
        <v>266</v>
      </c>
    </row>
    <row r="3953" spans="1:4" x14ac:dyDescent="0.25">
      <c r="A3953" s="41">
        <v>280548</v>
      </c>
      <c r="B3953" s="39" t="s">
        <v>5567</v>
      </c>
      <c r="C3953" s="40">
        <v>4</v>
      </c>
      <c r="D3953" s="38" t="s">
        <v>266</v>
      </c>
    </row>
    <row r="3954" spans="1:4" x14ac:dyDescent="0.25">
      <c r="A3954" s="41">
        <v>280553</v>
      </c>
      <c r="B3954" s="39" t="s">
        <v>5568</v>
      </c>
      <c r="C3954" s="40">
        <v>4</v>
      </c>
      <c r="D3954" s="38" t="s">
        <v>266</v>
      </c>
    </row>
    <row r="3955" spans="1:4" x14ac:dyDescent="0.25">
      <c r="A3955" s="41">
        <v>280800</v>
      </c>
      <c r="B3955" s="39" t="s">
        <v>5569</v>
      </c>
      <c r="C3955" s="40">
        <v>3</v>
      </c>
      <c r="D3955" s="38" t="s">
        <v>266</v>
      </c>
    </row>
    <row r="3956" spans="1:4" x14ac:dyDescent="0.25">
      <c r="A3956" s="41">
        <v>281000</v>
      </c>
      <c r="B3956" s="39" t="s">
        <v>5570</v>
      </c>
      <c r="C3956" s="40">
        <v>3</v>
      </c>
      <c r="D3956" s="38" t="s">
        <v>1151</v>
      </c>
    </row>
    <row r="3957" spans="1:4" x14ac:dyDescent="0.25">
      <c r="A3957" s="41">
        <v>281300</v>
      </c>
      <c r="B3957" s="39" t="s">
        <v>1154</v>
      </c>
      <c r="C3957" s="40">
        <v>3</v>
      </c>
      <c r="D3957" s="39" t="s">
        <v>1153</v>
      </c>
    </row>
    <row r="3958" spans="1:4" x14ac:dyDescent="0.25">
      <c r="A3958" s="41">
        <v>281313</v>
      </c>
      <c r="B3958" s="39" t="s">
        <v>5571</v>
      </c>
      <c r="C3958" s="40">
        <v>4</v>
      </c>
      <c r="D3958" s="38" t="s">
        <v>266</v>
      </c>
    </row>
    <row r="3959" spans="1:4" x14ac:dyDescent="0.25">
      <c r="A3959" s="41">
        <v>281316</v>
      </c>
      <c r="B3959" s="39" t="s">
        <v>5572</v>
      </c>
      <c r="C3959" s="40">
        <v>4</v>
      </c>
      <c r="D3959" s="38" t="s">
        <v>266</v>
      </c>
    </row>
    <row r="3960" spans="1:4" x14ac:dyDescent="0.25">
      <c r="A3960" s="41">
        <v>281319</v>
      </c>
      <c r="B3960" s="39" t="s">
        <v>5573</v>
      </c>
      <c r="C3960" s="40">
        <v>4</v>
      </c>
      <c r="D3960" s="38" t="s">
        <v>266</v>
      </c>
    </row>
    <row r="3961" spans="1:4" x14ac:dyDescent="0.25">
      <c r="A3961" s="41">
        <v>281326</v>
      </c>
      <c r="B3961" s="39" t="s">
        <v>5574</v>
      </c>
      <c r="C3961" s="40">
        <v>4</v>
      </c>
      <c r="D3961" s="38" t="s">
        <v>266</v>
      </c>
    </row>
    <row r="3962" spans="1:4" x14ac:dyDescent="0.25">
      <c r="A3962" s="41">
        <v>281333</v>
      </c>
      <c r="B3962" s="39" t="s">
        <v>5575</v>
      </c>
      <c r="C3962" s="40">
        <v>4</v>
      </c>
      <c r="D3962" s="38" t="s">
        <v>266</v>
      </c>
    </row>
    <row r="3963" spans="1:4" x14ac:dyDescent="0.25">
      <c r="A3963" s="42">
        <v>281333.15999999997</v>
      </c>
      <c r="B3963" s="39" t="s">
        <v>5576</v>
      </c>
      <c r="C3963" s="40">
        <v>5</v>
      </c>
      <c r="D3963" s="38" t="s">
        <v>266</v>
      </c>
    </row>
    <row r="3964" spans="1:4" x14ac:dyDescent="0.25">
      <c r="A3964" s="42">
        <v>281333.26</v>
      </c>
      <c r="B3964" s="39" t="s">
        <v>5577</v>
      </c>
      <c r="C3964" s="40">
        <v>5</v>
      </c>
      <c r="D3964" s="38" t="s">
        <v>266</v>
      </c>
    </row>
    <row r="3965" spans="1:4" x14ac:dyDescent="0.25">
      <c r="A3965" s="42">
        <v>281333.33</v>
      </c>
      <c r="B3965" s="39" t="s">
        <v>5578</v>
      </c>
      <c r="C3965" s="40">
        <v>5</v>
      </c>
      <c r="D3965" s="38" t="s">
        <v>266</v>
      </c>
    </row>
    <row r="3966" spans="1:4" x14ac:dyDescent="0.25">
      <c r="A3966" s="42">
        <v>281333.36</v>
      </c>
      <c r="B3966" s="39" t="s">
        <v>5579</v>
      </c>
      <c r="C3966" s="40">
        <v>5</v>
      </c>
      <c r="D3966" s="38" t="s">
        <v>266</v>
      </c>
    </row>
    <row r="3967" spans="1:4" x14ac:dyDescent="0.25">
      <c r="A3967" s="41">
        <v>281343</v>
      </c>
      <c r="B3967" s="39" t="s">
        <v>5580</v>
      </c>
      <c r="C3967" s="40">
        <v>4</v>
      </c>
      <c r="D3967" s="38" t="s">
        <v>266</v>
      </c>
    </row>
    <row r="3968" spans="1:4" x14ac:dyDescent="0.25">
      <c r="A3968" s="41">
        <v>281353</v>
      </c>
      <c r="B3968" s="39" t="s">
        <v>5581</v>
      </c>
      <c r="C3968" s="40">
        <v>4</v>
      </c>
      <c r="D3968" s="38" t="s">
        <v>266</v>
      </c>
    </row>
    <row r="3969" spans="1:4" x14ac:dyDescent="0.25">
      <c r="A3969" s="42">
        <v>281353.13</v>
      </c>
      <c r="B3969" s="39" t="s">
        <v>5582</v>
      </c>
      <c r="C3969" s="40">
        <v>5</v>
      </c>
      <c r="D3969" s="38" t="s">
        <v>266</v>
      </c>
    </row>
    <row r="3970" spans="1:4" x14ac:dyDescent="0.25">
      <c r="A3970" s="42">
        <v>281353.15999999997</v>
      </c>
      <c r="B3970" s="39" t="s">
        <v>5583</v>
      </c>
      <c r="C3970" s="40">
        <v>5</v>
      </c>
      <c r="D3970" s="38" t="s">
        <v>266</v>
      </c>
    </row>
    <row r="3971" spans="1:4" x14ac:dyDescent="0.25">
      <c r="A3971" s="42">
        <v>281353.23</v>
      </c>
      <c r="B3971" s="39" t="s">
        <v>5584</v>
      </c>
      <c r="C3971" s="40">
        <v>5</v>
      </c>
      <c r="D3971" s="38" t="s">
        <v>266</v>
      </c>
    </row>
    <row r="3972" spans="1:4" x14ac:dyDescent="0.25">
      <c r="A3972" s="42">
        <v>281353.28999999998</v>
      </c>
      <c r="B3972" s="39" t="s">
        <v>5585</v>
      </c>
      <c r="C3972" s="40">
        <v>5</v>
      </c>
      <c r="D3972" s="38" t="s">
        <v>266</v>
      </c>
    </row>
    <row r="3973" spans="1:4" x14ac:dyDescent="0.25">
      <c r="A3973" s="41">
        <v>281363</v>
      </c>
      <c r="B3973" s="39" t="s">
        <v>5586</v>
      </c>
      <c r="C3973" s="40">
        <v>4</v>
      </c>
      <c r="D3973" s="38" t="s">
        <v>266</v>
      </c>
    </row>
    <row r="3974" spans="1:4" x14ac:dyDescent="0.25">
      <c r="A3974" s="41">
        <v>281600</v>
      </c>
      <c r="B3974" s="39" t="s">
        <v>1156</v>
      </c>
      <c r="C3974" s="40">
        <v>3</v>
      </c>
      <c r="D3974" s="38" t="s">
        <v>266</v>
      </c>
    </row>
    <row r="3975" spans="1:4" x14ac:dyDescent="0.25">
      <c r="A3975" s="41">
        <v>281613</v>
      </c>
      <c r="B3975" s="39" t="s">
        <v>5587</v>
      </c>
      <c r="C3975" s="40">
        <v>4</v>
      </c>
      <c r="D3975" s="38" t="s">
        <v>266</v>
      </c>
    </row>
    <row r="3976" spans="1:4" x14ac:dyDescent="0.25">
      <c r="A3976" s="41">
        <v>281616</v>
      </c>
      <c r="B3976" s="39" t="s">
        <v>5588</v>
      </c>
      <c r="C3976" s="40">
        <v>4</v>
      </c>
      <c r="D3976" s="38" t="s">
        <v>266</v>
      </c>
    </row>
    <row r="3977" spans="1:4" x14ac:dyDescent="0.25">
      <c r="A3977" s="41">
        <v>281619</v>
      </c>
      <c r="B3977" s="39" t="s">
        <v>5589</v>
      </c>
      <c r="C3977" s="40">
        <v>4</v>
      </c>
      <c r="D3977" s="38" t="s">
        <v>266</v>
      </c>
    </row>
    <row r="3978" spans="1:4" x14ac:dyDescent="0.25">
      <c r="A3978" s="41">
        <v>281633</v>
      </c>
      <c r="B3978" s="39" t="s">
        <v>5590</v>
      </c>
      <c r="C3978" s="40">
        <v>4</v>
      </c>
      <c r="D3978" s="38" t="s">
        <v>266</v>
      </c>
    </row>
    <row r="3979" spans="1:4" x14ac:dyDescent="0.25">
      <c r="A3979" s="42">
        <v>281633.13</v>
      </c>
      <c r="B3979" s="39" t="s">
        <v>5591</v>
      </c>
      <c r="C3979" s="40">
        <v>5</v>
      </c>
      <c r="D3979" s="38" t="s">
        <v>266</v>
      </c>
    </row>
    <row r="3980" spans="1:4" x14ac:dyDescent="0.25">
      <c r="A3980" s="42">
        <v>281633.15999999997</v>
      </c>
      <c r="B3980" s="39" t="s">
        <v>5592</v>
      </c>
      <c r="C3980" s="40">
        <v>5</v>
      </c>
      <c r="D3980" s="38" t="s">
        <v>266</v>
      </c>
    </row>
    <row r="3981" spans="1:4" x14ac:dyDescent="0.25">
      <c r="A3981" s="42">
        <v>281633.23</v>
      </c>
      <c r="B3981" s="39" t="s">
        <v>5593</v>
      </c>
      <c r="C3981" s="40">
        <v>5</v>
      </c>
      <c r="D3981" s="38" t="s">
        <v>266</v>
      </c>
    </row>
    <row r="3982" spans="1:4" x14ac:dyDescent="0.25">
      <c r="A3982" s="42">
        <v>281633.33</v>
      </c>
      <c r="B3982" s="39" t="s">
        <v>5594</v>
      </c>
      <c r="C3982" s="40">
        <v>5</v>
      </c>
      <c r="D3982" s="38" t="s">
        <v>266</v>
      </c>
    </row>
    <row r="3983" spans="1:4" x14ac:dyDescent="0.25">
      <c r="A3983" s="42">
        <v>281633.36</v>
      </c>
      <c r="B3983" s="39" t="s">
        <v>5595</v>
      </c>
      <c r="C3983" s="40">
        <v>5</v>
      </c>
      <c r="D3983" s="38" t="s">
        <v>266</v>
      </c>
    </row>
    <row r="3984" spans="1:4" x14ac:dyDescent="0.25">
      <c r="A3984" s="41">
        <v>281643</v>
      </c>
      <c r="B3984" s="39" t="s">
        <v>5596</v>
      </c>
      <c r="C3984" s="40">
        <v>4</v>
      </c>
      <c r="D3984" s="38" t="s">
        <v>266</v>
      </c>
    </row>
    <row r="3985" spans="1:4" x14ac:dyDescent="0.25">
      <c r="A3985" s="41">
        <v>282000</v>
      </c>
      <c r="B3985" s="39" t="s">
        <v>1158</v>
      </c>
      <c r="C3985" s="40">
        <v>3</v>
      </c>
      <c r="D3985" s="38" t="s">
        <v>1157</v>
      </c>
    </row>
    <row r="3986" spans="1:4" x14ac:dyDescent="0.25">
      <c r="A3986" s="41">
        <v>282300</v>
      </c>
      <c r="B3986" s="39" t="s">
        <v>1160</v>
      </c>
      <c r="C3986" s="40">
        <v>3</v>
      </c>
      <c r="D3986" s="39" t="s">
        <v>1159</v>
      </c>
    </row>
    <row r="3987" spans="1:4" x14ac:dyDescent="0.25">
      <c r="A3987" s="41">
        <v>282313</v>
      </c>
      <c r="B3987" s="39" t="s">
        <v>5597</v>
      </c>
      <c r="C3987" s="40">
        <v>4</v>
      </c>
      <c r="D3987" s="38" t="s">
        <v>266</v>
      </c>
    </row>
    <row r="3988" spans="1:4" x14ac:dyDescent="0.25">
      <c r="A3988" s="41">
        <v>282316</v>
      </c>
      <c r="B3988" s="39" t="s">
        <v>5598</v>
      </c>
      <c r="C3988" s="40">
        <v>4</v>
      </c>
      <c r="D3988" s="38" t="s">
        <v>266</v>
      </c>
    </row>
    <row r="3989" spans="1:4" x14ac:dyDescent="0.25">
      <c r="A3989" s="41">
        <v>282319</v>
      </c>
      <c r="B3989" s="39" t="s">
        <v>5599</v>
      </c>
      <c r="C3989" s="40">
        <v>4</v>
      </c>
      <c r="D3989" s="38" t="s">
        <v>266</v>
      </c>
    </row>
    <row r="3990" spans="1:4" x14ac:dyDescent="0.25">
      <c r="A3990" s="41">
        <v>282323</v>
      </c>
      <c r="B3990" s="39" t="s">
        <v>5600</v>
      </c>
      <c r="C3990" s="40">
        <v>4</v>
      </c>
      <c r="D3990" s="38" t="s">
        <v>266</v>
      </c>
    </row>
    <row r="3991" spans="1:4" x14ac:dyDescent="0.25">
      <c r="A3991" s="41">
        <v>282326</v>
      </c>
      <c r="B3991" s="39" t="s">
        <v>5601</v>
      </c>
      <c r="C3991" s="40">
        <v>4</v>
      </c>
      <c r="D3991" s="38" t="s">
        <v>266</v>
      </c>
    </row>
    <row r="3992" spans="1:4" x14ac:dyDescent="0.25">
      <c r="A3992" s="41">
        <v>282329</v>
      </c>
      <c r="B3992" s="39" t="s">
        <v>5602</v>
      </c>
      <c r="C3992" s="40">
        <v>4</v>
      </c>
      <c r="D3992" s="38" t="s">
        <v>266</v>
      </c>
    </row>
    <row r="3993" spans="1:4" x14ac:dyDescent="0.25">
      <c r="A3993" s="41">
        <v>282600</v>
      </c>
      <c r="B3993" s="39" t="s">
        <v>5603</v>
      </c>
      <c r="C3993" s="40">
        <v>3</v>
      </c>
      <c r="D3993" s="38" t="s">
        <v>266</v>
      </c>
    </row>
    <row r="3994" spans="1:4" x14ac:dyDescent="0.25">
      <c r="A3994" s="41">
        <v>282613</v>
      </c>
      <c r="B3994" s="39" t="s">
        <v>5604</v>
      </c>
      <c r="C3994" s="40">
        <v>4</v>
      </c>
      <c r="D3994" s="38" t="s">
        <v>266</v>
      </c>
    </row>
    <row r="3995" spans="1:4" x14ac:dyDescent="0.25">
      <c r="A3995" s="41">
        <v>282616</v>
      </c>
      <c r="B3995" s="39" t="s">
        <v>5605</v>
      </c>
      <c r="C3995" s="40">
        <v>4</v>
      </c>
      <c r="D3995" s="38" t="s">
        <v>266</v>
      </c>
    </row>
    <row r="3996" spans="1:4" x14ac:dyDescent="0.25">
      <c r="A3996" s="41">
        <v>282619</v>
      </c>
      <c r="B3996" s="39" t="s">
        <v>5606</v>
      </c>
      <c r="C3996" s="40">
        <v>4</v>
      </c>
      <c r="D3996" s="38" t="s">
        <v>266</v>
      </c>
    </row>
    <row r="3997" spans="1:4" x14ac:dyDescent="0.25">
      <c r="A3997" s="41">
        <v>282623</v>
      </c>
      <c r="B3997" s="39" t="s">
        <v>5607</v>
      </c>
      <c r="C3997" s="40">
        <v>4</v>
      </c>
      <c r="D3997" s="38" t="s">
        <v>266</v>
      </c>
    </row>
    <row r="3998" spans="1:4" x14ac:dyDescent="0.25">
      <c r="A3998" s="41">
        <v>283000</v>
      </c>
      <c r="B3998" s="39" t="s">
        <v>5608</v>
      </c>
      <c r="C3998" s="40">
        <v>3</v>
      </c>
      <c r="D3998" s="38" t="s">
        <v>1163</v>
      </c>
    </row>
    <row r="3999" spans="1:4" x14ac:dyDescent="0.25">
      <c r="A3999" s="41">
        <v>283100</v>
      </c>
      <c r="B3999" s="39" t="s">
        <v>1166</v>
      </c>
      <c r="C3999" s="40">
        <v>3</v>
      </c>
      <c r="D3999" s="39" t="s">
        <v>1165</v>
      </c>
    </row>
    <row r="4000" spans="1:4" x14ac:dyDescent="0.25">
      <c r="A4000" s="41">
        <v>283111</v>
      </c>
      <c r="B4000" s="39" t="s">
        <v>5609</v>
      </c>
      <c r="C4000" s="40">
        <v>4</v>
      </c>
      <c r="D4000" s="38" t="s">
        <v>266</v>
      </c>
    </row>
    <row r="4001" spans="1:4" x14ac:dyDescent="0.25">
      <c r="A4001" s="41">
        <v>283112</v>
      </c>
      <c r="B4001" s="39" t="s">
        <v>5610</v>
      </c>
      <c r="C4001" s="40">
        <v>4</v>
      </c>
      <c r="D4001" s="38" t="s">
        <v>266</v>
      </c>
    </row>
    <row r="4002" spans="1:4" x14ac:dyDescent="0.25">
      <c r="A4002" s="41">
        <v>283113</v>
      </c>
      <c r="B4002" s="39" t="s">
        <v>5611</v>
      </c>
      <c r="C4002" s="40">
        <v>4</v>
      </c>
      <c r="D4002" s="38" t="s">
        <v>266</v>
      </c>
    </row>
    <row r="4003" spans="1:4" x14ac:dyDescent="0.25">
      <c r="A4003" s="41">
        <v>283123</v>
      </c>
      <c r="B4003" s="39" t="s">
        <v>5612</v>
      </c>
      <c r="C4003" s="40">
        <v>4</v>
      </c>
      <c r="D4003" s="38" t="s">
        <v>266</v>
      </c>
    </row>
    <row r="4004" spans="1:4" x14ac:dyDescent="0.25">
      <c r="A4004" s="41">
        <v>283133</v>
      </c>
      <c r="B4004" s="39" t="s">
        <v>5613</v>
      </c>
      <c r="C4004" s="40">
        <v>4</v>
      </c>
      <c r="D4004" s="38" t="s">
        <v>266</v>
      </c>
    </row>
    <row r="4005" spans="1:4" x14ac:dyDescent="0.25">
      <c r="A4005" s="42">
        <v>283133.13</v>
      </c>
      <c r="B4005" s="39" t="s">
        <v>5614</v>
      </c>
      <c r="C4005" s="40">
        <v>5</v>
      </c>
      <c r="D4005" s="38" t="s">
        <v>266</v>
      </c>
    </row>
    <row r="4006" spans="1:4" x14ac:dyDescent="0.25">
      <c r="A4006" s="42">
        <v>283133.15999999997</v>
      </c>
      <c r="B4006" s="39" t="s">
        <v>5615</v>
      </c>
      <c r="C4006" s="40">
        <v>5</v>
      </c>
      <c r="D4006" s="38" t="s">
        <v>266</v>
      </c>
    </row>
    <row r="4007" spans="1:4" x14ac:dyDescent="0.25">
      <c r="A4007" s="42">
        <v>283133.23</v>
      </c>
      <c r="B4007" s="39" t="s">
        <v>5616</v>
      </c>
      <c r="C4007" s="40">
        <v>5</v>
      </c>
      <c r="D4007" s="38" t="s">
        <v>266</v>
      </c>
    </row>
    <row r="4008" spans="1:4" x14ac:dyDescent="0.25">
      <c r="A4008" s="42">
        <v>283133.26</v>
      </c>
      <c r="B4008" s="39" t="s">
        <v>5617</v>
      </c>
      <c r="C4008" s="40">
        <v>5</v>
      </c>
      <c r="D4008" s="38" t="s">
        <v>266</v>
      </c>
    </row>
    <row r="4009" spans="1:4" x14ac:dyDescent="0.25">
      <c r="A4009" s="42">
        <v>283133.33</v>
      </c>
      <c r="B4009" s="39" t="s">
        <v>5618</v>
      </c>
      <c r="C4009" s="40">
        <v>5</v>
      </c>
      <c r="D4009" s="38" t="s">
        <v>266</v>
      </c>
    </row>
    <row r="4010" spans="1:4" x14ac:dyDescent="0.25">
      <c r="A4010" s="42">
        <v>283133.43</v>
      </c>
      <c r="B4010" s="39" t="s">
        <v>5619</v>
      </c>
      <c r="C4010" s="40">
        <v>5</v>
      </c>
      <c r="D4010" s="38" t="s">
        <v>266</v>
      </c>
    </row>
    <row r="4011" spans="1:4" x14ac:dyDescent="0.25">
      <c r="A4011" s="41">
        <v>283143</v>
      </c>
      <c r="B4011" s="39" t="s">
        <v>5620</v>
      </c>
      <c r="C4011" s="40">
        <v>4</v>
      </c>
      <c r="D4011" s="38" t="s">
        <v>266</v>
      </c>
    </row>
    <row r="4012" spans="1:4" x14ac:dyDescent="0.25">
      <c r="A4012" s="41">
        <v>283146</v>
      </c>
      <c r="B4012" s="39" t="s">
        <v>5621</v>
      </c>
      <c r="C4012" s="40">
        <v>4</v>
      </c>
      <c r="D4012" s="38" t="s">
        <v>266</v>
      </c>
    </row>
    <row r="4013" spans="1:4" x14ac:dyDescent="0.25">
      <c r="A4013" s="41">
        <v>283149</v>
      </c>
      <c r="B4013" s="39" t="s">
        <v>5622</v>
      </c>
      <c r="C4013" s="40">
        <v>4</v>
      </c>
      <c r="D4013" s="38" t="s">
        <v>266</v>
      </c>
    </row>
    <row r="4014" spans="1:4" x14ac:dyDescent="0.25">
      <c r="A4014" s="41">
        <v>283153</v>
      </c>
      <c r="B4014" s="39" t="s">
        <v>5623</v>
      </c>
      <c r="C4014" s="40">
        <v>4</v>
      </c>
      <c r="D4014" s="38" t="s">
        <v>266</v>
      </c>
    </row>
    <row r="4015" spans="1:4" x14ac:dyDescent="0.25">
      <c r="A4015" s="42">
        <v>283153.13</v>
      </c>
      <c r="B4015" s="39" t="s">
        <v>5624</v>
      </c>
      <c r="C4015" s="40">
        <v>5</v>
      </c>
      <c r="D4015" s="38" t="s">
        <v>266</v>
      </c>
    </row>
    <row r="4016" spans="1:4" x14ac:dyDescent="0.25">
      <c r="A4016" s="42">
        <v>283153.23</v>
      </c>
      <c r="B4016" s="39" t="s">
        <v>5625</v>
      </c>
      <c r="C4016" s="40">
        <v>5</v>
      </c>
      <c r="D4016" s="38" t="s">
        <v>266</v>
      </c>
    </row>
    <row r="4017" spans="1:4" x14ac:dyDescent="0.25">
      <c r="A4017" s="42">
        <v>283153.33</v>
      </c>
      <c r="B4017" s="39" t="s">
        <v>5626</v>
      </c>
      <c r="C4017" s="40">
        <v>5</v>
      </c>
      <c r="D4017" s="38" t="s">
        <v>266</v>
      </c>
    </row>
    <row r="4018" spans="1:4" x14ac:dyDescent="0.25">
      <c r="A4018" s="42">
        <v>283153.43</v>
      </c>
      <c r="B4018" s="39" t="s">
        <v>5627</v>
      </c>
      <c r="C4018" s="40">
        <v>5</v>
      </c>
      <c r="D4018" s="38" t="s">
        <v>266</v>
      </c>
    </row>
    <row r="4019" spans="1:4" x14ac:dyDescent="0.25">
      <c r="A4019" s="41">
        <v>283163</v>
      </c>
      <c r="B4019" s="39" t="s">
        <v>5628</v>
      </c>
      <c r="C4019" s="40">
        <v>4</v>
      </c>
      <c r="D4019" s="38" t="s">
        <v>266</v>
      </c>
    </row>
    <row r="4020" spans="1:4" x14ac:dyDescent="0.25">
      <c r="A4020" s="42">
        <v>283163.13</v>
      </c>
      <c r="B4020" s="39" t="s">
        <v>5629</v>
      </c>
      <c r="C4020" s="40">
        <v>5</v>
      </c>
      <c r="D4020" s="38" t="s">
        <v>266</v>
      </c>
    </row>
    <row r="4021" spans="1:4" x14ac:dyDescent="0.25">
      <c r="A4021" s="41">
        <v>283200</v>
      </c>
      <c r="B4021" s="39" t="s">
        <v>1168</v>
      </c>
      <c r="C4021" s="40">
        <v>3</v>
      </c>
      <c r="D4021" s="39" t="s">
        <v>1167</v>
      </c>
    </row>
    <row r="4022" spans="1:4" x14ac:dyDescent="0.25">
      <c r="A4022" s="41">
        <v>283213</v>
      </c>
      <c r="B4022" s="39" t="s">
        <v>5630</v>
      </c>
      <c r="C4022" s="40">
        <v>4</v>
      </c>
      <c r="D4022" s="38" t="s">
        <v>266</v>
      </c>
    </row>
    <row r="4023" spans="1:4" x14ac:dyDescent="0.25">
      <c r="A4023" s="41">
        <v>283223</v>
      </c>
      <c r="B4023" s="39" t="s">
        <v>5631</v>
      </c>
      <c r="C4023" s="40">
        <v>4</v>
      </c>
      <c r="D4023" s="38" t="s">
        <v>266</v>
      </c>
    </row>
    <row r="4024" spans="1:4" x14ac:dyDescent="0.25">
      <c r="A4024" s="41">
        <v>283233</v>
      </c>
      <c r="B4024" s="39" t="s">
        <v>5632</v>
      </c>
      <c r="C4024" s="40">
        <v>4</v>
      </c>
      <c r="D4024" s="38" t="s">
        <v>266</v>
      </c>
    </row>
    <row r="4025" spans="1:4" x14ac:dyDescent="0.25">
      <c r="A4025" s="41">
        <v>283243</v>
      </c>
      <c r="B4025" s="39" t="s">
        <v>5633</v>
      </c>
      <c r="C4025" s="40">
        <v>4</v>
      </c>
      <c r="D4025" s="38" t="s">
        <v>266</v>
      </c>
    </row>
    <row r="4026" spans="1:4" x14ac:dyDescent="0.25">
      <c r="A4026" s="41">
        <v>283300</v>
      </c>
      <c r="B4026" s="39" t="s">
        <v>5634</v>
      </c>
      <c r="C4026" s="40">
        <v>3</v>
      </c>
      <c r="D4026" s="38" t="s">
        <v>266</v>
      </c>
    </row>
    <row r="4027" spans="1:4" x14ac:dyDescent="0.25">
      <c r="A4027" s="41">
        <v>283313</v>
      </c>
      <c r="B4027" s="39" t="s">
        <v>5635</v>
      </c>
      <c r="C4027" s="40">
        <v>4</v>
      </c>
      <c r="D4027" s="38" t="s">
        <v>266</v>
      </c>
    </row>
    <row r="4028" spans="1:4" x14ac:dyDescent="0.25">
      <c r="A4028" s="41">
        <v>283323</v>
      </c>
      <c r="B4028" s="39" t="s">
        <v>5636</v>
      </c>
      <c r="C4028" s="40">
        <v>4</v>
      </c>
      <c r="D4028" s="38" t="s">
        <v>266</v>
      </c>
    </row>
    <row r="4029" spans="1:4" x14ac:dyDescent="0.25">
      <c r="A4029" s="41">
        <v>283333</v>
      </c>
      <c r="B4029" s="39" t="s">
        <v>5637</v>
      </c>
      <c r="C4029" s="40">
        <v>4</v>
      </c>
      <c r="D4029" s="38" t="s">
        <v>266</v>
      </c>
    </row>
    <row r="4030" spans="1:4" x14ac:dyDescent="0.25">
      <c r="A4030" s="41">
        <v>283400</v>
      </c>
      <c r="B4030" s="39" t="s">
        <v>1172</v>
      </c>
      <c r="C4030" s="40">
        <v>3</v>
      </c>
      <c r="D4030" s="39" t="s">
        <v>1171</v>
      </c>
    </row>
    <row r="4031" spans="1:4" x14ac:dyDescent="0.25">
      <c r="A4031" s="41">
        <v>283413</v>
      </c>
      <c r="B4031" s="39" t="s">
        <v>5638</v>
      </c>
      <c r="C4031" s="40">
        <v>4</v>
      </c>
      <c r="D4031" s="38" t="s">
        <v>266</v>
      </c>
    </row>
    <row r="4032" spans="1:4" x14ac:dyDescent="0.25">
      <c r="A4032" s="41">
        <v>283423</v>
      </c>
      <c r="B4032" s="39" t="s">
        <v>5639</v>
      </c>
      <c r="C4032" s="40">
        <v>4</v>
      </c>
      <c r="D4032" s="38" t="s">
        <v>266</v>
      </c>
    </row>
    <row r="4033" spans="1:4" x14ac:dyDescent="0.25">
      <c r="A4033" s="41">
        <v>283433</v>
      </c>
      <c r="B4033" s="39" t="s">
        <v>5640</v>
      </c>
      <c r="C4033" s="40">
        <v>4</v>
      </c>
      <c r="D4033" s="38" t="s">
        <v>266</v>
      </c>
    </row>
    <row r="4034" spans="1:4" x14ac:dyDescent="0.25">
      <c r="A4034" s="41">
        <v>283500</v>
      </c>
      <c r="B4034" s="39" t="s">
        <v>5641</v>
      </c>
      <c r="C4034" s="40">
        <v>3</v>
      </c>
      <c r="D4034" s="38" t="s">
        <v>266</v>
      </c>
    </row>
    <row r="4035" spans="1:4" x14ac:dyDescent="0.25">
      <c r="A4035" s="41">
        <v>283513</v>
      </c>
      <c r="B4035" s="39" t="s">
        <v>5642</v>
      </c>
      <c r="C4035" s="40">
        <v>4</v>
      </c>
      <c r="D4035" s="38" t="s">
        <v>266</v>
      </c>
    </row>
    <row r="4036" spans="1:4" x14ac:dyDescent="0.25">
      <c r="A4036" s="41">
        <v>283523</v>
      </c>
      <c r="B4036" s="39" t="s">
        <v>5643</v>
      </c>
      <c r="C4036" s="40">
        <v>4</v>
      </c>
      <c r="D4036" s="38" t="s">
        <v>266</v>
      </c>
    </row>
    <row r="4037" spans="1:4" x14ac:dyDescent="0.25">
      <c r="A4037" s="41">
        <v>283533</v>
      </c>
      <c r="B4037" s="39" t="s">
        <v>5644</v>
      </c>
      <c r="C4037" s="40">
        <v>4</v>
      </c>
      <c r="D4037" s="38" t="s">
        <v>266</v>
      </c>
    </row>
    <row r="4038" spans="1:4" x14ac:dyDescent="0.25">
      <c r="A4038" s="41">
        <v>283600</v>
      </c>
      <c r="B4038" s="39" t="s">
        <v>5645</v>
      </c>
      <c r="C4038" s="40">
        <v>3</v>
      </c>
      <c r="D4038" s="38" t="s">
        <v>266</v>
      </c>
    </row>
    <row r="4039" spans="1:4" x14ac:dyDescent="0.25">
      <c r="A4039" s="41">
        <v>283613</v>
      </c>
      <c r="B4039" s="39" t="s">
        <v>5646</v>
      </c>
      <c r="C4039" s="40">
        <v>4</v>
      </c>
      <c r="D4039" s="38" t="s">
        <v>266</v>
      </c>
    </row>
    <row r="4040" spans="1:4" x14ac:dyDescent="0.25">
      <c r="A4040" s="41">
        <v>283633</v>
      </c>
      <c r="B4040" s="39" t="s">
        <v>5647</v>
      </c>
      <c r="C4040" s="40">
        <v>4</v>
      </c>
      <c r="D4040" s="38" t="s">
        <v>266</v>
      </c>
    </row>
    <row r="4041" spans="1:4" x14ac:dyDescent="0.25">
      <c r="A4041" s="41">
        <v>283900</v>
      </c>
      <c r="B4041" s="39" t="s">
        <v>5648</v>
      </c>
      <c r="C4041" s="40">
        <v>3</v>
      </c>
      <c r="D4041" s="38" t="s">
        <v>266</v>
      </c>
    </row>
    <row r="4042" spans="1:4" x14ac:dyDescent="0.25">
      <c r="A4042" s="41">
        <v>284000</v>
      </c>
      <c r="B4042" s="39" t="s">
        <v>1178</v>
      </c>
      <c r="C4042" s="40">
        <v>3</v>
      </c>
      <c r="D4042" s="39" t="s">
        <v>1177</v>
      </c>
    </row>
    <row r="4043" spans="1:4" x14ac:dyDescent="0.25">
      <c r="A4043" s="41">
        <v>284600</v>
      </c>
      <c r="B4043" s="39" t="s">
        <v>5649</v>
      </c>
      <c r="C4043" s="40">
        <v>3</v>
      </c>
      <c r="D4043" s="38" t="s">
        <v>1177</v>
      </c>
    </row>
    <row r="4044" spans="1:4" x14ac:dyDescent="0.25">
      <c r="A4044" s="41">
        <v>284613</v>
      </c>
      <c r="B4044" s="39" t="s">
        <v>5650</v>
      </c>
      <c r="C4044" s="40">
        <v>4</v>
      </c>
      <c r="D4044" s="38" t="s">
        <v>266</v>
      </c>
    </row>
    <row r="4045" spans="1:4" x14ac:dyDescent="0.25">
      <c r="A4045" s="41">
        <v>284616</v>
      </c>
      <c r="B4045" s="39" t="s">
        <v>5651</v>
      </c>
      <c r="C4045" s="40">
        <v>4</v>
      </c>
      <c r="D4045" s="38" t="s">
        <v>266</v>
      </c>
    </row>
    <row r="4046" spans="1:4" x14ac:dyDescent="0.25">
      <c r="A4046" s="41">
        <v>284619</v>
      </c>
      <c r="B4046" s="39" t="s">
        <v>5652</v>
      </c>
      <c r="C4046" s="40">
        <v>4</v>
      </c>
      <c r="D4046" s="38" t="s">
        <v>266</v>
      </c>
    </row>
    <row r="4047" spans="1:4" x14ac:dyDescent="0.25">
      <c r="A4047" s="41">
        <v>284623</v>
      </c>
      <c r="B4047" s="39" t="s">
        <v>5653</v>
      </c>
      <c r="C4047" s="40">
        <v>4</v>
      </c>
      <c r="D4047" s="38" t="s">
        <v>266</v>
      </c>
    </row>
    <row r="4048" spans="1:4" x14ac:dyDescent="0.25">
      <c r="A4048" s="41">
        <v>284626</v>
      </c>
      <c r="B4048" s="39" t="s">
        <v>5654</v>
      </c>
      <c r="C4048" s="40">
        <v>4</v>
      </c>
      <c r="D4048" s="38" t="s">
        <v>266</v>
      </c>
    </row>
    <row r="4049" spans="1:4" x14ac:dyDescent="0.25">
      <c r="A4049" s="41">
        <v>284629</v>
      </c>
      <c r="B4049" s="39" t="s">
        <v>5655</v>
      </c>
      <c r="C4049" s="40">
        <v>4</v>
      </c>
      <c r="D4049" s="38" t="s">
        <v>266</v>
      </c>
    </row>
    <row r="4050" spans="1:4" x14ac:dyDescent="0.25">
      <c r="A4050" s="41">
        <v>310000</v>
      </c>
      <c r="B4050" s="39" t="s">
        <v>5656</v>
      </c>
      <c r="C4050" s="40">
        <v>2</v>
      </c>
      <c r="D4050" s="38" t="s">
        <v>1432</v>
      </c>
    </row>
    <row r="4051" spans="1:4" x14ac:dyDescent="0.25">
      <c r="A4051" s="41">
        <v>310100</v>
      </c>
      <c r="B4051" s="39" t="s">
        <v>5657</v>
      </c>
      <c r="C4051" s="40">
        <v>3</v>
      </c>
      <c r="D4051" s="38" t="s">
        <v>266</v>
      </c>
    </row>
    <row r="4052" spans="1:4" x14ac:dyDescent="0.25">
      <c r="A4052" s="41">
        <v>310110</v>
      </c>
      <c r="B4052" s="39" t="s">
        <v>5658</v>
      </c>
      <c r="C4052" s="40">
        <v>4</v>
      </c>
      <c r="D4052" s="38" t="s">
        <v>266</v>
      </c>
    </row>
    <row r="4053" spans="1:4" x14ac:dyDescent="0.25">
      <c r="A4053" s="41">
        <v>310120</v>
      </c>
      <c r="B4053" s="39" t="s">
        <v>5659</v>
      </c>
      <c r="C4053" s="40">
        <v>4</v>
      </c>
      <c r="D4053" s="38" t="s">
        <v>266</v>
      </c>
    </row>
    <row r="4054" spans="1:4" x14ac:dyDescent="0.25">
      <c r="A4054" s="41">
        <v>310140</v>
      </c>
      <c r="B4054" s="39" t="s">
        <v>5660</v>
      </c>
      <c r="C4054" s="40">
        <v>4</v>
      </c>
      <c r="D4054" s="38" t="s">
        <v>266</v>
      </c>
    </row>
    <row r="4055" spans="1:4" x14ac:dyDescent="0.25">
      <c r="A4055" s="41">
        <v>310150</v>
      </c>
      <c r="B4055" s="39" t="s">
        <v>5661</v>
      </c>
      <c r="C4055" s="40">
        <v>4</v>
      </c>
      <c r="D4055" s="38" t="s">
        <v>266</v>
      </c>
    </row>
    <row r="4056" spans="1:4" x14ac:dyDescent="0.25">
      <c r="A4056" s="41">
        <v>310160</v>
      </c>
      <c r="B4056" s="39" t="s">
        <v>5662</v>
      </c>
      <c r="C4056" s="40">
        <v>4</v>
      </c>
      <c r="D4056" s="38" t="s">
        <v>266</v>
      </c>
    </row>
    <row r="4057" spans="1:4" x14ac:dyDescent="0.25">
      <c r="A4057" s="41">
        <v>310162</v>
      </c>
      <c r="B4057" s="39" t="s">
        <v>5663</v>
      </c>
      <c r="C4057" s="40">
        <v>4</v>
      </c>
      <c r="D4057" s="38" t="s">
        <v>266</v>
      </c>
    </row>
    <row r="4058" spans="1:4" x14ac:dyDescent="0.25">
      <c r="A4058" s="42">
        <v>310162.61</v>
      </c>
      <c r="B4058" s="39" t="s">
        <v>5664</v>
      </c>
      <c r="C4058" s="40">
        <v>5</v>
      </c>
      <c r="D4058" s="38" t="s">
        <v>266</v>
      </c>
    </row>
    <row r="4059" spans="1:4" x14ac:dyDescent="0.25">
      <c r="A4059" s="41">
        <v>310163</v>
      </c>
      <c r="B4059" s="39" t="s">
        <v>5665</v>
      </c>
      <c r="C4059" s="40">
        <v>4</v>
      </c>
      <c r="D4059" s="38" t="s">
        <v>266</v>
      </c>
    </row>
    <row r="4060" spans="1:4" x14ac:dyDescent="0.25">
      <c r="A4060" s="42">
        <v>310163.61</v>
      </c>
      <c r="B4060" s="39" t="s">
        <v>5666</v>
      </c>
      <c r="C4060" s="40">
        <v>5</v>
      </c>
      <c r="D4060" s="38" t="s">
        <v>266</v>
      </c>
    </row>
    <row r="4061" spans="1:4" x14ac:dyDescent="0.25">
      <c r="A4061" s="41">
        <v>310170</v>
      </c>
      <c r="B4061" s="39" t="s">
        <v>5667</v>
      </c>
      <c r="C4061" s="40">
        <v>4</v>
      </c>
      <c r="D4061" s="38" t="s">
        <v>266</v>
      </c>
    </row>
    <row r="4062" spans="1:4" x14ac:dyDescent="0.25">
      <c r="A4062" s="42">
        <v>310170.61</v>
      </c>
      <c r="B4062" s="39" t="s">
        <v>5668</v>
      </c>
      <c r="C4062" s="40">
        <v>5</v>
      </c>
      <c r="D4062" s="38" t="s">
        <v>266</v>
      </c>
    </row>
    <row r="4063" spans="1:4" x14ac:dyDescent="0.25">
      <c r="A4063" s="41">
        <v>310500</v>
      </c>
      <c r="B4063" s="39" t="s">
        <v>5669</v>
      </c>
      <c r="C4063" s="40">
        <v>3</v>
      </c>
      <c r="D4063" s="38" t="s">
        <v>266</v>
      </c>
    </row>
    <row r="4064" spans="1:4" x14ac:dyDescent="0.25">
      <c r="A4064" s="41">
        <v>310513</v>
      </c>
      <c r="B4064" s="39" t="s">
        <v>5670</v>
      </c>
      <c r="C4064" s="40">
        <v>4</v>
      </c>
      <c r="D4064" s="38" t="s">
        <v>266</v>
      </c>
    </row>
    <row r="4065" spans="1:4" x14ac:dyDescent="0.25">
      <c r="A4065" s="41">
        <v>310516</v>
      </c>
      <c r="B4065" s="39" t="s">
        <v>5671</v>
      </c>
      <c r="C4065" s="40">
        <v>4</v>
      </c>
      <c r="D4065" s="38" t="s">
        <v>266</v>
      </c>
    </row>
    <row r="4066" spans="1:4" x14ac:dyDescent="0.25">
      <c r="A4066" s="41">
        <v>310519</v>
      </c>
      <c r="B4066" s="39" t="s">
        <v>5672</v>
      </c>
      <c r="C4066" s="40">
        <v>4</v>
      </c>
      <c r="D4066" s="38" t="s">
        <v>266</v>
      </c>
    </row>
    <row r="4067" spans="1:4" x14ac:dyDescent="0.25">
      <c r="A4067" s="42">
        <v>310519.13</v>
      </c>
      <c r="B4067" s="39" t="s">
        <v>5673</v>
      </c>
      <c r="C4067" s="40">
        <v>5</v>
      </c>
      <c r="D4067" s="38" t="s">
        <v>266</v>
      </c>
    </row>
    <row r="4068" spans="1:4" x14ac:dyDescent="0.25">
      <c r="A4068" s="42">
        <v>310519.15999999997</v>
      </c>
      <c r="B4068" s="39" t="s">
        <v>5674</v>
      </c>
      <c r="C4068" s="40">
        <v>5</v>
      </c>
      <c r="D4068" s="38" t="s">
        <v>266</v>
      </c>
    </row>
    <row r="4069" spans="1:4" x14ac:dyDescent="0.25">
      <c r="A4069" s="42">
        <v>310519.19</v>
      </c>
      <c r="B4069" s="39" t="s">
        <v>5675</v>
      </c>
      <c r="C4069" s="40">
        <v>5</v>
      </c>
      <c r="D4069" s="38" t="s">
        <v>266</v>
      </c>
    </row>
    <row r="4070" spans="1:4" x14ac:dyDescent="0.25">
      <c r="A4070" s="41">
        <v>310523</v>
      </c>
      <c r="B4070" s="39" t="s">
        <v>5676</v>
      </c>
      <c r="C4070" s="40">
        <v>4</v>
      </c>
      <c r="D4070" s="38" t="s">
        <v>266</v>
      </c>
    </row>
    <row r="4071" spans="1:4" x14ac:dyDescent="0.25">
      <c r="A4071" s="41">
        <v>310800</v>
      </c>
      <c r="B4071" s="39" t="s">
        <v>5677</v>
      </c>
      <c r="C4071" s="40">
        <v>3</v>
      </c>
      <c r="D4071" s="38" t="s">
        <v>266</v>
      </c>
    </row>
    <row r="4072" spans="1:4" x14ac:dyDescent="0.25">
      <c r="A4072" s="41">
        <v>310813</v>
      </c>
      <c r="B4072" s="39" t="s">
        <v>5678</v>
      </c>
      <c r="C4072" s="40">
        <v>4</v>
      </c>
      <c r="D4072" s="38" t="s">
        <v>266</v>
      </c>
    </row>
    <row r="4073" spans="1:4" x14ac:dyDescent="0.25">
      <c r="A4073" s="42">
        <v>310813.13</v>
      </c>
      <c r="B4073" s="39" t="s">
        <v>5679</v>
      </c>
      <c r="C4073" s="40">
        <v>5</v>
      </c>
      <c r="D4073" s="38" t="s">
        <v>266</v>
      </c>
    </row>
    <row r="4074" spans="1:4" x14ac:dyDescent="0.25">
      <c r="A4074" s="42">
        <v>310813.15999999997</v>
      </c>
      <c r="B4074" s="39" t="s">
        <v>5680</v>
      </c>
      <c r="C4074" s="40">
        <v>5</v>
      </c>
      <c r="D4074" s="38" t="s">
        <v>266</v>
      </c>
    </row>
    <row r="4075" spans="1:4" x14ac:dyDescent="0.25">
      <c r="A4075" s="41">
        <v>310900</v>
      </c>
      <c r="B4075" s="39" t="s">
        <v>5681</v>
      </c>
      <c r="C4075" s="40">
        <v>3</v>
      </c>
      <c r="D4075" s="38" t="s">
        <v>266</v>
      </c>
    </row>
    <row r="4076" spans="1:4" x14ac:dyDescent="0.25">
      <c r="A4076" s="41">
        <v>310913</v>
      </c>
      <c r="B4076" s="39" t="s">
        <v>5682</v>
      </c>
      <c r="C4076" s="40">
        <v>4</v>
      </c>
      <c r="D4076" s="38" t="s">
        <v>266</v>
      </c>
    </row>
    <row r="4077" spans="1:4" x14ac:dyDescent="0.25">
      <c r="A4077" s="42">
        <v>310913.13</v>
      </c>
      <c r="B4077" s="39" t="s">
        <v>5683</v>
      </c>
      <c r="C4077" s="40">
        <v>5</v>
      </c>
      <c r="D4077" s="38" t="s">
        <v>266</v>
      </c>
    </row>
    <row r="4078" spans="1:4" x14ac:dyDescent="0.25">
      <c r="A4078" s="41">
        <v>310916</v>
      </c>
      <c r="B4078" s="39" t="s">
        <v>5684</v>
      </c>
      <c r="C4078" s="40">
        <v>4</v>
      </c>
      <c r="D4078" s="38" t="s">
        <v>266</v>
      </c>
    </row>
    <row r="4079" spans="1:4" x14ac:dyDescent="0.25">
      <c r="A4079" s="42">
        <v>310916.26</v>
      </c>
      <c r="B4079" s="39" t="s">
        <v>5685</v>
      </c>
      <c r="C4079" s="40">
        <v>5</v>
      </c>
      <c r="D4079" s="38" t="s">
        <v>266</v>
      </c>
    </row>
    <row r="4080" spans="1:4" x14ac:dyDescent="0.25">
      <c r="A4080" s="41">
        <v>311000</v>
      </c>
      <c r="B4080" s="39" t="s">
        <v>1435</v>
      </c>
      <c r="C4080" s="40">
        <v>3</v>
      </c>
      <c r="D4080" s="38" t="s">
        <v>1434</v>
      </c>
    </row>
    <row r="4081" spans="1:4" x14ac:dyDescent="0.25">
      <c r="A4081" s="41">
        <v>311100</v>
      </c>
      <c r="B4081" s="39" t="s">
        <v>1437</v>
      </c>
      <c r="C4081" s="40">
        <v>3</v>
      </c>
      <c r="D4081" s="38" t="s">
        <v>1436</v>
      </c>
    </row>
    <row r="4082" spans="1:4" x14ac:dyDescent="0.25">
      <c r="A4082" s="41">
        <v>311200</v>
      </c>
      <c r="B4082" s="39" t="s">
        <v>5686</v>
      </c>
      <c r="C4082" s="40">
        <v>3</v>
      </c>
      <c r="D4082" s="38" t="s">
        <v>266</v>
      </c>
    </row>
    <row r="4083" spans="1:4" x14ac:dyDescent="0.25">
      <c r="A4083" s="41">
        <v>311300</v>
      </c>
      <c r="B4083" s="39" t="s">
        <v>5687</v>
      </c>
      <c r="C4083" s="40">
        <v>3</v>
      </c>
      <c r="D4083" s="38" t="s">
        <v>1438</v>
      </c>
    </row>
    <row r="4084" spans="1:4" x14ac:dyDescent="0.25">
      <c r="A4084" s="41">
        <v>311313</v>
      </c>
      <c r="B4084" s="39" t="s">
        <v>5688</v>
      </c>
      <c r="C4084" s="40">
        <v>4</v>
      </c>
      <c r="D4084" s="38" t="s">
        <v>266</v>
      </c>
    </row>
    <row r="4085" spans="1:4" x14ac:dyDescent="0.25">
      <c r="A4085" s="41">
        <v>311316</v>
      </c>
      <c r="B4085" s="39" t="s">
        <v>5689</v>
      </c>
      <c r="C4085" s="40">
        <v>4</v>
      </c>
      <c r="D4085" s="38" t="s">
        <v>266</v>
      </c>
    </row>
    <row r="4086" spans="1:4" x14ac:dyDescent="0.25">
      <c r="A4086" s="41">
        <v>311400</v>
      </c>
      <c r="B4086" s="39" t="s">
        <v>1441</v>
      </c>
      <c r="C4086" s="40">
        <v>3</v>
      </c>
      <c r="D4086" s="39" t="s">
        <v>1440</v>
      </c>
    </row>
    <row r="4087" spans="1:4" x14ac:dyDescent="0.25">
      <c r="A4087" s="41">
        <v>311413</v>
      </c>
      <c r="B4087" s="39" t="s">
        <v>5690</v>
      </c>
      <c r="C4087" s="40">
        <v>4</v>
      </c>
      <c r="D4087" s="38" t="s">
        <v>266</v>
      </c>
    </row>
    <row r="4088" spans="1:4" x14ac:dyDescent="0.25">
      <c r="A4088" s="42">
        <v>311413.13</v>
      </c>
      <c r="B4088" s="39" t="s">
        <v>5691</v>
      </c>
      <c r="C4088" s="40">
        <v>5</v>
      </c>
      <c r="D4088" s="38" t="s">
        <v>266</v>
      </c>
    </row>
    <row r="4089" spans="1:4" x14ac:dyDescent="0.25">
      <c r="A4089" s="42">
        <v>311413.15999999997</v>
      </c>
      <c r="B4089" s="39" t="s">
        <v>5692</v>
      </c>
      <c r="C4089" s="40">
        <v>5</v>
      </c>
      <c r="D4089" s="38" t="s">
        <v>266</v>
      </c>
    </row>
    <row r="4090" spans="1:4" x14ac:dyDescent="0.25">
      <c r="A4090" s="42">
        <v>311413.23</v>
      </c>
      <c r="B4090" s="39" t="s">
        <v>5693</v>
      </c>
      <c r="C4090" s="40">
        <v>5</v>
      </c>
      <c r="D4090" s="38" t="s">
        <v>266</v>
      </c>
    </row>
    <row r="4091" spans="1:4" x14ac:dyDescent="0.25">
      <c r="A4091" s="41">
        <v>311416</v>
      </c>
      <c r="B4091" s="39" t="s">
        <v>5694</v>
      </c>
      <c r="C4091" s="40">
        <v>4</v>
      </c>
      <c r="D4091" s="38" t="s">
        <v>266</v>
      </c>
    </row>
    <row r="4092" spans="1:4" x14ac:dyDescent="0.25">
      <c r="A4092" s="42">
        <v>311416.13</v>
      </c>
      <c r="B4092" s="39" t="s">
        <v>5695</v>
      </c>
      <c r="C4092" s="40">
        <v>5</v>
      </c>
      <c r="D4092" s="38" t="s">
        <v>266</v>
      </c>
    </row>
    <row r="4093" spans="1:4" x14ac:dyDescent="0.25">
      <c r="A4093" s="42">
        <v>311416.15999999997</v>
      </c>
      <c r="B4093" s="39" t="s">
        <v>5696</v>
      </c>
      <c r="C4093" s="40">
        <v>5</v>
      </c>
      <c r="D4093" s="38" t="s">
        <v>266</v>
      </c>
    </row>
    <row r="4094" spans="1:4" x14ac:dyDescent="0.25">
      <c r="A4094" s="41">
        <v>312000</v>
      </c>
      <c r="B4094" s="39" t="s">
        <v>5697</v>
      </c>
      <c r="C4094" s="40">
        <v>3</v>
      </c>
      <c r="D4094" s="38" t="s">
        <v>1476</v>
      </c>
    </row>
    <row r="4095" spans="1:4" x14ac:dyDescent="0.25">
      <c r="A4095" s="41">
        <v>312100</v>
      </c>
      <c r="B4095" s="39" t="s">
        <v>515</v>
      </c>
      <c r="C4095" s="40">
        <v>3</v>
      </c>
      <c r="D4095" s="38" t="s">
        <v>514</v>
      </c>
    </row>
    <row r="4096" spans="1:4" x14ac:dyDescent="0.25">
      <c r="A4096" s="41">
        <v>312113</v>
      </c>
      <c r="B4096" s="39" t="s">
        <v>517</v>
      </c>
      <c r="C4096" s="40">
        <v>4</v>
      </c>
      <c r="D4096" s="38" t="s">
        <v>516</v>
      </c>
    </row>
    <row r="4097" spans="1:4" x14ac:dyDescent="0.25">
      <c r="A4097" s="42">
        <v>312113.13</v>
      </c>
      <c r="B4097" s="39" t="s">
        <v>5698</v>
      </c>
      <c r="C4097" s="40">
        <v>5</v>
      </c>
      <c r="D4097" s="38" t="s">
        <v>266</v>
      </c>
    </row>
    <row r="4098" spans="1:4" x14ac:dyDescent="0.25">
      <c r="A4098" s="41">
        <v>312116</v>
      </c>
      <c r="B4098" s="39" t="s">
        <v>519</v>
      </c>
      <c r="C4098" s="40">
        <v>4</v>
      </c>
      <c r="D4098" s="38" t="s">
        <v>518</v>
      </c>
    </row>
    <row r="4099" spans="1:4" x14ac:dyDescent="0.25">
      <c r="A4099" s="42">
        <v>312116.13</v>
      </c>
      <c r="B4099" s="39" t="s">
        <v>5699</v>
      </c>
      <c r="C4099" s="40">
        <v>5</v>
      </c>
      <c r="D4099" s="38" t="s">
        <v>266</v>
      </c>
    </row>
    <row r="4100" spans="1:4" x14ac:dyDescent="0.25">
      <c r="A4100" s="41">
        <v>312200</v>
      </c>
      <c r="B4100" s="39" t="s">
        <v>1479</v>
      </c>
      <c r="C4100" s="40">
        <v>3</v>
      </c>
      <c r="D4100" s="38" t="s">
        <v>266</v>
      </c>
    </row>
    <row r="4101" spans="1:4" x14ac:dyDescent="0.25">
      <c r="A4101" s="41">
        <v>312213</v>
      </c>
      <c r="B4101" s="39" t="s">
        <v>5700</v>
      </c>
      <c r="C4101" s="40">
        <v>4</v>
      </c>
      <c r="D4101" s="38" t="s">
        <v>266</v>
      </c>
    </row>
    <row r="4102" spans="1:4" x14ac:dyDescent="0.25">
      <c r="A4102" s="41">
        <v>312216</v>
      </c>
      <c r="B4102" s="39" t="s">
        <v>5701</v>
      </c>
      <c r="C4102" s="40">
        <v>4</v>
      </c>
      <c r="D4102" s="38" t="s">
        <v>266</v>
      </c>
    </row>
    <row r="4103" spans="1:4" x14ac:dyDescent="0.25">
      <c r="A4103" s="42">
        <v>312216.13</v>
      </c>
      <c r="B4103" s="39" t="s">
        <v>5702</v>
      </c>
      <c r="C4103" s="40">
        <v>5</v>
      </c>
      <c r="D4103" s="38" t="s">
        <v>266</v>
      </c>
    </row>
    <row r="4104" spans="1:4" x14ac:dyDescent="0.25">
      <c r="A4104" s="41">
        <v>312219</v>
      </c>
      <c r="B4104" s="39" t="s">
        <v>5703</v>
      </c>
      <c r="C4104" s="40">
        <v>4</v>
      </c>
      <c r="D4104" s="38" t="s">
        <v>266</v>
      </c>
    </row>
    <row r="4105" spans="1:4" x14ac:dyDescent="0.25">
      <c r="A4105" s="42">
        <v>312219.13</v>
      </c>
      <c r="B4105" s="39" t="s">
        <v>5704</v>
      </c>
      <c r="C4105" s="40">
        <v>5</v>
      </c>
      <c r="D4105" s="38" t="s">
        <v>266</v>
      </c>
    </row>
    <row r="4106" spans="1:4" x14ac:dyDescent="0.25">
      <c r="A4106" s="41">
        <v>312300</v>
      </c>
      <c r="B4106" s="39" t="s">
        <v>1481</v>
      </c>
      <c r="C4106" s="40">
        <v>3</v>
      </c>
      <c r="D4106" s="39" t="s">
        <v>1480</v>
      </c>
    </row>
    <row r="4107" spans="1:4" x14ac:dyDescent="0.25">
      <c r="A4107" s="41">
        <v>312313</v>
      </c>
      <c r="B4107" s="39" t="s">
        <v>5705</v>
      </c>
      <c r="C4107" s="40">
        <v>4</v>
      </c>
      <c r="D4107" s="38" t="s">
        <v>266</v>
      </c>
    </row>
    <row r="4108" spans="1:4" x14ac:dyDescent="0.25">
      <c r="A4108" s="41">
        <v>312316</v>
      </c>
      <c r="B4108" s="39" t="s">
        <v>5706</v>
      </c>
      <c r="C4108" s="40">
        <v>4</v>
      </c>
      <c r="D4108" s="38" t="s">
        <v>522</v>
      </c>
    </row>
    <row r="4109" spans="1:4" x14ac:dyDescent="0.25">
      <c r="A4109" s="42">
        <v>312316.13</v>
      </c>
      <c r="B4109" s="39" t="s">
        <v>5707</v>
      </c>
      <c r="C4109" s="40">
        <v>5</v>
      </c>
      <c r="D4109" s="38" t="s">
        <v>266</v>
      </c>
    </row>
    <row r="4110" spans="1:4" x14ac:dyDescent="0.25">
      <c r="A4110" s="42">
        <v>312316.15999999997</v>
      </c>
      <c r="B4110" s="39" t="s">
        <v>5708</v>
      </c>
      <c r="C4110" s="40">
        <v>5</v>
      </c>
      <c r="D4110" s="38" t="s">
        <v>266</v>
      </c>
    </row>
    <row r="4111" spans="1:4" x14ac:dyDescent="0.25">
      <c r="A4111" s="42">
        <v>312316.26</v>
      </c>
      <c r="B4111" s="39" t="s">
        <v>5709</v>
      </c>
      <c r="C4111" s="40">
        <v>5</v>
      </c>
      <c r="D4111" s="38" t="s">
        <v>266</v>
      </c>
    </row>
    <row r="4112" spans="1:4" x14ac:dyDescent="0.25">
      <c r="A4112" s="41">
        <v>312319</v>
      </c>
      <c r="B4112" s="39" t="s">
        <v>5710</v>
      </c>
      <c r="C4112" s="40">
        <v>4</v>
      </c>
      <c r="D4112" s="38" t="s">
        <v>526</v>
      </c>
    </row>
    <row r="4113" spans="1:4" x14ac:dyDescent="0.25">
      <c r="A4113" s="41">
        <v>312323</v>
      </c>
      <c r="B4113" s="39" t="s">
        <v>5711</v>
      </c>
      <c r="C4113" s="40">
        <v>4</v>
      </c>
      <c r="D4113" s="38" t="s">
        <v>504</v>
      </c>
    </row>
    <row r="4114" spans="1:4" x14ac:dyDescent="0.25">
      <c r="A4114" s="42">
        <v>312323.13</v>
      </c>
      <c r="B4114" s="39" t="s">
        <v>5712</v>
      </c>
      <c r="C4114" s="40">
        <v>5</v>
      </c>
      <c r="D4114" s="38" t="s">
        <v>266</v>
      </c>
    </row>
    <row r="4115" spans="1:4" x14ac:dyDescent="0.25">
      <c r="A4115" s="42">
        <v>312323.23</v>
      </c>
      <c r="B4115" s="39" t="s">
        <v>5713</v>
      </c>
      <c r="C4115" s="40">
        <v>5</v>
      </c>
      <c r="D4115" s="38" t="s">
        <v>266</v>
      </c>
    </row>
    <row r="4116" spans="1:4" x14ac:dyDescent="0.25">
      <c r="A4116" s="42">
        <v>312323.33</v>
      </c>
      <c r="B4116" s="39" t="s">
        <v>5714</v>
      </c>
      <c r="C4116" s="40">
        <v>5</v>
      </c>
      <c r="D4116" s="38" t="s">
        <v>266</v>
      </c>
    </row>
    <row r="4117" spans="1:4" x14ac:dyDescent="0.25">
      <c r="A4117" s="42">
        <v>312323.43</v>
      </c>
      <c r="B4117" s="39" t="s">
        <v>5715</v>
      </c>
      <c r="C4117" s="40">
        <v>5</v>
      </c>
      <c r="D4117" s="38" t="s">
        <v>266</v>
      </c>
    </row>
    <row r="4118" spans="1:4" x14ac:dyDescent="0.25">
      <c r="A4118" s="41">
        <v>312333</v>
      </c>
      <c r="B4118" s="39" t="s">
        <v>5716</v>
      </c>
      <c r="C4118" s="40">
        <v>4</v>
      </c>
      <c r="D4118" s="38" t="s">
        <v>266</v>
      </c>
    </row>
    <row r="4119" spans="1:4" x14ac:dyDescent="0.25">
      <c r="A4119" s="41">
        <v>312400</v>
      </c>
      <c r="B4119" s="39" t="s">
        <v>1483</v>
      </c>
      <c r="C4119" s="40">
        <v>3</v>
      </c>
      <c r="D4119" s="39" t="s">
        <v>1482</v>
      </c>
    </row>
    <row r="4120" spans="1:4" x14ac:dyDescent="0.25">
      <c r="A4120" s="41">
        <v>312413</v>
      </c>
      <c r="B4120" s="39" t="s">
        <v>5717</v>
      </c>
      <c r="C4120" s="40">
        <v>4</v>
      </c>
      <c r="D4120" s="38" t="s">
        <v>266</v>
      </c>
    </row>
    <row r="4121" spans="1:4" x14ac:dyDescent="0.25">
      <c r="A4121" s="41">
        <v>312416</v>
      </c>
      <c r="B4121" s="39" t="s">
        <v>5718</v>
      </c>
      <c r="C4121" s="40">
        <v>4</v>
      </c>
      <c r="D4121" s="38" t="s">
        <v>266</v>
      </c>
    </row>
    <row r="4122" spans="1:4" x14ac:dyDescent="0.25">
      <c r="A4122" s="41">
        <v>312500</v>
      </c>
      <c r="B4122" s="39" t="s">
        <v>1485</v>
      </c>
      <c r="C4122" s="40">
        <v>3</v>
      </c>
      <c r="D4122" s="38" t="s">
        <v>1484</v>
      </c>
    </row>
    <row r="4123" spans="1:4" x14ac:dyDescent="0.25">
      <c r="A4123" s="41">
        <v>312514</v>
      </c>
      <c r="B4123" s="39" t="s">
        <v>5719</v>
      </c>
      <c r="C4123" s="40">
        <v>4</v>
      </c>
      <c r="D4123" s="38" t="s">
        <v>266</v>
      </c>
    </row>
    <row r="4124" spans="1:4" x14ac:dyDescent="0.25">
      <c r="A4124" s="42">
        <v>312514.13</v>
      </c>
      <c r="B4124" s="39" t="s">
        <v>5720</v>
      </c>
      <c r="C4124" s="40">
        <v>5</v>
      </c>
      <c r="D4124" s="38" t="s">
        <v>266</v>
      </c>
    </row>
    <row r="4125" spans="1:4" x14ac:dyDescent="0.25">
      <c r="A4125" s="42">
        <v>312514.15999999997</v>
      </c>
      <c r="B4125" s="39" t="s">
        <v>5721</v>
      </c>
      <c r="C4125" s="40">
        <v>5</v>
      </c>
      <c r="D4125" s="38" t="s">
        <v>266</v>
      </c>
    </row>
    <row r="4126" spans="1:4" x14ac:dyDescent="0.25">
      <c r="A4126" s="41">
        <v>312524</v>
      </c>
      <c r="B4126" s="39" t="s">
        <v>5722</v>
      </c>
      <c r="C4126" s="40">
        <v>4</v>
      </c>
      <c r="D4126" s="38" t="s">
        <v>266</v>
      </c>
    </row>
    <row r="4127" spans="1:4" x14ac:dyDescent="0.25">
      <c r="A4127" s="42">
        <v>312524.13</v>
      </c>
      <c r="B4127" s="39" t="s">
        <v>5723</v>
      </c>
      <c r="C4127" s="40">
        <v>5</v>
      </c>
      <c r="D4127" s="38" t="s">
        <v>266</v>
      </c>
    </row>
    <row r="4128" spans="1:4" x14ac:dyDescent="0.25">
      <c r="A4128" s="41">
        <v>312534</v>
      </c>
      <c r="B4128" s="39" t="s">
        <v>5724</v>
      </c>
      <c r="C4128" s="40">
        <v>4</v>
      </c>
      <c r="D4128" s="38" t="s">
        <v>266</v>
      </c>
    </row>
    <row r="4129" spans="1:4" x14ac:dyDescent="0.25">
      <c r="A4129" s="42">
        <v>312534.13</v>
      </c>
      <c r="B4129" s="39" t="s">
        <v>5725</v>
      </c>
      <c r="C4129" s="40">
        <v>5</v>
      </c>
      <c r="D4129" s="38" t="s">
        <v>266</v>
      </c>
    </row>
    <row r="4130" spans="1:4" x14ac:dyDescent="0.25">
      <c r="A4130" s="41">
        <v>313000</v>
      </c>
      <c r="B4130" s="39" t="s">
        <v>5726</v>
      </c>
      <c r="C4130" s="40">
        <v>3</v>
      </c>
      <c r="D4130" s="38" t="s">
        <v>266</v>
      </c>
    </row>
    <row r="4131" spans="1:4" x14ac:dyDescent="0.25">
      <c r="A4131" s="41">
        <v>313100</v>
      </c>
      <c r="B4131" s="39" t="s">
        <v>541</v>
      </c>
      <c r="C4131" s="40">
        <v>3</v>
      </c>
      <c r="D4131" s="38" t="s">
        <v>540</v>
      </c>
    </row>
    <row r="4132" spans="1:4" x14ac:dyDescent="0.25">
      <c r="A4132" s="41">
        <v>313113</v>
      </c>
      <c r="B4132" s="39" t="s">
        <v>5727</v>
      </c>
      <c r="C4132" s="40">
        <v>4</v>
      </c>
      <c r="D4132" s="38" t="s">
        <v>266</v>
      </c>
    </row>
    <row r="4133" spans="1:4" x14ac:dyDescent="0.25">
      <c r="A4133" s="42">
        <v>313113.15999999997</v>
      </c>
      <c r="B4133" s="39" t="s">
        <v>5728</v>
      </c>
      <c r="C4133" s="40">
        <v>5</v>
      </c>
      <c r="D4133" s="38" t="s">
        <v>266</v>
      </c>
    </row>
    <row r="4134" spans="1:4" x14ac:dyDescent="0.25">
      <c r="A4134" s="42">
        <v>313113.19</v>
      </c>
      <c r="B4134" s="39" t="s">
        <v>5729</v>
      </c>
      <c r="C4134" s="40">
        <v>5</v>
      </c>
      <c r="D4134" s="38" t="s">
        <v>266</v>
      </c>
    </row>
    <row r="4135" spans="1:4" x14ac:dyDescent="0.25">
      <c r="A4135" s="42">
        <v>313113.23</v>
      </c>
      <c r="B4135" s="39" t="s">
        <v>5730</v>
      </c>
      <c r="C4135" s="40">
        <v>5</v>
      </c>
      <c r="D4135" s="38" t="s">
        <v>266</v>
      </c>
    </row>
    <row r="4136" spans="1:4" x14ac:dyDescent="0.25">
      <c r="A4136" s="42">
        <v>313113.26</v>
      </c>
      <c r="B4136" s="39" t="s">
        <v>5731</v>
      </c>
      <c r="C4136" s="40">
        <v>5</v>
      </c>
      <c r="D4136" s="38" t="s">
        <v>266</v>
      </c>
    </row>
    <row r="4137" spans="1:4" x14ac:dyDescent="0.25">
      <c r="A4137" s="41">
        <v>313116</v>
      </c>
      <c r="B4137" s="39" t="s">
        <v>5732</v>
      </c>
      <c r="C4137" s="40">
        <v>4</v>
      </c>
      <c r="D4137" s="38" t="s">
        <v>266</v>
      </c>
    </row>
    <row r="4138" spans="1:4" x14ac:dyDescent="0.25">
      <c r="A4138" s="42">
        <v>313116.13</v>
      </c>
      <c r="B4138" s="39" t="s">
        <v>5733</v>
      </c>
      <c r="C4138" s="40">
        <v>5</v>
      </c>
      <c r="D4138" s="38" t="s">
        <v>266</v>
      </c>
    </row>
    <row r="4139" spans="1:4" x14ac:dyDescent="0.25">
      <c r="A4139" s="42">
        <v>313116.15999999997</v>
      </c>
      <c r="B4139" s="39" t="s">
        <v>5734</v>
      </c>
      <c r="C4139" s="40">
        <v>5</v>
      </c>
      <c r="D4139" s="38" t="s">
        <v>266</v>
      </c>
    </row>
    <row r="4140" spans="1:4" x14ac:dyDescent="0.25">
      <c r="A4140" s="42">
        <v>313116.19</v>
      </c>
      <c r="B4140" s="39" t="s">
        <v>5735</v>
      </c>
      <c r="C4140" s="40">
        <v>5</v>
      </c>
      <c r="D4140" s="38" t="s">
        <v>266</v>
      </c>
    </row>
    <row r="4141" spans="1:4" x14ac:dyDescent="0.25">
      <c r="A4141" s="41">
        <v>313119</v>
      </c>
      <c r="B4141" s="39" t="s">
        <v>5736</v>
      </c>
      <c r="C4141" s="40">
        <v>4</v>
      </c>
      <c r="D4141" s="38" t="s">
        <v>266</v>
      </c>
    </row>
    <row r="4142" spans="1:4" x14ac:dyDescent="0.25">
      <c r="A4142" s="42">
        <v>313119.13</v>
      </c>
      <c r="B4142" s="39" t="s">
        <v>5737</v>
      </c>
      <c r="C4142" s="40">
        <v>5</v>
      </c>
      <c r="D4142" s="38" t="s">
        <v>266</v>
      </c>
    </row>
    <row r="4143" spans="1:4" x14ac:dyDescent="0.25">
      <c r="A4143" s="41">
        <v>313200</v>
      </c>
      <c r="B4143" s="39" t="s">
        <v>1487</v>
      </c>
      <c r="C4143" s="40">
        <v>3</v>
      </c>
      <c r="D4143" s="39" t="s">
        <v>1486</v>
      </c>
    </row>
    <row r="4144" spans="1:4" x14ac:dyDescent="0.25">
      <c r="A4144" s="41">
        <v>313213</v>
      </c>
      <c r="B4144" s="39" t="s">
        <v>5738</v>
      </c>
      <c r="C4144" s="40">
        <v>4</v>
      </c>
      <c r="D4144" s="38" t="s">
        <v>266</v>
      </c>
    </row>
    <row r="4145" spans="1:4" x14ac:dyDescent="0.25">
      <c r="A4145" s="42">
        <v>313213.13</v>
      </c>
      <c r="B4145" s="39" t="s">
        <v>5739</v>
      </c>
      <c r="C4145" s="40">
        <v>5</v>
      </c>
      <c r="D4145" s="38" t="s">
        <v>266</v>
      </c>
    </row>
    <row r="4146" spans="1:4" x14ac:dyDescent="0.25">
      <c r="A4146" s="42">
        <v>313213.15999999997</v>
      </c>
      <c r="B4146" s="39" t="s">
        <v>5740</v>
      </c>
      <c r="C4146" s="40">
        <v>5</v>
      </c>
      <c r="D4146" s="38" t="s">
        <v>266</v>
      </c>
    </row>
    <row r="4147" spans="1:4" x14ac:dyDescent="0.25">
      <c r="A4147" s="42">
        <v>313213.19</v>
      </c>
      <c r="B4147" s="39" t="s">
        <v>5741</v>
      </c>
      <c r="C4147" s="40">
        <v>5</v>
      </c>
      <c r="D4147" s="38" t="s">
        <v>266</v>
      </c>
    </row>
    <row r="4148" spans="1:4" x14ac:dyDescent="0.25">
      <c r="A4148" s="42">
        <v>313213.23</v>
      </c>
      <c r="B4148" s="39" t="s">
        <v>5742</v>
      </c>
      <c r="C4148" s="40">
        <v>5</v>
      </c>
      <c r="D4148" s="38" t="s">
        <v>266</v>
      </c>
    </row>
    <row r="4149" spans="1:4" x14ac:dyDescent="0.25">
      <c r="A4149" s="42">
        <v>313213.26</v>
      </c>
      <c r="B4149" s="39" t="s">
        <v>5743</v>
      </c>
      <c r="C4149" s="40">
        <v>5</v>
      </c>
      <c r="D4149" s="38" t="s">
        <v>266</v>
      </c>
    </row>
    <row r="4150" spans="1:4" x14ac:dyDescent="0.25">
      <c r="A4150" s="41">
        <v>313216</v>
      </c>
      <c r="B4150" s="39" t="s">
        <v>5744</v>
      </c>
      <c r="C4150" s="40">
        <v>4</v>
      </c>
      <c r="D4150" s="38" t="s">
        <v>266</v>
      </c>
    </row>
    <row r="4151" spans="1:4" x14ac:dyDescent="0.25">
      <c r="A4151" s="42">
        <v>313216.13</v>
      </c>
      <c r="B4151" s="39" t="s">
        <v>5745</v>
      </c>
      <c r="C4151" s="40">
        <v>5</v>
      </c>
      <c r="D4151" s="38" t="s">
        <v>266</v>
      </c>
    </row>
    <row r="4152" spans="1:4" x14ac:dyDescent="0.25">
      <c r="A4152" s="41">
        <v>313217</v>
      </c>
      <c r="B4152" s="39" t="s">
        <v>5746</v>
      </c>
      <c r="C4152" s="40">
        <v>4</v>
      </c>
      <c r="D4152" s="38" t="s">
        <v>266</v>
      </c>
    </row>
    <row r="4153" spans="1:4" x14ac:dyDescent="0.25">
      <c r="A4153" s="41">
        <v>313219</v>
      </c>
      <c r="B4153" s="39" t="s">
        <v>5747</v>
      </c>
      <c r="C4153" s="40">
        <v>4</v>
      </c>
      <c r="D4153" s="38" t="s">
        <v>266</v>
      </c>
    </row>
    <row r="4154" spans="1:4" x14ac:dyDescent="0.25">
      <c r="A4154" s="42">
        <v>313219.13</v>
      </c>
      <c r="B4154" s="39" t="s">
        <v>5748</v>
      </c>
      <c r="C4154" s="40">
        <v>5</v>
      </c>
      <c r="D4154" s="38" t="s">
        <v>266</v>
      </c>
    </row>
    <row r="4155" spans="1:4" x14ac:dyDescent="0.25">
      <c r="A4155" s="42">
        <v>313219.15999999997</v>
      </c>
      <c r="B4155" s="39" t="s">
        <v>5749</v>
      </c>
      <c r="C4155" s="40">
        <v>5</v>
      </c>
      <c r="D4155" s="38" t="s">
        <v>266</v>
      </c>
    </row>
    <row r="4156" spans="1:4" x14ac:dyDescent="0.25">
      <c r="A4156" s="42">
        <v>313219.19</v>
      </c>
      <c r="B4156" s="39" t="s">
        <v>5750</v>
      </c>
      <c r="C4156" s="40">
        <v>5</v>
      </c>
      <c r="D4156" s="38" t="s">
        <v>266</v>
      </c>
    </row>
    <row r="4157" spans="1:4" x14ac:dyDescent="0.25">
      <c r="A4157" s="42">
        <v>313219.23</v>
      </c>
      <c r="B4157" s="39" t="s">
        <v>5751</v>
      </c>
      <c r="C4157" s="40">
        <v>5</v>
      </c>
      <c r="D4157" s="38" t="s">
        <v>266</v>
      </c>
    </row>
    <row r="4158" spans="1:4" x14ac:dyDescent="0.25">
      <c r="A4158" s="41">
        <v>313223</v>
      </c>
      <c r="B4158" s="39" t="s">
        <v>5752</v>
      </c>
      <c r="C4158" s="40">
        <v>4</v>
      </c>
      <c r="D4158" s="38" t="s">
        <v>266</v>
      </c>
    </row>
    <row r="4159" spans="1:4" x14ac:dyDescent="0.25">
      <c r="A4159" s="42">
        <v>313223.13</v>
      </c>
      <c r="B4159" s="39" t="s">
        <v>5753</v>
      </c>
      <c r="C4159" s="40">
        <v>5</v>
      </c>
      <c r="D4159" s="38" t="s">
        <v>266</v>
      </c>
    </row>
    <row r="4160" spans="1:4" x14ac:dyDescent="0.25">
      <c r="A4160" s="42">
        <v>313223.15999999997</v>
      </c>
      <c r="B4160" s="39" t="s">
        <v>5754</v>
      </c>
      <c r="C4160" s="40">
        <v>5</v>
      </c>
      <c r="D4160" s="38" t="s">
        <v>266</v>
      </c>
    </row>
    <row r="4161" spans="1:4" x14ac:dyDescent="0.25">
      <c r="A4161" s="41">
        <v>313233</v>
      </c>
      <c r="B4161" s="39" t="s">
        <v>5755</v>
      </c>
      <c r="C4161" s="40">
        <v>4</v>
      </c>
      <c r="D4161" s="38" t="s">
        <v>266</v>
      </c>
    </row>
    <row r="4162" spans="1:4" x14ac:dyDescent="0.25">
      <c r="A4162" s="41">
        <v>313236</v>
      </c>
      <c r="B4162" s="39" t="s">
        <v>5756</v>
      </c>
      <c r="C4162" s="40">
        <v>4</v>
      </c>
      <c r="D4162" s="38" t="s">
        <v>266</v>
      </c>
    </row>
    <row r="4163" spans="1:4" x14ac:dyDescent="0.25">
      <c r="A4163" s="42">
        <v>313236.13</v>
      </c>
      <c r="B4163" s="39" t="s">
        <v>5757</v>
      </c>
      <c r="C4163" s="40">
        <v>5</v>
      </c>
      <c r="D4163" s="38" t="s">
        <v>266</v>
      </c>
    </row>
    <row r="4164" spans="1:4" x14ac:dyDescent="0.25">
      <c r="A4164" s="42">
        <v>313236.15999999997</v>
      </c>
      <c r="B4164" s="39" t="s">
        <v>5758</v>
      </c>
      <c r="C4164" s="40">
        <v>5</v>
      </c>
      <c r="D4164" s="38" t="s">
        <v>266</v>
      </c>
    </row>
    <row r="4165" spans="1:4" x14ac:dyDescent="0.25">
      <c r="A4165" s="42">
        <v>313236.19</v>
      </c>
      <c r="B4165" s="39" t="s">
        <v>5759</v>
      </c>
      <c r="C4165" s="40">
        <v>5</v>
      </c>
      <c r="D4165" s="38" t="s">
        <v>266</v>
      </c>
    </row>
    <row r="4166" spans="1:4" x14ac:dyDescent="0.25">
      <c r="A4166" s="42">
        <v>313236.23</v>
      </c>
      <c r="B4166" s="39" t="s">
        <v>5760</v>
      </c>
      <c r="C4166" s="40">
        <v>5</v>
      </c>
      <c r="D4166" s="38" t="s">
        <v>266</v>
      </c>
    </row>
    <row r="4167" spans="1:4" x14ac:dyDescent="0.25">
      <c r="A4167" s="42">
        <v>313236.26</v>
      </c>
      <c r="B4167" s="39" t="s">
        <v>5761</v>
      </c>
      <c r="C4167" s="40">
        <v>5</v>
      </c>
      <c r="D4167" s="38" t="s">
        <v>266</v>
      </c>
    </row>
    <row r="4168" spans="1:4" x14ac:dyDescent="0.25">
      <c r="A4168" s="41">
        <v>313300</v>
      </c>
      <c r="B4168" s="39" t="s">
        <v>1489</v>
      </c>
      <c r="C4168" s="40">
        <v>3</v>
      </c>
      <c r="D4168" s="39" t="s">
        <v>1488</v>
      </c>
    </row>
    <row r="4169" spans="1:4" x14ac:dyDescent="0.25">
      <c r="A4169" s="41">
        <v>313313</v>
      </c>
      <c r="B4169" s="39" t="s">
        <v>5762</v>
      </c>
      <c r="C4169" s="40">
        <v>4</v>
      </c>
      <c r="D4169" s="38" t="s">
        <v>266</v>
      </c>
    </row>
    <row r="4170" spans="1:4" x14ac:dyDescent="0.25">
      <c r="A4170" s="41">
        <v>313323</v>
      </c>
      <c r="B4170" s="39" t="s">
        <v>5763</v>
      </c>
      <c r="C4170" s="40">
        <v>4</v>
      </c>
      <c r="D4170" s="38" t="s">
        <v>266</v>
      </c>
    </row>
    <row r="4171" spans="1:4" x14ac:dyDescent="0.25">
      <c r="A4171" s="41">
        <v>313326</v>
      </c>
      <c r="B4171" s="39" t="s">
        <v>5764</v>
      </c>
      <c r="C4171" s="40">
        <v>4</v>
      </c>
      <c r="D4171" s="38" t="s">
        <v>266</v>
      </c>
    </row>
    <row r="4172" spans="1:4" x14ac:dyDescent="0.25">
      <c r="A4172" s="41">
        <v>313333</v>
      </c>
      <c r="B4172" s="39" t="s">
        <v>5765</v>
      </c>
      <c r="C4172" s="40">
        <v>4</v>
      </c>
      <c r="D4172" s="38" t="s">
        <v>266</v>
      </c>
    </row>
    <row r="4173" spans="1:4" x14ac:dyDescent="0.25">
      <c r="A4173" s="41">
        <v>313343</v>
      </c>
      <c r="B4173" s="39" t="s">
        <v>5766</v>
      </c>
      <c r="C4173" s="40">
        <v>4</v>
      </c>
      <c r="D4173" s="38" t="s">
        <v>266</v>
      </c>
    </row>
    <row r="4174" spans="1:4" x14ac:dyDescent="0.25">
      <c r="A4174" s="41">
        <v>313400</v>
      </c>
      <c r="B4174" s="39" t="s">
        <v>1491</v>
      </c>
      <c r="C4174" s="40">
        <v>3</v>
      </c>
      <c r="D4174" s="39" t="s">
        <v>1490</v>
      </c>
    </row>
    <row r="4175" spans="1:4" x14ac:dyDescent="0.25">
      <c r="A4175" s="41">
        <v>313419</v>
      </c>
      <c r="B4175" s="39" t="s">
        <v>5767</v>
      </c>
      <c r="C4175" s="40">
        <v>4</v>
      </c>
      <c r="D4175" s="38" t="s">
        <v>266</v>
      </c>
    </row>
    <row r="4176" spans="1:4" x14ac:dyDescent="0.25">
      <c r="A4176" s="42">
        <v>313419.13</v>
      </c>
      <c r="B4176" s="39" t="s">
        <v>5768</v>
      </c>
      <c r="C4176" s="40">
        <v>5</v>
      </c>
      <c r="D4176" s="38" t="s">
        <v>266</v>
      </c>
    </row>
    <row r="4177" spans="1:4" x14ac:dyDescent="0.25">
      <c r="A4177" s="42">
        <v>313419.15999999997</v>
      </c>
      <c r="B4177" s="39" t="s">
        <v>5769</v>
      </c>
      <c r="C4177" s="40">
        <v>5</v>
      </c>
      <c r="D4177" s="38" t="s">
        <v>266</v>
      </c>
    </row>
    <row r="4178" spans="1:4" x14ac:dyDescent="0.25">
      <c r="A4178" s="41">
        <v>313423</v>
      </c>
      <c r="B4178" s="39" t="s">
        <v>5770</v>
      </c>
      <c r="C4178" s="40">
        <v>4</v>
      </c>
      <c r="D4178" s="38" t="s">
        <v>266</v>
      </c>
    </row>
    <row r="4179" spans="1:4" x14ac:dyDescent="0.25">
      <c r="A4179" s="42">
        <v>313423.13</v>
      </c>
      <c r="B4179" s="39" t="s">
        <v>5771</v>
      </c>
      <c r="C4179" s="40">
        <v>5</v>
      </c>
      <c r="D4179" s="38" t="s">
        <v>266</v>
      </c>
    </row>
    <row r="4180" spans="1:4" x14ac:dyDescent="0.25">
      <c r="A4180" s="41">
        <v>313500</v>
      </c>
      <c r="B4180" s="39" t="s">
        <v>1493</v>
      </c>
      <c r="C4180" s="40">
        <v>3</v>
      </c>
      <c r="D4180" s="39" t="s">
        <v>1492</v>
      </c>
    </row>
    <row r="4181" spans="1:4" x14ac:dyDescent="0.25">
      <c r="A4181" s="41">
        <v>313519</v>
      </c>
      <c r="B4181" s="39" t="s">
        <v>5772</v>
      </c>
      <c r="C4181" s="40">
        <v>4</v>
      </c>
      <c r="D4181" s="38" t="s">
        <v>266</v>
      </c>
    </row>
    <row r="4182" spans="1:4" x14ac:dyDescent="0.25">
      <c r="A4182" s="42">
        <v>313519.13</v>
      </c>
      <c r="B4182" s="39" t="s">
        <v>5773</v>
      </c>
      <c r="C4182" s="40">
        <v>5</v>
      </c>
      <c r="D4182" s="38" t="s">
        <v>266</v>
      </c>
    </row>
    <row r="4183" spans="1:4" x14ac:dyDescent="0.25">
      <c r="A4183" s="42">
        <v>313519.15999999997</v>
      </c>
      <c r="B4183" s="39" t="s">
        <v>5774</v>
      </c>
      <c r="C4183" s="40">
        <v>5</v>
      </c>
      <c r="D4183" s="38" t="s">
        <v>266</v>
      </c>
    </row>
    <row r="4184" spans="1:4" x14ac:dyDescent="0.25">
      <c r="A4184" s="42">
        <v>313519.19</v>
      </c>
      <c r="B4184" s="39" t="s">
        <v>5775</v>
      </c>
      <c r="C4184" s="40">
        <v>5</v>
      </c>
      <c r="D4184" s="38" t="s">
        <v>266</v>
      </c>
    </row>
    <row r="4185" spans="1:4" x14ac:dyDescent="0.25">
      <c r="A4185" s="41">
        <v>313523</v>
      </c>
      <c r="B4185" s="39" t="s">
        <v>5776</v>
      </c>
      <c r="C4185" s="40">
        <v>4</v>
      </c>
      <c r="D4185" s="38" t="s">
        <v>266</v>
      </c>
    </row>
    <row r="4186" spans="1:4" x14ac:dyDescent="0.25">
      <c r="A4186" s="42">
        <v>313523.13</v>
      </c>
      <c r="B4186" s="39" t="s">
        <v>5777</v>
      </c>
      <c r="C4186" s="40">
        <v>5</v>
      </c>
      <c r="D4186" s="38" t="s">
        <v>266</v>
      </c>
    </row>
    <row r="4187" spans="1:4" x14ac:dyDescent="0.25">
      <c r="A4187" s="42">
        <v>313523.15999999997</v>
      </c>
      <c r="B4187" s="39" t="s">
        <v>5778</v>
      </c>
      <c r="C4187" s="40">
        <v>5</v>
      </c>
      <c r="D4187" s="38" t="s">
        <v>266</v>
      </c>
    </row>
    <row r="4188" spans="1:4" x14ac:dyDescent="0.25">
      <c r="A4188" s="42">
        <v>313523.19</v>
      </c>
      <c r="B4188" s="39" t="s">
        <v>5779</v>
      </c>
      <c r="C4188" s="40">
        <v>5</v>
      </c>
      <c r="D4188" s="38" t="s">
        <v>266</v>
      </c>
    </row>
    <row r="4189" spans="1:4" x14ac:dyDescent="0.25">
      <c r="A4189" s="41">
        <v>313526</v>
      </c>
      <c r="B4189" s="39" t="s">
        <v>5780</v>
      </c>
      <c r="C4189" s="40">
        <v>4</v>
      </c>
      <c r="D4189" s="38" t="s">
        <v>266</v>
      </c>
    </row>
    <row r="4190" spans="1:4" x14ac:dyDescent="0.25">
      <c r="A4190" s="42">
        <v>313526.13</v>
      </c>
      <c r="B4190" s="39" t="s">
        <v>5781</v>
      </c>
      <c r="C4190" s="40">
        <v>5</v>
      </c>
      <c r="D4190" s="38" t="s">
        <v>266</v>
      </c>
    </row>
    <row r="4191" spans="1:4" x14ac:dyDescent="0.25">
      <c r="A4191" s="42">
        <v>313526.15999999997</v>
      </c>
      <c r="B4191" s="39" t="s">
        <v>5782</v>
      </c>
      <c r="C4191" s="40">
        <v>5</v>
      </c>
      <c r="D4191" s="38" t="s">
        <v>266</v>
      </c>
    </row>
    <row r="4192" spans="1:4" x14ac:dyDescent="0.25">
      <c r="A4192" s="42">
        <v>313526.23</v>
      </c>
      <c r="B4192" s="39" t="s">
        <v>5783</v>
      </c>
      <c r="C4192" s="40">
        <v>5</v>
      </c>
      <c r="D4192" s="38" t="s">
        <v>266</v>
      </c>
    </row>
    <row r="4193" spans="1:4" x14ac:dyDescent="0.25">
      <c r="A4193" s="41">
        <v>313600</v>
      </c>
      <c r="B4193" s="39" t="s">
        <v>1495</v>
      </c>
      <c r="C4193" s="40">
        <v>3</v>
      </c>
      <c r="D4193" s="39" t="s">
        <v>1494</v>
      </c>
    </row>
    <row r="4194" spans="1:4" x14ac:dyDescent="0.25">
      <c r="A4194" s="41">
        <v>313613</v>
      </c>
      <c r="B4194" s="39" t="s">
        <v>5784</v>
      </c>
      <c r="C4194" s="40">
        <v>4</v>
      </c>
      <c r="D4194" s="38" t="s">
        <v>266</v>
      </c>
    </row>
    <row r="4195" spans="1:4" x14ac:dyDescent="0.25">
      <c r="A4195" s="41">
        <v>313619</v>
      </c>
      <c r="B4195" s="39" t="s">
        <v>5785</v>
      </c>
      <c r="C4195" s="40">
        <v>4</v>
      </c>
      <c r="D4195" s="38" t="s">
        <v>266</v>
      </c>
    </row>
    <row r="4196" spans="1:4" x14ac:dyDescent="0.25">
      <c r="A4196" s="42">
        <v>313619.13</v>
      </c>
      <c r="B4196" s="39" t="s">
        <v>5786</v>
      </c>
      <c r="C4196" s="40">
        <v>5</v>
      </c>
      <c r="D4196" s="38" t="s">
        <v>266</v>
      </c>
    </row>
    <row r="4197" spans="1:4" x14ac:dyDescent="0.25">
      <c r="A4197" s="41">
        <v>313700</v>
      </c>
      <c r="B4197" s="39" t="s">
        <v>1497</v>
      </c>
      <c r="C4197" s="40">
        <v>3</v>
      </c>
      <c r="D4197" s="38" t="s">
        <v>1496</v>
      </c>
    </row>
    <row r="4198" spans="1:4" x14ac:dyDescent="0.25">
      <c r="A4198" s="41">
        <v>313713</v>
      </c>
      <c r="B4198" s="39" t="s">
        <v>5787</v>
      </c>
      <c r="C4198" s="40">
        <v>4</v>
      </c>
      <c r="D4198" s="38" t="s">
        <v>266</v>
      </c>
    </row>
    <row r="4199" spans="1:4" x14ac:dyDescent="0.25">
      <c r="A4199" s="41">
        <v>313716</v>
      </c>
      <c r="B4199" s="39" t="s">
        <v>5788</v>
      </c>
      <c r="C4199" s="40">
        <v>4</v>
      </c>
      <c r="D4199" s="38" t="s">
        <v>266</v>
      </c>
    </row>
    <row r="4200" spans="1:4" x14ac:dyDescent="0.25">
      <c r="A4200" s="42">
        <v>313716.13</v>
      </c>
      <c r="B4200" s="39" t="s">
        <v>5789</v>
      </c>
      <c r="C4200" s="40">
        <v>5</v>
      </c>
      <c r="D4200" s="38" t="s">
        <v>266</v>
      </c>
    </row>
    <row r="4201" spans="1:4" x14ac:dyDescent="0.25">
      <c r="A4201" s="42">
        <v>313716.15999999997</v>
      </c>
      <c r="B4201" s="39" t="s">
        <v>5790</v>
      </c>
      <c r="C4201" s="40">
        <v>5</v>
      </c>
      <c r="D4201" s="38" t="s">
        <v>266</v>
      </c>
    </row>
    <row r="4202" spans="1:4" x14ac:dyDescent="0.25">
      <c r="A4202" s="42">
        <v>313716.19</v>
      </c>
      <c r="B4202" s="39" t="s">
        <v>5791</v>
      </c>
      <c r="C4202" s="40">
        <v>5</v>
      </c>
      <c r="D4202" s="38" t="s">
        <v>266</v>
      </c>
    </row>
    <row r="4203" spans="1:4" x14ac:dyDescent="0.25">
      <c r="A4203" s="41">
        <v>314000</v>
      </c>
      <c r="B4203" s="39" t="s">
        <v>5792</v>
      </c>
      <c r="C4203" s="40">
        <v>3</v>
      </c>
      <c r="D4203" s="38" t="s">
        <v>266</v>
      </c>
    </row>
    <row r="4204" spans="1:4" x14ac:dyDescent="0.25">
      <c r="A4204" s="41">
        <v>314100</v>
      </c>
      <c r="B4204" s="39" t="s">
        <v>5793</v>
      </c>
      <c r="C4204" s="40">
        <v>3</v>
      </c>
      <c r="D4204" s="38" t="s">
        <v>266</v>
      </c>
    </row>
    <row r="4205" spans="1:4" x14ac:dyDescent="0.25">
      <c r="A4205" s="41">
        <v>314113</v>
      </c>
      <c r="B4205" s="39" t="s">
        <v>5794</v>
      </c>
      <c r="C4205" s="40">
        <v>4</v>
      </c>
      <c r="D4205" s="38" t="s">
        <v>266</v>
      </c>
    </row>
    <row r="4206" spans="1:4" x14ac:dyDescent="0.25">
      <c r="A4206" s="41">
        <v>314116</v>
      </c>
      <c r="B4206" s="39" t="s">
        <v>5795</v>
      </c>
      <c r="C4206" s="40">
        <v>4</v>
      </c>
      <c r="D4206" s="38" t="s">
        <v>266</v>
      </c>
    </row>
    <row r="4207" spans="1:4" x14ac:dyDescent="0.25">
      <c r="A4207" s="42">
        <v>314116.13</v>
      </c>
      <c r="B4207" s="39" t="s">
        <v>5796</v>
      </c>
      <c r="C4207" s="40">
        <v>5</v>
      </c>
      <c r="D4207" s="38" t="s">
        <v>266</v>
      </c>
    </row>
    <row r="4208" spans="1:4" x14ac:dyDescent="0.25">
      <c r="A4208" s="42">
        <v>314116.15999999997</v>
      </c>
      <c r="B4208" s="39" t="s">
        <v>5797</v>
      </c>
      <c r="C4208" s="40">
        <v>5</v>
      </c>
      <c r="D4208" s="38" t="s">
        <v>266</v>
      </c>
    </row>
    <row r="4209" spans="1:4" x14ac:dyDescent="0.25">
      <c r="A4209" s="41">
        <v>314119</v>
      </c>
      <c r="B4209" s="39" t="s">
        <v>5798</v>
      </c>
      <c r="C4209" s="40">
        <v>4</v>
      </c>
      <c r="D4209" s="38" t="s">
        <v>266</v>
      </c>
    </row>
    <row r="4210" spans="1:4" x14ac:dyDescent="0.25">
      <c r="A4210" s="42">
        <v>314119.13</v>
      </c>
      <c r="B4210" s="39" t="s">
        <v>5799</v>
      </c>
      <c r="C4210" s="40">
        <v>5</v>
      </c>
      <c r="D4210" s="38" t="s">
        <v>266</v>
      </c>
    </row>
    <row r="4211" spans="1:4" x14ac:dyDescent="0.25">
      <c r="A4211" s="41">
        <v>314123</v>
      </c>
      <c r="B4211" s="39" t="s">
        <v>5800</v>
      </c>
      <c r="C4211" s="40">
        <v>4</v>
      </c>
      <c r="D4211" s="38" t="s">
        <v>266</v>
      </c>
    </row>
    <row r="4212" spans="1:4" x14ac:dyDescent="0.25">
      <c r="A4212" s="41">
        <v>314133</v>
      </c>
      <c r="B4212" s="39" t="s">
        <v>5801</v>
      </c>
      <c r="C4212" s="40">
        <v>4</v>
      </c>
      <c r="D4212" s="38" t="s">
        <v>266</v>
      </c>
    </row>
    <row r="4213" spans="1:4" x14ac:dyDescent="0.25">
      <c r="A4213" s="41">
        <v>314300</v>
      </c>
      <c r="B4213" s="39" t="s">
        <v>5802</v>
      </c>
      <c r="C4213" s="40">
        <v>3</v>
      </c>
      <c r="D4213" s="38" t="s">
        <v>266</v>
      </c>
    </row>
    <row r="4214" spans="1:4" x14ac:dyDescent="0.25">
      <c r="A4214" s="41">
        <v>314313</v>
      </c>
      <c r="B4214" s="39" t="s">
        <v>5803</v>
      </c>
      <c r="C4214" s="40">
        <v>4</v>
      </c>
      <c r="D4214" s="38" t="s">
        <v>266</v>
      </c>
    </row>
    <row r="4215" spans="1:4" x14ac:dyDescent="0.25">
      <c r="A4215" s="42">
        <v>314313.13</v>
      </c>
      <c r="B4215" s="39" t="s">
        <v>5804</v>
      </c>
      <c r="C4215" s="40">
        <v>5</v>
      </c>
      <c r="D4215" s="38" t="s">
        <v>266</v>
      </c>
    </row>
    <row r="4216" spans="1:4" x14ac:dyDescent="0.25">
      <c r="A4216" s="42">
        <v>314313.15999999997</v>
      </c>
      <c r="B4216" s="39" t="s">
        <v>5805</v>
      </c>
      <c r="C4216" s="40">
        <v>5</v>
      </c>
      <c r="D4216" s="38" t="s">
        <v>266</v>
      </c>
    </row>
    <row r="4217" spans="1:4" x14ac:dyDescent="0.25">
      <c r="A4217" s="41">
        <v>314316</v>
      </c>
      <c r="B4217" s="39" t="s">
        <v>5806</v>
      </c>
      <c r="C4217" s="40">
        <v>4</v>
      </c>
      <c r="D4217" s="38" t="s">
        <v>266</v>
      </c>
    </row>
    <row r="4218" spans="1:4" x14ac:dyDescent="0.25">
      <c r="A4218" s="41">
        <v>314319</v>
      </c>
      <c r="B4218" s="39" t="s">
        <v>5807</v>
      </c>
      <c r="C4218" s="40">
        <v>4</v>
      </c>
      <c r="D4218" s="38" t="s">
        <v>266</v>
      </c>
    </row>
    <row r="4219" spans="1:4" x14ac:dyDescent="0.25">
      <c r="A4219" s="41">
        <v>314500</v>
      </c>
      <c r="B4219" s="39" t="s">
        <v>5808</v>
      </c>
      <c r="C4219" s="40">
        <v>3</v>
      </c>
      <c r="D4219" s="38" t="s">
        <v>266</v>
      </c>
    </row>
    <row r="4220" spans="1:4" x14ac:dyDescent="0.25">
      <c r="A4220" s="41">
        <v>314513</v>
      </c>
      <c r="B4220" s="39" t="s">
        <v>5809</v>
      </c>
      <c r="C4220" s="40">
        <v>4</v>
      </c>
      <c r="D4220" s="38" t="s">
        <v>266</v>
      </c>
    </row>
    <row r="4221" spans="1:4" x14ac:dyDescent="0.25">
      <c r="A4221" s="41">
        <v>314516</v>
      </c>
      <c r="B4221" s="39" t="s">
        <v>5810</v>
      </c>
      <c r="C4221" s="40">
        <v>4</v>
      </c>
      <c r="D4221" s="38" t="s">
        <v>266</v>
      </c>
    </row>
    <row r="4222" spans="1:4" x14ac:dyDescent="0.25">
      <c r="A4222" s="41">
        <v>314600</v>
      </c>
      <c r="B4222" s="39" t="s">
        <v>5811</v>
      </c>
      <c r="C4222" s="40">
        <v>3</v>
      </c>
      <c r="D4222" s="38" t="s">
        <v>266</v>
      </c>
    </row>
    <row r="4223" spans="1:4" x14ac:dyDescent="0.25">
      <c r="A4223" s="41">
        <v>314613</v>
      </c>
      <c r="B4223" s="39" t="s">
        <v>5812</v>
      </c>
      <c r="C4223" s="40">
        <v>4</v>
      </c>
      <c r="D4223" s="38" t="s">
        <v>266</v>
      </c>
    </row>
    <row r="4224" spans="1:4" x14ac:dyDescent="0.25">
      <c r="A4224" s="41">
        <v>314800</v>
      </c>
      <c r="B4224" s="39" t="s">
        <v>467</v>
      </c>
      <c r="C4224" s="40">
        <v>3</v>
      </c>
      <c r="D4224" s="38" t="s">
        <v>466</v>
      </c>
    </row>
    <row r="4225" spans="1:4" x14ac:dyDescent="0.25">
      <c r="A4225" s="41">
        <v>314813</v>
      </c>
      <c r="B4225" s="39" t="s">
        <v>5813</v>
      </c>
      <c r="C4225" s="40">
        <v>4</v>
      </c>
      <c r="D4225" s="38" t="s">
        <v>266</v>
      </c>
    </row>
    <row r="4226" spans="1:4" x14ac:dyDescent="0.25">
      <c r="A4226" s="41">
        <v>314819</v>
      </c>
      <c r="B4226" s="39" t="s">
        <v>5814</v>
      </c>
      <c r="C4226" s="40">
        <v>4</v>
      </c>
      <c r="D4226" s="38" t="s">
        <v>266</v>
      </c>
    </row>
    <row r="4227" spans="1:4" x14ac:dyDescent="0.25">
      <c r="A4227" s="41">
        <v>314823</v>
      </c>
      <c r="B4227" s="39" t="s">
        <v>5815</v>
      </c>
      <c r="C4227" s="40">
        <v>4</v>
      </c>
      <c r="D4227" s="38" t="s">
        <v>266</v>
      </c>
    </row>
    <row r="4228" spans="1:4" x14ac:dyDescent="0.25">
      <c r="A4228" s="41">
        <v>314833</v>
      </c>
      <c r="B4228" s="39" t="s">
        <v>5816</v>
      </c>
      <c r="C4228" s="40">
        <v>4</v>
      </c>
      <c r="D4228" s="38" t="s">
        <v>266</v>
      </c>
    </row>
    <row r="4229" spans="1:4" x14ac:dyDescent="0.25">
      <c r="A4229" s="41">
        <v>315000</v>
      </c>
      <c r="B4229" s="39" t="s">
        <v>5817</v>
      </c>
      <c r="C4229" s="40">
        <v>3</v>
      </c>
      <c r="D4229" s="38" t="s">
        <v>528</v>
      </c>
    </row>
    <row r="4230" spans="1:4" x14ac:dyDescent="0.25">
      <c r="A4230" s="41">
        <v>315100</v>
      </c>
      <c r="B4230" s="39" t="s">
        <v>531</v>
      </c>
      <c r="C4230" s="40">
        <v>3</v>
      </c>
      <c r="D4230" s="38" t="s">
        <v>530</v>
      </c>
    </row>
    <row r="4231" spans="1:4" x14ac:dyDescent="0.25">
      <c r="A4231" s="41">
        <v>315113</v>
      </c>
      <c r="B4231" s="39" t="s">
        <v>5818</v>
      </c>
      <c r="C4231" s="40">
        <v>4</v>
      </c>
      <c r="D4231" s="38" t="s">
        <v>266</v>
      </c>
    </row>
    <row r="4232" spans="1:4" x14ac:dyDescent="0.25">
      <c r="A4232" s="41">
        <v>315116</v>
      </c>
      <c r="B4232" s="39" t="s">
        <v>5819</v>
      </c>
      <c r="C4232" s="40">
        <v>4</v>
      </c>
      <c r="D4232" s="38" t="s">
        <v>266</v>
      </c>
    </row>
    <row r="4233" spans="1:4" x14ac:dyDescent="0.25">
      <c r="A4233" s="41">
        <v>315200</v>
      </c>
      <c r="B4233" s="39" t="s">
        <v>533</v>
      </c>
      <c r="C4233" s="40">
        <v>3</v>
      </c>
      <c r="D4233" s="38" t="s">
        <v>532</v>
      </c>
    </row>
    <row r="4234" spans="1:4" x14ac:dyDescent="0.25">
      <c r="A4234" s="41">
        <v>315213</v>
      </c>
      <c r="B4234" s="39" t="s">
        <v>5820</v>
      </c>
      <c r="C4234" s="40">
        <v>4</v>
      </c>
      <c r="D4234" s="38" t="s">
        <v>266</v>
      </c>
    </row>
    <row r="4235" spans="1:4" x14ac:dyDescent="0.25">
      <c r="A4235" s="41">
        <v>315216</v>
      </c>
      <c r="B4235" s="39" t="s">
        <v>5821</v>
      </c>
      <c r="C4235" s="40">
        <v>4</v>
      </c>
      <c r="D4235" s="38" t="s">
        <v>266</v>
      </c>
    </row>
    <row r="4236" spans="1:4" x14ac:dyDescent="0.25">
      <c r="A4236" s="41">
        <v>315219</v>
      </c>
      <c r="B4236" s="39" t="s">
        <v>5822</v>
      </c>
      <c r="C4236" s="40">
        <v>4</v>
      </c>
      <c r="D4236" s="38" t="s">
        <v>266</v>
      </c>
    </row>
    <row r="4237" spans="1:4" x14ac:dyDescent="0.25">
      <c r="A4237" s="41">
        <v>315300</v>
      </c>
      <c r="B4237" s="39" t="s">
        <v>535</v>
      </c>
      <c r="C4237" s="40">
        <v>3</v>
      </c>
      <c r="D4237" s="38" t="s">
        <v>534</v>
      </c>
    </row>
    <row r="4238" spans="1:4" x14ac:dyDescent="0.25">
      <c r="A4238" s="41">
        <v>315313</v>
      </c>
      <c r="B4238" s="39" t="s">
        <v>5823</v>
      </c>
      <c r="C4238" s="40">
        <v>4</v>
      </c>
      <c r="D4238" s="38" t="s">
        <v>266</v>
      </c>
    </row>
    <row r="4239" spans="1:4" x14ac:dyDescent="0.25">
      <c r="A4239" s="41">
        <v>315400</v>
      </c>
      <c r="B4239" s="39" t="s">
        <v>537</v>
      </c>
      <c r="C4239" s="40">
        <v>3</v>
      </c>
      <c r="D4239" s="38" t="s">
        <v>536</v>
      </c>
    </row>
    <row r="4240" spans="1:4" x14ac:dyDescent="0.25">
      <c r="A4240" s="41">
        <v>315600</v>
      </c>
      <c r="B4240" s="39" t="s">
        <v>539</v>
      </c>
      <c r="C4240" s="40">
        <v>3</v>
      </c>
      <c r="D4240" s="38" t="s">
        <v>538</v>
      </c>
    </row>
    <row r="4241" spans="1:4" x14ac:dyDescent="0.25">
      <c r="A4241" s="41">
        <v>315613</v>
      </c>
      <c r="B4241" s="39" t="s">
        <v>5824</v>
      </c>
      <c r="C4241" s="40">
        <v>4</v>
      </c>
      <c r="D4241" s="38" t="s">
        <v>266</v>
      </c>
    </row>
    <row r="4242" spans="1:4" x14ac:dyDescent="0.25">
      <c r="A4242" s="42">
        <v>315613.13</v>
      </c>
      <c r="B4242" s="39" t="s">
        <v>5825</v>
      </c>
      <c r="C4242" s="40">
        <v>5</v>
      </c>
      <c r="D4242" s="38" t="s">
        <v>266</v>
      </c>
    </row>
    <row r="4243" spans="1:4" x14ac:dyDescent="0.25">
      <c r="A4243" s="42">
        <v>315613.15999999997</v>
      </c>
      <c r="B4243" s="39" t="s">
        <v>5826</v>
      </c>
      <c r="C4243" s="40">
        <v>5</v>
      </c>
      <c r="D4243" s="38" t="s">
        <v>266</v>
      </c>
    </row>
    <row r="4244" spans="1:4" x14ac:dyDescent="0.25">
      <c r="A4244" s="42">
        <v>315613.19</v>
      </c>
      <c r="B4244" s="39" t="s">
        <v>5827</v>
      </c>
      <c r="C4244" s="40">
        <v>5</v>
      </c>
      <c r="D4244" s="38" t="s">
        <v>266</v>
      </c>
    </row>
    <row r="4245" spans="1:4" x14ac:dyDescent="0.25">
      <c r="A4245" s="42">
        <v>315613.23</v>
      </c>
      <c r="B4245" s="39" t="s">
        <v>5828</v>
      </c>
      <c r="C4245" s="40">
        <v>5</v>
      </c>
      <c r="D4245" s="38" t="s">
        <v>266</v>
      </c>
    </row>
    <row r="4246" spans="1:4" x14ac:dyDescent="0.25">
      <c r="A4246" s="42">
        <v>315613.26</v>
      </c>
      <c r="B4246" s="39" t="s">
        <v>5829</v>
      </c>
      <c r="C4246" s="40">
        <v>5</v>
      </c>
      <c r="D4246" s="38" t="s">
        <v>266</v>
      </c>
    </row>
    <row r="4247" spans="1:4" x14ac:dyDescent="0.25">
      <c r="A4247" s="42">
        <v>315613.28999999998</v>
      </c>
      <c r="B4247" s="39" t="s">
        <v>5830</v>
      </c>
      <c r="C4247" s="40">
        <v>5</v>
      </c>
      <c r="D4247" s="38" t="s">
        <v>266</v>
      </c>
    </row>
    <row r="4248" spans="1:4" x14ac:dyDescent="0.25">
      <c r="A4248" s="41">
        <v>315616</v>
      </c>
      <c r="B4248" s="39" t="s">
        <v>5831</v>
      </c>
      <c r="C4248" s="40">
        <v>4</v>
      </c>
      <c r="D4248" s="38" t="s">
        <v>266</v>
      </c>
    </row>
    <row r="4249" spans="1:4" x14ac:dyDescent="0.25">
      <c r="A4249" s="42">
        <v>315616.13</v>
      </c>
      <c r="B4249" s="39" t="s">
        <v>5832</v>
      </c>
      <c r="C4249" s="40">
        <v>5</v>
      </c>
      <c r="D4249" s="38" t="s">
        <v>266</v>
      </c>
    </row>
    <row r="4250" spans="1:4" x14ac:dyDescent="0.25">
      <c r="A4250" s="41">
        <v>315619</v>
      </c>
      <c r="B4250" s="39" t="s">
        <v>5833</v>
      </c>
      <c r="C4250" s="40">
        <v>4</v>
      </c>
      <c r="D4250" s="38" t="s">
        <v>266</v>
      </c>
    </row>
    <row r="4251" spans="1:4" x14ac:dyDescent="0.25">
      <c r="A4251" s="41">
        <v>315623</v>
      </c>
      <c r="B4251" s="39" t="s">
        <v>5834</v>
      </c>
      <c r="C4251" s="40">
        <v>4</v>
      </c>
      <c r="D4251" s="38" t="s">
        <v>266</v>
      </c>
    </row>
    <row r="4252" spans="1:4" x14ac:dyDescent="0.25">
      <c r="A4252" s="41">
        <v>315626</v>
      </c>
      <c r="B4252" s="39" t="s">
        <v>5835</v>
      </c>
      <c r="C4252" s="40">
        <v>4</v>
      </c>
      <c r="D4252" s="38" t="s">
        <v>266</v>
      </c>
    </row>
    <row r="4253" spans="1:4" x14ac:dyDescent="0.25">
      <c r="A4253" s="41">
        <v>316000</v>
      </c>
      <c r="B4253" s="39" t="s">
        <v>5836</v>
      </c>
      <c r="C4253" s="40">
        <v>3</v>
      </c>
      <c r="D4253" s="38" t="s">
        <v>454</v>
      </c>
    </row>
    <row r="4254" spans="1:4" x14ac:dyDescent="0.25">
      <c r="A4254" s="41">
        <v>316200</v>
      </c>
      <c r="B4254" s="39" t="s">
        <v>457</v>
      </c>
      <c r="C4254" s="40">
        <v>3</v>
      </c>
      <c r="D4254" s="38" t="s">
        <v>456</v>
      </c>
    </row>
    <row r="4255" spans="1:4" x14ac:dyDescent="0.25">
      <c r="A4255" s="41">
        <v>316213</v>
      </c>
      <c r="B4255" s="39" t="s">
        <v>5837</v>
      </c>
      <c r="C4255" s="40">
        <v>4</v>
      </c>
      <c r="D4255" s="38" t="s">
        <v>266</v>
      </c>
    </row>
    <row r="4256" spans="1:4" x14ac:dyDescent="0.25">
      <c r="A4256" s="42">
        <v>316213.13</v>
      </c>
      <c r="B4256" s="39" t="s">
        <v>5838</v>
      </c>
      <c r="C4256" s="40">
        <v>5</v>
      </c>
      <c r="D4256" s="38" t="s">
        <v>266</v>
      </c>
    </row>
    <row r="4257" spans="1:4" x14ac:dyDescent="0.25">
      <c r="A4257" s="42">
        <v>316213.15999999997</v>
      </c>
      <c r="B4257" s="39" t="s">
        <v>5839</v>
      </c>
      <c r="C4257" s="40">
        <v>5</v>
      </c>
      <c r="D4257" s="38" t="s">
        <v>266</v>
      </c>
    </row>
    <row r="4258" spans="1:4" x14ac:dyDescent="0.25">
      <c r="A4258" s="42">
        <v>316213.19</v>
      </c>
      <c r="B4258" s="39" t="s">
        <v>5840</v>
      </c>
      <c r="C4258" s="40">
        <v>5</v>
      </c>
      <c r="D4258" s="38" t="s">
        <v>266</v>
      </c>
    </row>
    <row r="4259" spans="1:4" x14ac:dyDescent="0.25">
      <c r="A4259" s="42">
        <v>316213.23</v>
      </c>
      <c r="B4259" s="39" t="s">
        <v>5841</v>
      </c>
      <c r="C4259" s="40">
        <v>5</v>
      </c>
      <c r="D4259" s="38" t="s">
        <v>266</v>
      </c>
    </row>
    <row r="4260" spans="1:4" x14ac:dyDescent="0.25">
      <c r="A4260" s="42">
        <v>316213.26</v>
      </c>
      <c r="B4260" s="39" t="s">
        <v>5842</v>
      </c>
      <c r="C4260" s="40">
        <v>5</v>
      </c>
      <c r="D4260" s="38" t="s">
        <v>266</v>
      </c>
    </row>
    <row r="4261" spans="1:4" x14ac:dyDescent="0.25">
      <c r="A4261" s="41">
        <v>316216</v>
      </c>
      <c r="B4261" s="39" t="s">
        <v>5843</v>
      </c>
      <c r="C4261" s="40">
        <v>4</v>
      </c>
      <c r="D4261" s="38" t="s">
        <v>266</v>
      </c>
    </row>
    <row r="4262" spans="1:4" x14ac:dyDescent="0.25">
      <c r="A4262" s="42">
        <v>316216.13</v>
      </c>
      <c r="B4262" s="39" t="s">
        <v>5844</v>
      </c>
      <c r="C4262" s="40">
        <v>5</v>
      </c>
      <c r="D4262" s="38" t="s">
        <v>266</v>
      </c>
    </row>
    <row r="4263" spans="1:4" x14ac:dyDescent="0.25">
      <c r="A4263" s="42">
        <v>316216.15999999997</v>
      </c>
      <c r="B4263" s="39" t="s">
        <v>5845</v>
      </c>
      <c r="C4263" s="40">
        <v>5</v>
      </c>
      <c r="D4263" s="38" t="s">
        <v>266</v>
      </c>
    </row>
    <row r="4264" spans="1:4" x14ac:dyDescent="0.25">
      <c r="A4264" s="42">
        <v>316216.19</v>
      </c>
      <c r="B4264" s="39" t="s">
        <v>5846</v>
      </c>
      <c r="C4264" s="40">
        <v>5</v>
      </c>
      <c r="D4264" s="38" t="s">
        <v>266</v>
      </c>
    </row>
    <row r="4265" spans="1:4" x14ac:dyDescent="0.25">
      <c r="A4265" s="41">
        <v>316219</v>
      </c>
      <c r="B4265" s="39" t="s">
        <v>5847</v>
      </c>
      <c r="C4265" s="40">
        <v>4</v>
      </c>
      <c r="D4265" s="38" t="s">
        <v>266</v>
      </c>
    </row>
    <row r="4266" spans="1:4" x14ac:dyDescent="0.25">
      <c r="A4266" s="41">
        <v>316223</v>
      </c>
      <c r="B4266" s="39" t="s">
        <v>5848</v>
      </c>
      <c r="C4266" s="40">
        <v>4</v>
      </c>
      <c r="D4266" s="38" t="s">
        <v>266</v>
      </c>
    </row>
    <row r="4267" spans="1:4" x14ac:dyDescent="0.25">
      <c r="A4267" s="42">
        <v>316223.13</v>
      </c>
      <c r="B4267" s="39" t="s">
        <v>5849</v>
      </c>
      <c r="C4267" s="40">
        <v>5</v>
      </c>
      <c r="D4267" s="38" t="s">
        <v>266</v>
      </c>
    </row>
    <row r="4268" spans="1:4" x14ac:dyDescent="0.25">
      <c r="A4268" s="42">
        <v>316223.15999999997</v>
      </c>
      <c r="B4268" s="39" t="s">
        <v>5850</v>
      </c>
      <c r="C4268" s="40">
        <v>5</v>
      </c>
      <c r="D4268" s="38" t="s">
        <v>266</v>
      </c>
    </row>
    <row r="4269" spans="1:4" x14ac:dyDescent="0.25">
      <c r="A4269" s="41">
        <v>316300</v>
      </c>
      <c r="B4269" s="39" t="s">
        <v>459</v>
      </c>
      <c r="C4269" s="40">
        <v>3</v>
      </c>
      <c r="D4269" s="38" t="s">
        <v>458</v>
      </c>
    </row>
    <row r="4270" spans="1:4" x14ac:dyDescent="0.25">
      <c r="A4270" s="41">
        <v>316313</v>
      </c>
      <c r="B4270" s="39" t="s">
        <v>5851</v>
      </c>
      <c r="C4270" s="40">
        <v>4</v>
      </c>
      <c r="D4270" s="38" t="s">
        <v>266</v>
      </c>
    </row>
    <row r="4271" spans="1:4" x14ac:dyDescent="0.25">
      <c r="A4271" s="41">
        <v>316316</v>
      </c>
      <c r="B4271" s="39" t="s">
        <v>5852</v>
      </c>
      <c r="C4271" s="40">
        <v>4</v>
      </c>
      <c r="D4271" s="38" t="s">
        <v>266</v>
      </c>
    </row>
    <row r="4272" spans="1:4" x14ac:dyDescent="0.25">
      <c r="A4272" s="41">
        <v>316319</v>
      </c>
      <c r="B4272" s="39" t="s">
        <v>5853</v>
      </c>
      <c r="C4272" s="40">
        <v>4</v>
      </c>
      <c r="D4272" s="38" t="s">
        <v>266</v>
      </c>
    </row>
    <row r="4273" spans="1:4" x14ac:dyDescent="0.25">
      <c r="A4273" s="42">
        <v>316319.13</v>
      </c>
      <c r="B4273" s="39" t="s">
        <v>5854</v>
      </c>
      <c r="C4273" s="40">
        <v>5</v>
      </c>
      <c r="D4273" s="38" t="s">
        <v>266</v>
      </c>
    </row>
    <row r="4274" spans="1:4" x14ac:dyDescent="0.25">
      <c r="A4274" s="41">
        <v>316323</v>
      </c>
      <c r="B4274" s="39" t="s">
        <v>5855</v>
      </c>
      <c r="C4274" s="40">
        <v>4</v>
      </c>
      <c r="D4274" s="38" t="s">
        <v>266</v>
      </c>
    </row>
    <row r="4275" spans="1:4" x14ac:dyDescent="0.25">
      <c r="A4275" s="42">
        <v>316323.13</v>
      </c>
      <c r="B4275" s="39" t="s">
        <v>5856</v>
      </c>
      <c r="C4275" s="40">
        <v>5</v>
      </c>
      <c r="D4275" s="38" t="s">
        <v>266</v>
      </c>
    </row>
    <row r="4276" spans="1:4" x14ac:dyDescent="0.25">
      <c r="A4276" s="42">
        <v>316323.15999999997</v>
      </c>
      <c r="B4276" s="39" t="s">
        <v>5857</v>
      </c>
      <c r="C4276" s="40">
        <v>5</v>
      </c>
      <c r="D4276" s="38" t="s">
        <v>266</v>
      </c>
    </row>
    <row r="4277" spans="1:4" x14ac:dyDescent="0.25">
      <c r="A4277" s="41">
        <v>316326</v>
      </c>
      <c r="B4277" s="39" t="s">
        <v>5858</v>
      </c>
      <c r="C4277" s="40">
        <v>4</v>
      </c>
      <c r="D4277" s="38" t="s">
        <v>266</v>
      </c>
    </row>
    <row r="4278" spans="1:4" x14ac:dyDescent="0.25">
      <c r="A4278" s="42">
        <v>316326.13</v>
      </c>
      <c r="B4278" s="39" t="s">
        <v>5859</v>
      </c>
      <c r="C4278" s="40">
        <v>5</v>
      </c>
      <c r="D4278" s="38" t="s">
        <v>266</v>
      </c>
    </row>
    <row r="4279" spans="1:4" x14ac:dyDescent="0.25">
      <c r="A4279" s="42">
        <v>316326.15999999997</v>
      </c>
      <c r="B4279" s="39" t="s">
        <v>5860</v>
      </c>
      <c r="C4279" s="40">
        <v>5</v>
      </c>
      <c r="D4279" s="38" t="s">
        <v>266</v>
      </c>
    </row>
    <row r="4280" spans="1:4" x14ac:dyDescent="0.25">
      <c r="A4280" s="41">
        <v>316329</v>
      </c>
      <c r="B4280" s="39" t="s">
        <v>5861</v>
      </c>
      <c r="C4280" s="40">
        <v>4</v>
      </c>
      <c r="D4280" s="38" t="s">
        <v>266</v>
      </c>
    </row>
    <row r="4281" spans="1:4" x14ac:dyDescent="0.25">
      <c r="A4281" s="42">
        <v>316329.13</v>
      </c>
      <c r="B4281" s="39" t="s">
        <v>5862</v>
      </c>
      <c r="C4281" s="40">
        <v>5</v>
      </c>
      <c r="D4281" s="38" t="s">
        <v>266</v>
      </c>
    </row>
    <row r="4282" spans="1:4" x14ac:dyDescent="0.25">
      <c r="A4282" s="42">
        <v>316329.15999999997</v>
      </c>
      <c r="B4282" s="39" t="s">
        <v>5863</v>
      </c>
      <c r="C4282" s="40">
        <v>5</v>
      </c>
      <c r="D4282" s="38" t="s">
        <v>266</v>
      </c>
    </row>
    <row r="4283" spans="1:4" x14ac:dyDescent="0.25">
      <c r="A4283" s="41">
        <v>316333</v>
      </c>
      <c r="B4283" s="39" t="s">
        <v>5864</v>
      </c>
      <c r="C4283" s="40">
        <v>4</v>
      </c>
      <c r="D4283" s="38" t="s">
        <v>266</v>
      </c>
    </row>
    <row r="4284" spans="1:4" x14ac:dyDescent="0.25">
      <c r="A4284" s="41">
        <v>316400</v>
      </c>
      <c r="B4284" s="39" t="s">
        <v>461</v>
      </c>
      <c r="C4284" s="40">
        <v>3</v>
      </c>
      <c r="D4284" s="38" t="s">
        <v>460</v>
      </c>
    </row>
    <row r="4285" spans="1:4" x14ac:dyDescent="0.25">
      <c r="A4285" s="41">
        <v>316413</v>
      </c>
      <c r="B4285" s="39" t="s">
        <v>5865</v>
      </c>
      <c r="C4285" s="40">
        <v>4</v>
      </c>
      <c r="D4285" s="38" t="s">
        <v>266</v>
      </c>
    </row>
    <row r="4286" spans="1:4" x14ac:dyDescent="0.25">
      <c r="A4286" s="41">
        <v>316416</v>
      </c>
      <c r="B4286" s="39" t="s">
        <v>5866</v>
      </c>
      <c r="C4286" s="40">
        <v>4</v>
      </c>
      <c r="D4286" s="38" t="s">
        <v>266</v>
      </c>
    </row>
    <row r="4287" spans="1:4" x14ac:dyDescent="0.25">
      <c r="A4287" s="41">
        <v>316419</v>
      </c>
      <c r="B4287" s="39" t="s">
        <v>5867</v>
      </c>
      <c r="C4287" s="40">
        <v>4</v>
      </c>
      <c r="D4287" s="38" t="s">
        <v>266</v>
      </c>
    </row>
    <row r="4288" spans="1:4" x14ac:dyDescent="0.25">
      <c r="A4288" s="41">
        <v>316423</v>
      </c>
      <c r="B4288" s="39" t="s">
        <v>5868</v>
      </c>
      <c r="C4288" s="40">
        <v>4</v>
      </c>
      <c r="D4288" s="38" t="s">
        <v>266</v>
      </c>
    </row>
    <row r="4289" spans="1:4" x14ac:dyDescent="0.25">
      <c r="A4289" s="41">
        <v>316426</v>
      </c>
      <c r="B4289" s="39" t="s">
        <v>5869</v>
      </c>
      <c r="C4289" s="40">
        <v>4</v>
      </c>
      <c r="D4289" s="38" t="s">
        <v>266</v>
      </c>
    </row>
    <row r="4290" spans="1:4" x14ac:dyDescent="0.25">
      <c r="A4290" s="41">
        <v>316429</v>
      </c>
      <c r="B4290" s="39" t="s">
        <v>5870</v>
      </c>
      <c r="C4290" s="40">
        <v>4</v>
      </c>
      <c r="D4290" s="38" t="s">
        <v>266</v>
      </c>
    </row>
    <row r="4291" spans="1:4" x14ac:dyDescent="0.25">
      <c r="A4291" s="41">
        <v>316600</v>
      </c>
      <c r="B4291" s="39" t="s">
        <v>455</v>
      </c>
      <c r="C4291" s="40">
        <v>3</v>
      </c>
      <c r="D4291" s="39" t="s">
        <v>454</v>
      </c>
    </row>
    <row r="4292" spans="1:4" x14ac:dyDescent="0.25">
      <c r="A4292" s="41">
        <v>316613</v>
      </c>
      <c r="B4292" s="39" t="s">
        <v>5871</v>
      </c>
      <c r="C4292" s="40">
        <v>4</v>
      </c>
      <c r="D4292" s="38" t="s">
        <v>266</v>
      </c>
    </row>
    <row r="4293" spans="1:4" x14ac:dyDescent="0.25">
      <c r="A4293" s="42">
        <v>316613.13</v>
      </c>
      <c r="B4293" s="39" t="s">
        <v>5872</v>
      </c>
      <c r="C4293" s="40">
        <v>5</v>
      </c>
      <c r="D4293" s="38" t="s">
        <v>266</v>
      </c>
    </row>
    <row r="4294" spans="1:4" x14ac:dyDescent="0.25">
      <c r="A4294" s="41">
        <v>316615</v>
      </c>
      <c r="B4294" s="39" t="s">
        <v>5873</v>
      </c>
      <c r="C4294" s="40">
        <v>4</v>
      </c>
      <c r="D4294" s="38" t="s">
        <v>266</v>
      </c>
    </row>
    <row r="4295" spans="1:4" x14ac:dyDescent="0.25">
      <c r="A4295" s="41">
        <v>316616</v>
      </c>
      <c r="B4295" s="39" t="s">
        <v>463</v>
      </c>
      <c r="C4295" s="40">
        <v>4</v>
      </c>
      <c r="D4295" s="38" t="s">
        <v>462</v>
      </c>
    </row>
    <row r="4296" spans="1:4" x14ac:dyDescent="0.25">
      <c r="A4296" s="42">
        <v>316616.13</v>
      </c>
      <c r="B4296" s="39" t="s">
        <v>5874</v>
      </c>
      <c r="C4296" s="40">
        <v>5</v>
      </c>
      <c r="D4296" s="38" t="s">
        <v>266</v>
      </c>
    </row>
    <row r="4297" spans="1:4" x14ac:dyDescent="0.25">
      <c r="A4297" s="42">
        <v>316616.23</v>
      </c>
      <c r="B4297" s="39" t="s">
        <v>5875</v>
      </c>
      <c r="C4297" s="40">
        <v>5</v>
      </c>
      <c r="D4297" s="38" t="s">
        <v>266</v>
      </c>
    </row>
    <row r="4298" spans="1:4" x14ac:dyDescent="0.25">
      <c r="A4298" s="42">
        <v>316616.26</v>
      </c>
      <c r="B4298" s="39" t="s">
        <v>5876</v>
      </c>
      <c r="C4298" s="40">
        <v>5</v>
      </c>
      <c r="D4298" s="38" t="s">
        <v>266</v>
      </c>
    </row>
    <row r="4299" spans="1:4" x14ac:dyDescent="0.25">
      <c r="A4299" s="42">
        <v>316616.33</v>
      </c>
      <c r="B4299" s="39" t="s">
        <v>5877</v>
      </c>
      <c r="C4299" s="40">
        <v>5</v>
      </c>
      <c r="D4299" s="38" t="s">
        <v>266</v>
      </c>
    </row>
    <row r="4300" spans="1:4" x14ac:dyDescent="0.25">
      <c r="A4300" s="42">
        <v>316616.43</v>
      </c>
      <c r="B4300" s="39" t="s">
        <v>5878</v>
      </c>
      <c r="C4300" s="40">
        <v>5</v>
      </c>
      <c r="D4300" s="38" t="s">
        <v>266</v>
      </c>
    </row>
    <row r="4301" spans="1:4" x14ac:dyDescent="0.25">
      <c r="A4301" s="42">
        <v>316616.46000000002</v>
      </c>
      <c r="B4301" s="39" t="s">
        <v>5879</v>
      </c>
      <c r="C4301" s="40">
        <v>5</v>
      </c>
      <c r="D4301" s="38" t="s">
        <v>266</v>
      </c>
    </row>
    <row r="4302" spans="1:4" x14ac:dyDescent="0.25">
      <c r="A4302" s="42">
        <v>316616.53000000003</v>
      </c>
      <c r="B4302" s="39" t="s">
        <v>5880</v>
      </c>
      <c r="C4302" s="40">
        <v>5</v>
      </c>
      <c r="D4302" s="38" t="s">
        <v>266</v>
      </c>
    </row>
    <row r="4303" spans="1:4" x14ac:dyDescent="0.25">
      <c r="A4303" s="42">
        <v>316616.56</v>
      </c>
      <c r="B4303" s="39" t="s">
        <v>5881</v>
      </c>
      <c r="C4303" s="40">
        <v>5</v>
      </c>
      <c r="D4303" s="38" t="s">
        <v>266</v>
      </c>
    </row>
    <row r="4304" spans="1:4" x14ac:dyDescent="0.25">
      <c r="A4304" s="41">
        <v>316619</v>
      </c>
      <c r="B4304" s="39" t="s">
        <v>5882</v>
      </c>
      <c r="C4304" s="40">
        <v>4</v>
      </c>
      <c r="D4304" s="38" t="s">
        <v>266</v>
      </c>
    </row>
    <row r="4305" spans="1:4" x14ac:dyDescent="0.25">
      <c r="A4305" s="41">
        <v>316800</v>
      </c>
      <c r="B4305" s="39" t="s">
        <v>465</v>
      </c>
      <c r="C4305" s="40">
        <v>3</v>
      </c>
      <c r="D4305" s="38" t="s">
        <v>464</v>
      </c>
    </row>
    <row r="4306" spans="1:4" x14ac:dyDescent="0.25">
      <c r="A4306" s="41">
        <v>316813</v>
      </c>
      <c r="B4306" s="39" t="s">
        <v>5883</v>
      </c>
      <c r="C4306" s="40">
        <v>4</v>
      </c>
      <c r="D4306" s="38" t="s">
        <v>266</v>
      </c>
    </row>
    <row r="4307" spans="1:4" x14ac:dyDescent="0.25">
      <c r="A4307" s="41">
        <v>316816</v>
      </c>
      <c r="B4307" s="39" t="s">
        <v>5884</v>
      </c>
      <c r="C4307" s="40">
        <v>4</v>
      </c>
      <c r="D4307" s="38" t="s">
        <v>266</v>
      </c>
    </row>
    <row r="4308" spans="1:4" x14ac:dyDescent="0.25">
      <c r="A4308" s="41">
        <v>317000</v>
      </c>
      <c r="B4308" s="39" t="s">
        <v>5885</v>
      </c>
      <c r="C4308" s="40">
        <v>3</v>
      </c>
      <c r="D4308" s="38" t="s">
        <v>1704</v>
      </c>
    </row>
    <row r="4309" spans="1:4" x14ac:dyDescent="0.25">
      <c r="A4309" s="41">
        <v>317100</v>
      </c>
      <c r="B4309" s="39" t="s">
        <v>5886</v>
      </c>
      <c r="C4309" s="40">
        <v>3</v>
      </c>
      <c r="D4309" s="38" t="s">
        <v>266</v>
      </c>
    </row>
    <row r="4310" spans="1:4" x14ac:dyDescent="0.25">
      <c r="A4310" s="41">
        <v>317113</v>
      </c>
      <c r="B4310" s="39" t="s">
        <v>5887</v>
      </c>
      <c r="C4310" s="40">
        <v>4</v>
      </c>
      <c r="D4310" s="38" t="s">
        <v>266</v>
      </c>
    </row>
    <row r="4311" spans="1:4" x14ac:dyDescent="0.25">
      <c r="A4311" s="41">
        <v>317116</v>
      </c>
      <c r="B4311" s="39" t="s">
        <v>5888</v>
      </c>
      <c r="C4311" s="40">
        <v>4</v>
      </c>
      <c r="D4311" s="38" t="s">
        <v>266</v>
      </c>
    </row>
    <row r="4312" spans="1:4" x14ac:dyDescent="0.25">
      <c r="A4312" s="41">
        <v>317119</v>
      </c>
      <c r="B4312" s="39" t="s">
        <v>5889</v>
      </c>
      <c r="C4312" s="40">
        <v>4</v>
      </c>
      <c r="D4312" s="38" t="s">
        <v>266</v>
      </c>
    </row>
    <row r="4313" spans="1:4" x14ac:dyDescent="0.25">
      <c r="A4313" s="41">
        <v>317123</v>
      </c>
      <c r="B4313" s="39" t="s">
        <v>5890</v>
      </c>
      <c r="C4313" s="40">
        <v>4</v>
      </c>
      <c r="D4313" s="38" t="s">
        <v>266</v>
      </c>
    </row>
    <row r="4314" spans="1:4" x14ac:dyDescent="0.25">
      <c r="A4314" s="41">
        <v>317200</v>
      </c>
      <c r="B4314" s="39" t="s">
        <v>5891</v>
      </c>
      <c r="C4314" s="40">
        <v>3</v>
      </c>
      <c r="D4314" s="38" t="s">
        <v>266</v>
      </c>
    </row>
    <row r="4315" spans="1:4" x14ac:dyDescent="0.25">
      <c r="A4315" s="41">
        <v>317213</v>
      </c>
      <c r="B4315" s="39" t="s">
        <v>5892</v>
      </c>
      <c r="C4315" s="40">
        <v>4</v>
      </c>
      <c r="D4315" s="38" t="s">
        <v>266</v>
      </c>
    </row>
    <row r="4316" spans="1:4" x14ac:dyDescent="0.25">
      <c r="A4316" s="41">
        <v>317216</v>
      </c>
      <c r="B4316" s="39" t="s">
        <v>5893</v>
      </c>
      <c r="C4316" s="40">
        <v>4</v>
      </c>
      <c r="D4316" s="38" t="s">
        <v>266</v>
      </c>
    </row>
    <row r="4317" spans="1:4" x14ac:dyDescent="0.25">
      <c r="A4317" s="41">
        <v>317300</v>
      </c>
      <c r="B4317" s="39" t="s">
        <v>5894</v>
      </c>
      <c r="C4317" s="40">
        <v>3</v>
      </c>
      <c r="D4317" s="38" t="s">
        <v>266</v>
      </c>
    </row>
    <row r="4318" spans="1:4" x14ac:dyDescent="0.25">
      <c r="A4318" s="41">
        <v>317313</v>
      </c>
      <c r="B4318" s="39" t="s">
        <v>5895</v>
      </c>
      <c r="C4318" s="40">
        <v>4</v>
      </c>
      <c r="D4318" s="38" t="s">
        <v>266</v>
      </c>
    </row>
    <row r="4319" spans="1:4" x14ac:dyDescent="0.25">
      <c r="A4319" s="41">
        <v>317316</v>
      </c>
      <c r="B4319" s="39" t="s">
        <v>5896</v>
      </c>
      <c r="C4319" s="40">
        <v>4</v>
      </c>
      <c r="D4319" s="38" t="s">
        <v>266</v>
      </c>
    </row>
    <row r="4320" spans="1:4" x14ac:dyDescent="0.25">
      <c r="A4320" s="41">
        <v>317400</v>
      </c>
      <c r="B4320" s="39" t="s">
        <v>5897</v>
      </c>
      <c r="C4320" s="40">
        <v>3</v>
      </c>
      <c r="D4320" s="38" t="s">
        <v>266</v>
      </c>
    </row>
    <row r="4321" spans="1:4" x14ac:dyDescent="0.25">
      <c r="A4321" s="41">
        <v>317413</v>
      </c>
      <c r="B4321" s="39" t="s">
        <v>5898</v>
      </c>
      <c r="C4321" s="40">
        <v>4</v>
      </c>
      <c r="D4321" s="38" t="s">
        <v>266</v>
      </c>
    </row>
    <row r="4322" spans="1:4" x14ac:dyDescent="0.25">
      <c r="A4322" s="41">
        <v>317416</v>
      </c>
      <c r="B4322" s="39" t="s">
        <v>5899</v>
      </c>
      <c r="C4322" s="40">
        <v>4</v>
      </c>
      <c r="D4322" s="38" t="s">
        <v>266</v>
      </c>
    </row>
    <row r="4323" spans="1:4" x14ac:dyDescent="0.25">
      <c r="A4323" s="41">
        <v>317419</v>
      </c>
      <c r="B4323" s="39" t="s">
        <v>5900</v>
      </c>
      <c r="C4323" s="40">
        <v>4</v>
      </c>
      <c r="D4323" s="38" t="s">
        <v>266</v>
      </c>
    </row>
    <row r="4324" spans="1:4" x14ac:dyDescent="0.25">
      <c r="A4324" s="41">
        <v>317500</v>
      </c>
      <c r="B4324" s="39" t="s">
        <v>5901</v>
      </c>
      <c r="C4324" s="40">
        <v>3</v>
      </c>
      <c r="D4324" s="38" t="s">
        <v>266</v>
      </c>
    </row>
    <row r="4325" spans="1:4" x14ac:dyDescent="0.25">
      <c r="A4325" s="41">
        <v>317513</v>
      </c>
      <c r="B4325" s="39" t="s">
        <v>5902</v>
      </c>
      <c r="C4325" s="40">
        <v>4</v>
      </c>
      <c r="D4325" s="38" t="s">
        <v>266</v>
      </c>
    </row>
    <row r="4326" spans="1:4" x14ac:dyDescent="0.25">
      <c r="A4326" s="41">
        <v>317516</v>
      </c>
      <c r="B4326" s="39" t="s">
        <v>5903</v>
      </c>
      <c r="C4326" s="40">
        <v>4</v>
      </c>
      <c r="D4326" s="38" t="s">
        <v>266</v>
      </c>
    </row>
    <row r="4327" spans="1:4" x14ac:dyDescent="0.25">
      <c r="A4327" s="41">
        <v>317700</v>
      </c>
      <c r="B4327" s="39" t="s">
        <v>5904</v>
      </c>
      <c r="C4327" s="40">
        <v>3</v>
      </c>
      <c r="D4327" s="38" t="s">
        <v>266</v>
      </c>
    </row>
    <row r="4328" spans="1:4" x14ac:dyDescent="0.25">
      <c r="A4328" s="41">
        <v>317713</v>
      </c>
      <c r="B4328" s="39" t="s">
        <v>5905</v>
      </c>
      <c r="C4328" s="40">
        <v>4</v>
      </c>
      <c r="D4328" s="38" t="s">
        <v>266</v>
      </c>
    </row>
    <row r="4329" spans="1:4" x14ac:dyDescent="0.25">
      <c r="A4329" s="41">
        <v>317716</v>
      </c>
      <c r="B4329" s="39" t="s">
        <v>5906</v>
      </c>
      <c r="C4329" s="40">
        <v>4</v>
      </c>
      <c r="D4329" s="38" t="s">
        <v>266</v>
      </c>
    </row>
    <row r="4330" spans="1:4" x14ac:dyDescent="0.25">
      <c r="A4330" s="41">
        <v>317719</v>
      </c>
      <c r="B4330" s="39" t="s">
        <v>5907</v>
      </c>
      <c r="C4330" s="40">
        <v>4</v>
      </c>
      <c r="D4330" s="38" t="s">
        <v>266</v>
      </c>
    </row>
    <row r="4331" spans="1:4" x14ac:dyDescent="0.25">
      <c r="A4331" s="41">
        <v>320000</v>
      </c>
      <c r="B4331" s="39" t="s">
        <v>5908</v>
      </c>
      <c r="C4331" s="40">
        <v>2</v>
      </c>
      <c r="D4331" s="38" t="s">
        <v>266</v>
      </c>
    </row>
    <row r="4332" spans="1:4" x14ac:dyDescent="0.25">
      <c r="A4332" s="41">
        <v>320100</v>
      </c>
      <c r="B4332" s="39" t="s">
        <v>5909</v>
      </c>
      <c r="C4332" s="40">
        <v>3</v>
      </c>
      <c r="D4332" s="38" t="s">
        <v>266</v>
      </c>
    </row>
    <row r="4333" spans="1:4" x14ac:dyDescent="0.25">
      <c r="A4333" s="41">
        <v>320111</v>
      </c>
      <c r="B4333" s="39" t="s">
        <v>5910</v>
      </c>
      <c r="C4333" s="40">
        <v>4</v>
      </c>
      <c r="D4333" s="38" t="s">
        <v>266</v>
      </c>
    </row>
    <row r="4334" spans="1:4" x14ac:dyDescent="0.25">
      <c r="A4334" s="42">
        <v>320111.51</v>
      </c>
      <c r="B4334" s="39" t="s">
        <v>5911</v>
      </c>
      <c r="C4334" s="40">
        <v>5</v>
      </c>
      <c r="D4334" s="38" t="s">
        <v>266</v>
      </c>
    </row>
    <row r="4335" spans="1:4" x14ac:dyDescent="0.25">
      <c r="A4335" s="42">
        <v>320111.52</v>
      </c>
      <c r="B4335" s="39" t="s">
        <v>5912</v>
      </c>
      <c r="C4335" s="40">
        <v>5</v>
      </c>
      <c r="D4335" s="38" t="s">
        <v>266</v>
      </c>
    </row>
    <row r="4336" spans="1:4" x14ac:dyDescent="0.25">
      <c r="A4336" s="42">
        <v>320111.53000000003</v>
      </c>
      <c r="B4336" s="39" t="s">
        <v>5913</v>
      </c>
      <c r="C4336" s="40">
        <v>5</v>
      </c>
      <c r="D4336" s="38" t="s">
        <v>266</v>
      </c>
    </row>
    <row r="4337" spans="1:4" x14ac:dyDescent="0.25">
      <c r="A4337" s="41">
        <v>320113</v>
      </c>
      <c r="B4337" s="39" t="s">
        <v>5914</v>
      </c>
      <c r="C4337" s="40">
        <v>4</v>
      </c>
      <c r="D4337" s="38" t="s">
        <v>266</v>
      </c>
    </row>
    <row r="4338" spans="1:4" x14ac:dyDescent="0.25">
      <c r="A4338" s="42">
        <v>320113.61</v>
      </c>
      <c r="B4338" s="39" t="s">
        <v>5915</v>
      </c>
      <c r="C4338" s="40">
        <v>5</v>
      </c>
      <c r="D4338" s="38" t="s">
        <v>266</v>
      </c>
    </row>
    <row r="4339" spans="1:4" x14ac:dyDescent="0.25">
      <c r="A4339" s="42">
        <v>320113.62</v>
      </c>
      <c r="B4339" s="39" t="s">
        <v>5916</v>
      </c>
      <c r="C4339" s="40">
        <v>5</v>
      </c>
      <c r="D4339" s="38" t="s">
        <v>266</v>
      </c>
    </row>
    <row r="4340" spans="1:4" x14ac:dyDescent="0.25">
      <c r="A4340" s="41">
        <v>320116</v>
      </c>
      <c r="B4340" s="39" t="s">
        <v>5917</v>
      </c>
      <c r="C4340" s="40">
        <v>4</v>
      </c>
      <c r="D4340" s="38" t="s">
        <v>266</v>
      </c>
    </row>
    <row r="4341" spans="1:4" x14ac:dyDescent="0.25">
      <c r="A4341" s="42">
        <v>320116.71000000002</v>
      </c>
      <c r="B4341" s="39" t="s">
        <v>5918</v>
      </c>
      <c r="C4341" s="40">
        <v>5</v>
      </c>
      <c r="D4341" s="38" t="s">
        <v>266</v>
      </c>
    </row>
    <row r="4342" spans="1:4" x14ac:dyDescent="0.25">
      <c r="A4342" s="42">
        <v>320116.71999999997</v>
      </c>
      <c r="B4342" s="39" t="s">
        <v>5919</v>
      </c>
      <c r="C4342" s="40">
        <v>5</v>
      </c>
      <c r="D4342" s="38" t="s">
        <v>266</v>
      </c>
    </row>
    <row r="4343" spans="1:4" x14ac:dyDescent="0.25">
      <c r="A4343" s="42">
        <v>320116.73</v>
      </c>
      <c r="B4343" s="39" t="s">
        <v>5920</v>
      </c>
      <c r="C4343" s="40">
        <v>5</v>
      </c>
      <c r="D4343" s="38" t="s">
        <v>266</v>
      </c>
    </row>
    <row r="4344" spans="1:4" x14ac:dyDescent="0.25">
      <c r="A4344" s="42">
        <v>320116.74</v>
      </c>
      <c r="B4344" s="39" t="s">
        <v>5921</v>
      </c>
      <c r="C4344" s="40">
        <v>5</v>
      </c>
      <c r="D4344" s="38" t="s">
        <v>266</v>
      </c>
    </row>
    <row r="4345" spans="1:4" x14ac:dyDescent="0.25">
      <c r="A4345" s="42">
        <v>320116.75</v>
      </c>
      <c r="B4345" s="39" t="s">
        <v>5922</v>
      </c>
      <c r="C4345" s="40">
        <v>5</v>
      </c>
      <c r="D4345" s="38" t="s">
        <v>266</v>
      </c>
    </row>
    <row r="4346" spans="1:4" x14ac:dyDescent="0.25">
      <c r="A4346" s="41">
        <v>320117</v>
      </c>
      <c r="B4346" s="39" t="s">
        <v>5923</v>
      </c>
      <c r="C4346" s="40">
        <v>4</v>
      </c>
      <c r="D4346" s="38" t="s">
        <v>266</v>
      </c>
    </row>
    <row r="4347" spans="1:4" x14ac:dyDescent="0.25">
      <c r="A4347" s="42">
        <v>320117.61</v>
      </c>
      <c r="B4347" s="39" t="s">
        <v>5924</v>
      </c>
      <c r="C4347" s="40">
        <v>5</v>
      </c>
      <c r="D4347" s="38" t="s">
        <v>266</v>
      </c>
    </row>
    <row r="4348" spans="1:4" x14ac:dyDescent="0.25">
      <c r="A4348" s="42">
        <v>320117.62</v>
      </c>
      <c r="B4348" s="39" t="s">
        <v>5925</v>
      </c>
      <c r="C4348" s="40">
        <v>5</v>
      </c>
      <c r="D4348" s="38" t="s">
        <v>266</v>
      </c>
    </row>
    <row r="4349" spans="1:4" x14ac:dyDescent="0.25">
      <c r="A4349" s="41">
        <v>320119</v>
      </c>
      <c r="B4349" s="39" t="s">
        <v>5926</v>
      </c>
      <c r="C4349" s="40">
        <v>4</v>
      </c>
      <c r="D4349" s="38" t="s">
        <v>266</v>
      </c>
    </row>
    <row r="4350" spans="1:4" x14ac:dyDescent="0.25">
      <c r="A4350" s="42">
        <v>320119.61</v>
      </c>
      <c r="B4350" s="39" t="s">
        <v>5927</v>
      </c>
      <c r="C4350" s="40">
        <v>5</v>
      </c>
      <c r="D4350" s="38" t="s">
        <v>266</v>
      </c>
    </row>
    <row r="4351" spans="1:4" x14ac:dyDescent="0.25">
      <c r="A4351" s="42">
        <v>320119.62</v>
      </c>
      <c r="B4351" s="39" t="s">
        <v>5928</v>
      </c>
      <c r="C4351" s="40">
        <v>5</v>
      </c>
      <c r="D4351" s="38" t="s">
        <v>266</v>
      </c>
    </row>
    <row r="4352" spans="1:4" x14ac:dyDescent="0.25">
      <c r="A4352" s="41">
        <v>320123</v>
      </c>
      <c r="B4352" s="39" t="s">
        <v>5929</v>
      </c>
      <c r="C4352" s="40">
        <v>4</v>
      </c>
      <c r="D4352" s="38" t="s">
        <v>266</v>
      </c>
    </row>
    <row r="4353" spans="1:4" x14ac:dyDescent="0.25">
      <c r="A4353" s="41">
        <v>320126</v>
      </c>
      <c r="B4353" s="39" t="s">
        <v>5930</v>
      </c>
      <c r="C4353" s="40">
        <v>4</v>
      </c>
      <c r="D4353" s="38" t="s">
        <v>266</v>
      </c>
    </row>
    <row r="4354" spans="1:4" x14ac:dyDescent="0.25">
      <c r="A4354" s="42">
        <v>320126.71000000002</v>
      </c>
      <c r="B4354" s="39" t="s">
        <v>5931</v>
      </c>
      <c r="C4354" s="40">
        <v>5</v>
      </c>
      <c r="D4354" s="38" t="s">
        <v>266</v>
      </c>
    </row>
    <row r="4355" spans="1:4" x14ac:dyDescent="0.25">
      <c r="A4355" s="42">
        <v>320126.71999999997</v>
      </c>
      <c r="B4355" s="39" t="s">
        <v>5932</v>
      </c>
      <c r="C4355" s="40">
        <v>5</v>
      </c>
      <c r="D4355" s="38" t="s">
        <v>266</v>
      </c>
    </row>
    <row r="4356" spans="1:4" x14ac:dyDescent="0.25">
      <c r="A4356" s="42">
        <v>320126.73</v>
      </c>
      <c r="B4356" s="39" t="s">
        <v>5933</v>
      </c>
      <c r="C4356" s="40">
        <v>5</v>
      </c>
      <c r="D4356" s="38" t="s">
        <v>266</v>
      </c>
    </row>
    <row r="4357" spans="1:4" x14ac:dyDescent="0.25">
      <c r="A4357" s="42">
        <v>320126.74</v>
      </c>
      <c r="B4357" s="39" t="s">
        <v>5934</v>
      </c>
      <c r="C4357" s="40">
        <v>5</v>
      </c>
      <c r="D4357" s="38" t="s">
        <v>266</v>
      </c>
    </row>
    <row r="4358" spans="1:4" x14ac:dyDescent="0.25">
      <c r="A4358" s="42">
        <v>320126.75</v>
      </c>
      <c r="B4358" s="39" t="s">
        <v>5935</v>
      </c>
      <c r="C4358" s="40">
        <v>5</v>
      </c>
      <c r="D4358" s="38" t="s">
        <v>266</v>
      </c>
    </row>
    <row r="4359" spans="1:4" x14ac:dyDescent="0.25">
      <c r="A4359" s="41">
        <v>320129</v>
      </c>
      <c r="B4359" s="39" t="s">
        <v>5936</v>
      </c>
      <c r="C4359" s="40">
        <v>4</v>
      </c>
      <c r="D4359" s="38" t="s">
        <v>266</v>
      </c>
    </row>
    <row r="4360" spans="1:4" x14ac:dyDescent="0.25">
      <c r="A4360" s="42">
        <v>320129.61</v>
      </c>
      <c r="B4360" s="39" t="s">
        <v>5937</v>
      </c>
      <c r="C4360" s="40">
        <v>5</v>
      </c>
      <c r="D4360" s="38" t="s">
        <v>266</v>
      </c>
    </row>
    <row r="4361" spans="1:4" x14ac:dyDescent="0.25">
      <c r="A4361" s="42">
        <v>320129.62</v>
      </c>
      <c r="B4361" s="39" t="s">
        <v>5938</v>
      </c>
      <c r="C4361" s="40">
        <v>5</v>
      </c>
      <c r="D4361" s="38" t="s">
        <v>266</v>
      </c>
    </row>
    <row r="4362" spans="1:4" x14ac:dyDescent="0.25">
      <c r="A4362" s="42">
        <v>320129.63</v>
      </c>
      <c r="B4362" s="39" t="s">
        <v>5939</v>
      </c>
      <c r="C4362" s="40">
        <v>5</v>
      </c>
      <c r="D4362" s="38" t="s">
        <v>266</v>
      </c>
    </row>
    <row r="4363" spans="1:4" x14ac:dyDescent="0.25">
      <c r="A4363" s="41">
        <v>320130</v>
      </c>
      <c r="B4363" s="39" t="s">
        <v>5940</v>
      </c>
      <c r="C4363" s="40">
        <v>4</v>
      </c>
      <c r="D4363" s="38" t="s">
        <v>266</v>
      </c>
    </row>
    <row r="4364" spans="1:4" x14ac:dyDescent="0.25">
      <c r="A4364" s="42">
        <v>320130.13</v>
      </c>
      <c r="B4364" s="39" t="s">
        <v>5941</v>
      </c>
      <c r="C4364" s="40">
        <v>5</v>
      </c>
      <c r="D4364" s="38" t="s">
        <v>266</v>
      </c>
    </row>
    <row r="4365" spans="1:4" x14ac:dyDescent="0.25">
      <c r="A4365" s="41">
        <v>320180</v>
      </c>
      <c r="B4365" s="39" t="s">
        <v>5942</v>
      </c>
      <c r="C4365" s="40">
        <v>4</v>
      </c>
      <c r="D4365" s="38" t="s">
        <v>266</v>
      </c>
    </row>
    <row r="4366" spans="1:4" x14ac:dyDescent="0.25">
      <c r="A4366" s="41">
        <v>320190</v>
      </c>
      <c r="B4366" s="39" t="s">
        <v>5943</v>
      </c>
      <c r="C4366" s="40">
        <v>4</v>
      </c>
      <c r="D4366" s="38" t="s">
        <v>266</v>
      </c>
    </row>
    <row r="4367" spans="1:4" x14ac:dyDescent="0.25">
      <c r="A4367" s="42">
        <v>320190.13</v>
      </c>
      <c r="B4367" s="39" t="s">
        <v>5944</v>
      </c>
      <c r="C4367" s="40">
        <v>5</v>
      </c>
      <c r="D4367" s="38" t="s">
        <v>266</v>
      </c>
    </row>
    <row r="4368" spans="1:4" x14ac:dyDescent="0.25">
      <c r="A4368" s="42">
        <v>320190.15999999997</v>
      </c>
      <c r="B4368" s="39" t="s">
        <v>5945</v>
      </c>
      <c r="C4368" s="40">
        <v>5</v>
      </c>
      <c r="D4368" s="38" t="s">
        <v>266</v>
      </c>
    </row>
    <row r="4369" spans="1:4" x14ac:dyDescent="0.25">
      <c r="A4369" s="42">
        <v>320190.19</v>
      </c>
      <c r="B4369" s="39" t="s">
        <v>5946</v>
      </c>
      <c r="C4369" s="40">
        <v>5</v>
      </c>
      <c r="D4369" s="38" t="s">
        <v>266</v>
      </c>
    </row>
    <row r="4370" spans="1:4" x14ac:dyDescent="0.25">
      <c r="A4370" s="42">
        <v>320190.23</v>
      </c>
      <c r="B4370" s="39" t="s">
        <v>5947</v>
      </c>
      <c r="C4370" s="40">
        <v>5</v>
      </c>
      <c r="D4370" s="38" t="s">
        <v>266</v>
      </c>
    </row>
    <row r="4371" spans="1:4" x14ac:dyDescent="0.25">
      <c r="A4371" s="42">
        <v>320190.26</v>
      </c>
      <c r="B4371" s="39" t="s">
        <v>5948</v>
      </c>
      <c r="C4371" s="40">
        <v>5</v>
      </c>
      <c r="D4371" s="38" t="s">
        <v>266</v>
      </c>
    </row>
    <row r="4372" spans="1:4" x14ac:dyDescent="0.25">
      <c r="A4372" s="42">
        <v>320190.28999999998</v>
      </c>
      <c r="B4372" s="39" t="s">
        <v>5949</v>
      </c>
      <c r="C4372" s="40">
        <v>5</v>
      </c>
      <c r="D4372" s="38" t="s">
        <v>266</v>
      </c>
    </row>
    <row r="4373" spans="1:4" x14ac:dyDescent="0.25">
      <c r="A4373" s="42">
        <v>320190.33</v>
      </c>
      <c r="B4373" s="39" t="s">
        <v>5950</v>
      </c>
      <c r="C4373" s="40">
        <v>5</v>
      </c>
      <c r="D4373" s="38" t="s">
        <v>266</v>
      </c>
    </row>
    <row r="4374" spans="1:4" x14ac:dyDescent="0.25">
      <c r="A4374" s="41">
        <v>320500</v>
      </c>
      <c r="B4374" s="39" t="s">
        <v>5951</v>
      </c>
      <c r="C4374" s="40">
        <v>3</v>
      </c>
      <c r="D4374" s="38" t="s">
        <v>266</v>
      </c>
    </row>
    <row r="4375" spans="1:4" x14ac:dyDescent="0.25">
      <c r="A4375" s="41">
        <v>320513</v>
      </c>
      <c r="B4375" s="39" t="s">
        <v>5952</v>
      </c>
      <c r="C4375" s="40">
        <v>4</v>
      </c>
      <c r="D4375" s="38" t="s">
        <v>266</v>
      </c>
    </row>
    <row r="4376" spans="1:4" x14ac:dyDescent="0.25">
      <c r="A4376" s="41">
        <v>320516</v>
      </c>
      <c r="B4376" s="39" t="s">
        <v>5953</v>
      </c>
      <c r="C4376" s="40">
        <v>4</v>
      </c>
      <c r="D4376" s="38" t="s">
        <v>266</v>
      </c>
    </row>
    <row r="4377" spans="1:4" x14ac:dyDescent="0.25">
      <c r="A4377" s="41">
        <v>320519</v>
      </c>
      <c r="B4377" s="39" t="s">
        <v>5954</v>
      </c>
      <c r="C4377" s="40">
        <v>4</v>
      </c>
      <c r="D4377" s="38" t="s">
        <v>266</v>
      </c>
    </row>
    <row r="4378" spans="1:4" x14ac:dyDescent="0.25">
      <c r="A4378" s="42">
        <v>320519.13</v>
      </c>
      <c r="B4378" s="39" t="s">
        <v>5955</v>
      </c>
      <c r="C4378" s="40">
        <v>5</v>
      </c>
      <c r="D4378" s="38" t="s">
        <v>266</v>
      </c>
    </row>
    <row r="4379" spans="1:4" x14ac:dyDescent="0.25">
      <c r="A4379" s="42">
        <v>320519.15999999997</v>
      </c>
      <c r="B4379" s="39" t="s">
        <v>5956</v>
      </c>
      <c r="C4379" s="40">
        <v>5</v>
      </c>
      <c r="D4379" s="38" t="s">
        <v>266</v>
      </c>
    </row>
    <row r="4380" spans="1:4" x14ac:dyDescent="0.25">
      <c r="A4380" s="42">
        <v>320519.19</v>
      </c>
      <c r="B4380" s="39" t="s">
        <v>5957</v>
      </c>
      <c r="C4380" s="40">
        <v>5</v>
      </c>
      <c r="D4380" s="38" t="s">
        <v>266</v>
      </c>
    </row>
    <row r="4381" spans="1:4" x14ac:dyDescent="0.25">
      <c r="A4381" s="41">
        <v>320523</v>
      </c>
      <c r="B4381" s="39" t="s">
        <v>5958</v>
      </c>
      <c r="C4381" s="40">
        <v>4</v>
      </c>
      <c r="D4381" s="38" t="s">
        <v>266</v>
      </c>
    </row>
    <row r="4382" spans="1:4" x14ac:dyDescent="0.25">
      <c r="A4382" s="41">
        <v>320533</v>
      </c>
      <c r="B4382" s="39" t="s">
        <v>5959</v>
      </c>
      <c r="C4382" s="40">
        <v>4</v>
      </c>
      <c r="D4382" s="38" t="s">
        <v>266</v>
      </c>
    </row>
    <row r="4383" spans="1:4" x14ac:dyDescent="0.25">
      <c r="A4383" s="41">
        <v>320800</v>
      </c>
      <c r="B4383" s="39" t="s">
        <v>5960</v>
      </c>
      <c r="C4383" s="40">
        <v>3</v>
      </c>
      <c r="D4383" s="38" t="s">
        <v>266</v>
      </c>
    </row>
    <row r="4384" spans="1:4" x14ac:dyDescent="0.25">
      <c r="A4384" s="41">
        <v>321000</v>
      </c>
      <c r="B4384" s="39" t="s">
        <v>5961</v>
      </c>
      <c r="C4384" s="40">
        <v>3</v>
      </c>
      <c r="D4384" s="38" t="s">
        <v>266</v>
      </c>
    </row>
    <row r="4385" spans="1:4" x14ac:dyDescent="0.25">
      <c r="A4385" s="41">
        <v>321100</v>
      </c>
      <c r="B4385" s="39" t="s">
        <v>5962</v>
      </c>
      <c r="C4385" s="40">
        <v>3</v>
      </c>
      <c r="D4385" s="38" t="s">
        <v>266</v>
      </c>
    </row>
    <row r="4386" spans="1:4" x14ac:dyDescent="0.25">
      <c r="A4386" s="41">
        <v>321113</v>
      </c>
      <c r="B4386" s="39" t="s">
        <v>5963</v>
      </c>
      <c r="C4386" s="40">
        <v>4</v>
      </c>
      <c r="D4386" s="38" t="s">
        <v>266</v>
      </c>
    </row>
    <row r="4387" spans="1:4" x14ac:dyDescent="0.25">
      <c r="A4387" s="42">
        <v>321113.13</v>
      </c>
      <c r="B4387" s="39" t="s">
        <v>5964</v>
      </c>
      <c r="C4387" s="40">
        <v>5</v>
      </c>
      <c r="D4387" s="38" t="s">
        <v>266</v>
      </c>
    </row>
    <row r="4388" spans="1:4" x14ac:dyDescent="0.25">
      <c r="A4388" s="42">
        <v>321113.15999999997</v>
      </c>
      <c r="B4388" s="39" t="s">
        <v>5965</v>
      </c>
      <c r="C4388" s="40">
        <v>5</v>
      </c>
      <c r="D4388" s="38" t="s">
        <v>266</v>
      </c>
    </row>
    <row r="4389" spans="1:4" x14ac:dyDescent="0.25">
      <c r="A4389" s="41">
        <v>321116</v>
      </c>
      <c r="B4389" s="39" t="s">
        <v>5966</v>
      </c>
      <c r="C4389" s="40">
        <v>4</v>
      </c>
      <c r="D4389" s="38" t="s">
        <v>266</v>
      </c>
    </row>
    <row r="4390" spans="1:4" x14ac:dyDescent="0.25">
      <c r="A4390" s="42">
        <v>321116.13</v>
      </c>
      <c r="B4390" s="39" t="s">
        <v>5967</v>
      </c>
      <c r="C4390" s="40">
        <v>5</v>
      </c>
      <c r="D4390" s="38" t="s">
        <v>266</v>
      </c>
    </row>
    <row r="4391" spans="1:4" x14ac:dyDescent="0.25">
      <c r="A4391" s="42">
        <v>321116.15999999997</v>
      </c>
      <c r="B4391" s="39" t="s">
        <v>5968</v>
      </c>
      <c r="C4391" s="40">
        <v>5</v>
      </c>
      <c r="D4391" s="38" t="s">
        <v>266</v>
      </c>
    </row>
    <row r="4392" spans="1:4" x14ac:dyDescent="0.25">
      <c r="A4392" s="41">
        <v>321123</v>
      </c>
      <c r="B4392" s="39" t="s">
        <v>5969</v>
      </c>
      <c r="C4392" s="40">
        <v>4</v>
      </c>
      <c r="D4392" s="38" t="s">
        <v>266</v>
      </c>
    </row>
    <row r="4393" spans="1:4" x14ac:dyDescent="0.25">
      <c r="A4393" s="42">
        <v>321123.13</v>
      </c>
      <c r="B4393" s="39" t="s">
        <v>5970</v>
      </c>
      <c r="C4393" s="40">
        <v>5</v>
      </c>
      <c r="D4393" s="38" t="s">
        <v>266</v>
      </c>
    </row>
    <row r="4394" spans="1:4" x14ac:dyDescent="0.25">
      <c r="A4394" s="42">
        <v>321123.23</v>
      </c>
      <c r="B4394" s="39" t="s">
        <v>5971</v>
      </c>
      <c r="C4394" s="40">
        <v>5</v>
      </c>
      <c r="D4394" s="38" t="s">
        <v>266</v>
      </c>
    </row>
    <row r="4395" spans="1:4" x14ac:dyDescent="0.25">
      <c r="A4395" s="41">
        <v>321126</v>
      </c>
      <c r="B4395" s="39" t="s">
        <v>5972</v>
      </c>
      <c r="C4395" s="40">
        <v>4</v>
      </c>
      <c r="D4395" s="38" t="s">
        <v>266</v>
      </c>
    </row>
    <row r="4396" spans="1:4" x14ac:dyDescent="0.25">
      <c r="A4396" s="42">
        <v>321126.13</v>
      </c>
      <c r="B4396" s="39" t="s">
        <v>5973</v>
      </c>
      <c r="C4396" s="40">
        <v>5</v>
      </c>
      <c r="D4396" s="38" t="s">
        <v>266</v>
      </c>
    </row>
    <row r="4397" spans="1:4" x14ac:dyDescent="0.25">
      <c r="A4397" s="42">
        <v>321126.15999999997</v>
      </c>
      <c r="B4397" s="39" t="s">
        <v>5974</v>
      </c>
      <c r="C4397" s="40">
        <v>5</v>
      </c>
      <c r="D4397" s="38" t="s">
        <v>266</v>
      </c>
    </row>
    <row r="4398" spans="1:4" x14ac:dyDescent="0.25">
      <c r="A4398" s="42">
        <v>321126.19</v>
      </c>
      <c r="B4398" s="39" t="s">
        <v>5975</v>
      </c>
      <c r="C4398" s="40">
        <v>5</v>
      </c>
      <c r="D4398" s="38" t="s">
        <v>266</v>
      </c>
    </row>
    <row r="4399" spans="1:4" x14ac:dyDescent="0.25">
      <c r="A4399" s="41">
        <v>321129</v>
      </c>
      <c r="B4399" s="39" t="s">
        <v>5976</v>
      </c>
      <c r="C4399" s="40">
        <v>4</v>
      </c>
      <c r="D4399" s="38" t="s">
        <v>266</v>
      </c>
    </row>
    <row r="4400" spans="1:4" x14ac:dyDescent="0.25">
      <c r="A4400" s="42">
        <v>321129.13</v>
      </c>
      <c r="B4400" s="39" t="s">
        <v>5977</v>
      </c>
      <c r="C4400" s="40">
        <v>5</v>
      </c>
      <c r="D4400" s="38" t="s">
        <v>266</v>
      </c>
    </row>
    <row r="4401" spans="1:4" x14ac:dyDescent="0.25">
      <c r="A4401" s="41">
        <v>321133</v>
      </c>
      <c r="B4401" s="39" t="s">
        <v>5978</v>
      </c>
      <c r="C4401" s="40">
        <v>4</v>
      </c>
      <c r="D4401" s="38" t="s">
        <v>266</v>
      </c>
    </row>
    <row r="4402" spans="1:4" x14ac:dyDescent="0.25">
      <c r="A4402" s="42">
        <v>321133.13</v>
      </c>
      <c r="B4402" s="39" t="s">
        <v>5979</v>
      </c>
      <c r="C4402" s="40">
        <v>5</v>
      </c>
      <c r="D4402" s="38" t="s">
        <v>266</v>
      </c>
    </row>
    <row r="4403" spans="1:4" x14ac:dyDescent="0.25">
      <c r="A4403" s="41">
        <v>321136</v>
      </c>
      <c r="B4403" s="39" t="s">
        <v>5980</v>
      </c>
      <c r="C4403" s="40">
        <v>4</v>
      </c>
      <c r="D4403" s="38" t="s">
        <v>266</v>
      </c>
    </row>
    <row r="4404" spans="1:4" x14ac:dyDescent="0.25">
      <c r="A4404" s="42">
        <v>321136.13</v>
      </c>
      <c r="B4404" s="39" t="s">
        <v>5981</v>
      </c>
      <c r="C4404" s="40">
        <v>5</v>
      </c>
      <c r="D4404" s="38" t="s">
        <v>266</v>
      </c>
    </row>
    <row r="4405" spans="1:4" x14ac:dyDescent="0.25">
      <c r="A4405" s="42">
        <v>321136.15999999997</v>
      </c>
      <c r="B4405" s="39" t="s">
        <v>5982</v>
      </c>
      <c r="C4405" s="40">
        <v>5</v>
      </c>
      <c r="D4405" s="38" t="s">
        <v>266</v>
      </c>
    </row>
    <row r="4406" spans="1:4" x14ac:dyDescent="0.25">
      <c r="A4406" s="42">
        <v>321136.19</v>
      </c>
      <c r="B4406" s="39" t="s">
        <v>5983</v>
      </c>
      <c r="C4406" s="40">
        <v>5</v>
      </c>
      <c r="D4406" s="38" t="s">
        <v>266</v>
      </c>
    </row>
    <row r="4407" spans="1:4" x14ac:dyDescent="0.25">
      <c r="A4407" s="41">
        <v>321200</v>
      </c>
      <c r="B4407" s="39" t="s">
        <v>5984</v>
      </c>
      <c r="C4407" s="40">
        <v>3</v>
      </c>
      <c r="D4407" s="38" t="s">
        <v>266</v>
      </c>
    </row>
    <row r="4408" spans="1:4" x14ac:dyDescent="0.25">
      <c r="A4408" s="41">
        <v>321213</v>
      </c>
      <c r="B4408" s="39" t="s">
        <v>5985</v>
      </c>
      <c r="C4408" s="40">
        <v>4</v>
      </c>
      <c r="D4408" s="38" t="s">
        <v>266</v>
      </c>
    </row>
    <row r="4409" spans="1:4" x14ac:dyDescent="0.25">
      <c r="A4409" s="42">
        <v>321213.13</v>
      </c>
      <c r="B4409" s="39" t="s">
        <v>5986</v>
      </c>
      <c r="C4409" s="40">
        <v>5</v>
      </c>
      <c r="D4409" s="38" t="s">
        <v>266</v>
      </c>
    </row>
    <row r="4410" spans="1:4" x14ac:dyDescent="0.25">
      <c r="A4410" s="42">
        <v>321213.15999999997</v>
      </c>
      <c r="B4410" s="39" t="s">
        <v>5987</v>
      </c>
      <c r="C4410" s="40">
        <v>5</v>
      </c>
      <c r="D4410" s="38" t="s">
        <v>266</v>
      </c>
    </row>
    <row r="4411" spans="1:4" x14ac:dyDescent="0.25">
      <c r="A4411" s="42">
        <v>321213.19</v>
      </c>
      <c r="B4411" s="39" t="s">
        <v>5988</v>
      </c>
      <c r="C4411" s="40">
        <v>5</v>
      </c>
      <c r="D4411" s="38" t="s">
        <v>266</v>
      </c>
    </row>
    <row r="4412" spans="1:4" x14ac:dyDescent="0.25">
      <c r="A4412" s="42">
        <v>321213.23</v>
      </c>
      <c r="B4412" s="39" t="s">
        <v>5989</v>
      </c>
      <c r="C4412" s="40">
        <v>5</v>
      </c>
      <c r="D4412" s="38" t="s">
        <v>266</v>
      </c>
    </row>
    <row r="4413" spans="1:4" x14ac:dyDescent="0.25">
      <c r="A4413" s="41">
        <v>321216</v>
      </c>
      <c r="B4413" s="39" t="s">
        <v>5990</v>
      </c>
      <c r="C4413" s="40">
        <v>4</v>
      </c>
      <c r="D4413" s="38" t="s">
        <v>266</v>
      </c>
    </row>
    <row r="4414" spans="1:4" x14ac:dyDescent="0.25">
      <c r="A4414" s="42">
        <v>321216.13</v>
      </c>
      <c r="B4414" s="39" t="s">
        <v>5991</v>
      </c>
      <c r="C4414" s="40">
        <v>5</v>
      </c>
      <c r="D4414" s="38" t="s">
        <v>266</v>
      </c>
    </row>
    <row r="4415" spans="1:4" x14ac:dyDescent="0.25">
      <c r="A4415" s="42">
        <v>321216.15999999997</v>
      </c>
      <c r="B4415" s="39" t="s">
        <v>5992</v>
      </c>
      <c r="C4415" s="40">
        <v>5</v>
      </c>
      <c r="D4415" s="38" t="s">
        <v>266</v>
      </c>
    </row>
    <row r="4416" spans="1:4" x14ac:dyDescent="0.25">
      <c r="A4416" s="42">
        <v>321216.19</v>
      </c>
      <c r="B4416" s="39" t="s">
        <v>5993</v>
      </c>
      <c r="C4416" s="40">
        <v>5</v>
      </c>
      <c r="D4416" s="38" t="s">
        <v>266</v>
      </c>
    </row>
    <row r="4417" spans="1:4" x14ac:dyDescent="0.25">
      <c r="A4417" s="42">
        <v>321216.23</v>
      </c>
      <c r="B4417" s="39" t="s">
        <v>5994</v>
      </c>
      <c r="C4417" s="40">
        <v>5</v>
      </c>
      <c r="D4417" s="38" t="s">
        <v>266</v>
      </c>
    </row>
    <row r="4418" spans="1:4" x14ac:dyDescent="0.25">
      <c r="A4418" s="42">
        <v>321216.26</v>
      </c>
      <c r="B4418" s="39" t="s">
        <v>5995</v>
      </c>
      <c r="C4418" s="40">
        <v>5</v>
      </c>
      <c r="D4418" s="38" t="s">
        <v>266</v>
      </c>
    </row>
    <row r="4419" spans="1:4" x14ac:dyDescent="0.25">
      <c r="A4419" s="42">
        <v>321216.28999999998</v>
      </c>
      <c r="B4419" s="39" t="s">
        <v>5996</v>
      </c>
      <c r="C4419" s="40">
        <v>5</v>
      </c>
      <c r="D4419" s="38" t="s">
        <v>266</v>
      </c>
    </row>
    <row r="4420" spans="1:4" x14ac:dyDescent="0.25">
      <c r="A4420" s="42">
        <v>321216.33</v>
      </c>
      <c r="B4420" s="39" t="s">
        <v>5997</v>
      </c>
      <c r="C4420" s="40">
        <v>5</v>
      </c>
      <c r="D4420" s="38" t="s">
        <v>266</v>
      </c>
    </row>
    <row r="4421" spans="1:4" x14ac:dyDescent="0.25">
      <c r="A4421" s="42">
        <v>321216.36</v>
      </c>
      <c r="B4421" s="39" t="s">
        <v>5998</v>
      </c>
      <c r="C4421" s="40">
        <v>5</v>
      </c>
      <c r="D4421" s="38" t="s">
        <v>266</v>
      </c>
    </row>
    <row r="4422" spans="1:4" x14ac:dyDescent="0.25">
      <c r="A4422" s="41">
        <v>321219</v>
      </c>
      <c r="B4422" s="39" t="s">
        <v>5999</v>
      </c>
      <c r="C4422" s="40">
        <v>4</v>
      </c>
      <c r="D4422" s="38" t="s">
        <v>266</v>
      </c>
    </row>
    <row r="4423" spans="1:4" x14ac:dyDescent="0.25">
      <c r="A4423" s="42">
        <v>321219.13</v>
      </c>
      <c r="B4423" s="39" t="s">
        <v>6000</v>
      </c>
      <c r="C4423" s="40">
        <v>5</v>
      </c>
      <c r="D4423" s="38" t="s">
        <v>266</v>
      </c>
    </row>
    <row r="4424" spans="1:4" x14ac:dyDescent="0.25">
      <c r="A4424" s="42">
        <v>321219.15999999997</v>
      </c>
      <c r="B4424" s="39" t="s">
        <v>6001</v>
      </c>
      <c r="C4424" s="40">
        <v>5</v>
      </c>
      <c r="D4424" s="38" t="s">
        <v>266</v>
      </c>
    </row>
    <row r="4425" spans="1:4" x14ac:dyDescent="0.25">
      <c r="A4425" s="42">
        <v>321219.19</v>
      </c>
      <c r="B4425" s="39" t="s">
        <v>6002</v>
      </c>
      <c r="C4425" s="40">
        <v>5</v>
      </c>
      <c r="D4425" s="38" t="s">
        <v>266</v>
      </c>
    </row>
    <row r="4426" spans="1:4" x14ac:dyDescent="0.25">
      <c r="A4426" s="41">
        <v>321233</v>
      </c>
      <c r="B4426" s="39" t="s">
        <v>6003</v>
      </c>
      <c r="C4426" s="40">
        <v>4</v>
      </c>
      <c r="D4426" s="38" t="s">
        <v>266</v>
      </c>
    </row>
    <row r="4427" spans="1:4" x14ac:dyDescent="0.25">
      <c r="A4427" s="41">
        <v>321236</v>
      </c>
      <c r="B4427" s="39" t="s">
        <v>6004</v>
      </c>
      <c r="C4427" s="40">
        <v>4</v>
      </c>
      <c r="D4427" s="38" t="s">
        <v>266</v>
      </c>
    </row>
    <row r="4428" spans="1:4" x14ac:dyDescent="0.25">
      <c r="A4428" s="42">
        <v>321236.13</v>
      </c>
      <c r="B4428" s="39" t="s">
        <v>6005</v>
      </c>
      <c r="C4428" s="40">
        <v>5</v>
      </c>
      <c r="D4428" s="38" t="s">
        <v>266</v>
      </c>
    </row>
    <row r="4429" spans="1:4" x14ac:dyDescent="0.25">
      <c r="A4429" s="42">
        <v>321236.15999999997</v>
      </c>
      <c r="B4429" s="39" t="s">
        <v>6006</v>
      </c>
      <c r="C4429" s="40">
        <v>5</v>
      </c>
      <c r="D4429" s="38" t="s">
        <v>266</v>
      </c>
    </row>
    <row r="4430" spans="1:4" x14ac:dyDescent="0.25">
      <c r="A4430" s="42">
        <v>321236.19</v>
      </c>
      <c r="B4430" s="39" t="s">
        <v>6007</v>
      </c>
      <c r="C4430" s="40">
        <v>5</v>
      </c>
      <c r="D4430" s="38" t="s">
        <v>266</v>
      </c>
    </row>
    <row r="4431" spans="1:4" x14ac:dyDescent="0.25">
      <c r="A4431" s="42">
        <v>321236.23</v>
      </c>
      <c r="B4431" s="39" t="s">
        <v>6008</v>
      </c>
      <c r="C4431" s="40">
        <v>5</v>
      </c>
      <c r="D4431" s="38" t="s">
        <v>266</v>
      </c>
    </row>
    <row r="4432" spans="1:4" x14ac:dyDescent="0.25">
      <c r="A4432" s="41">
        <v>321243</v>
      </c>
      <c r="B4432" s="39" t="s">
        <v>6009</v>
      </c>
      <c r="C4432" s="40">
        <v>4</v>
      </c>
      <c r="D4432" s="38" t="s">
        <v>266</v>
      </c>
    </row>
    <row r="4433" spans="1:4" x14ac:dyDescent="0.25">
      <c r="A4433" s="41">
        <v>321273</v>
      </c>
      <c r="B4433" s="39" t="s">
        <v>6010</v>
      </c>
      <c r="C4433" s="40">
        <v>4</v>
      </c>
      <c r="D4433" s="38" t="s">
        <v>266</v>
      </c>
    </row>
    <row r="4434" spans="1:4" x14ac:dyDescent="0.25">
      <c r="A4434" s="41">
        <v>321300</v>
      </c>
      <c r="B4434" s="39" t="s">
        <v>6011</v>
      </c>
      <c r="C4434" s="40">
        <v>3</v>
      </c>
      <c r="D4434" s="38" t="s">
        <v>266</v>
      </c>
    </row>
    <row r="4435" spans="1:4" x14ac:dyDescent="0.25">
      <c r="A4435" s="41">
        <v>321313</v>
      </c>
      <c r="B4435" s="39" t="s">
        <v>6012</v>
      </c>
      <c r="C4435" s="40">
        <v>4</v>
      </c>
      <c r="D4435" s="38" t="s">
        <v>266</v>
      </c>
    </row>
    <row r="4436" spans="1:4" x14ac:dyDescent="0.25">
      <c r="A4436" s="42">
        <v>321313.13</v>
      </c>
      <c r="B4436" s="39" t="s">
        <v>6013</v>
      </c>
      <c r="C4436" s="40">
        <v>5</v>
      </c>
      <c r="D4436" s="38" t="s">
        <v>266</v>
      </c>
    </row>
    <row r="4437" spans="1:4" x14ac:dyDescent="0.25">
      <c r="A4437" s="42">
        <v>321313.15999999997</v>
      </c>
      <c r="B4437" s="39" t="s">
        <v>6014</v>
      </c>
      <c r="C4437" s="40">
        <v>5</v>
      </c>
      <c r="D4437" s="38" t="s">
        <v>266</v>
      </c>
    </row>
    <row r="4438" spans="1:4" x14ac:dyDescent="0.25">
      <c r="A4438" s="42">
        <v>321313.19</v>
      </c>
      <c r="B4438" s="39" t="s">
        <v>6015</v>
      </c>
      <c r="C4438" s="40">
        <v>5</v>
      </c>
      <c r="D4438" s="38" t="s">
        <v>266</v>
      </c>
    </row>
    <row r="4439" spans="1:4" x14ac:dyDescent="0.25">
      <c r="A4439" s="42">
        <v>321313.23</v>
      </c>
      <c r="B4439" s="39" t="s">
        <v>6016</v>
      </c>
      <c r="C4439" s="40">
        <v>5</v>
      </c>
      <c r="D4439" s="38" t="s">
        <v>266</v>
      </c>
    </row>
    <row r="4440" spans="1:4" x14ac:dyDescent="0.25">
      <c r="A4440" s="42">
        <v>321313.33</v>
      </c>
      <c r="B4440" s="39" t="s">
        <v>6017</v>
      </c>
      <c r="C4440" s="40">
        <v>5</v>
      </c>
      <c r="D4440" s="38" t="s">
        <v>266</v>
      </c>
    </row>
    <row r="4441" spans="1:4" x14ac:dyDescent="0.25">
      <c r="A4441" s="41">
        <v>321316</v>
      </c>
      <c r="B4441" s="39" t="s">
        <v>6018</v>
      </c>
      <c r="C4441" s="40">
        <v>4</v>
      </c>
      <c r="D4441" s="38" t="s">
        <v>266</v>
      </c>
    </row>
    <row r="4442" spans="1:4" x14ac:dyDescent="0.25">
      <c r="A4442" s="42">
        <v>321316.13</v>
      </c>
      <c r="B4442" s="39" t="s">
        <v>6019</v>
      </c>
      <c r="C4442" s="40">
        <v>5</v>
      </c>
      <c r="D4442" s="38" t="s">
        <v>266</v>
      </c>
    </row>
    <row r="4443" spans="1:4" x14ac:dyDescent="0.25">
      <c r="A4443" s="42">
        <v>321316.15999999997</v>
      </c>
      <c r="B4443" s="39" t="s">
        <v>6020</v>
      </c>
      <c r="C4443" s="40">
        <v>5</v>
      </c>
      <c r="D4443" s="38" t="s">
        <v>266</v>
      </c>
    </row>
    <row r="4444" spans="1:4" x14ac:dyDescent="0.25">
      <c r="A4444" s="42">
        <v>321316.19</v>
      </c>
      <c r="B4444" s="39" t="s">
        <v>6021</v>
      </c>
      <c r="C4444" s="40">
        <v>5</v>
      </c>
      <c r="D4444" s="38" t="s">
        <v>266</v>
      </c>
    </row>
    <row r="4445" spans="1:4" x14ac:dyDescent="0.25">
      <c r="A4445" s="42">
        <v>321316.23</v>
      </c>
      <c r="B4445" s="39" t="s">
        <v>6022</v>
      </c>
      <c r="C4445" s="40">
        <v>5</v>
      </c>
      <c r="D4445" s="38" t="s">
        <v>266</v>
      </c>
    </row>
    <row r="4446" spans="1:4" x14ac:dyDescent="0.25">
      <c r="A4446" s="41">
        <v>321343</v>
      </c>
      <c r="B4446" s="39" t="s">
        <v>6023</v>
      </c>
      <c r="C4446" s="40">
        <v>4</v>
      </c>
      <c r="D4446" s="38" t="s">
        <v>266</v>
      </c>
    </row>
    <row r="4447" spans="1:4" x14ac:dyDescent="0.25">
      <c r="A4447" s="41">
        <v>321373</v>
      </c>
      <c r="B4447" s="39" t="s">
        <v>6024</v>
      </c>
      <c r="C4447" s="40">
        <v>4</v>
      </c>
      <c r="D4447" s="38" t="s">
        <v>266</v>
      </c>
    </row>
    <row r="4448" spans="1:4" x14ac:dyDescent="0.25">
      <c r="A4448" s="42">
        <v>321373.13</v>
      </c>
      <c r="B4448" s="39" t="s">
        <v>6025</v>
      </c>
      <c r="C4448" s="40">
        <v>5</v>
      </c>
      <c r="D4448" s="38" t="s">
        <v>266</v>
      </c>
    </row>
    <row r="4449" spans="1:4" x14ac:dyDescent="0.25">
      <c r="A4449" s="42">
        <v>321373.15999999997</v>
      </c>
      <c r="B4449" s="39" t="s">
        <v>6026</v>
      </c>
      <c r="C4449" s="40">
        <v>5</v>
      </c>
      <c r="D4449" s="38" t="s">
        <v>266</v>
      </c>
    </row>
    <row r="4450" spans="1:4" x14ac:dyDescent="0.25">
      <c r="A4450" s="42">
        <v>321373.19</v>
      </c>
      <c r="B4450" s="39" t="s">
        <v>6027</v>
      </c>
      <c r="C4450" s="40">
        <v>5</v>
      </c>
      <c r="D4450" s="38" t="s">
        <v>266</v>
      </c>
    </row>
    <row r="4451" spans="1:4" x14ac:dyDescent="0.25">
      <c r="A4451" s="41">
        <v>321400</v>
      </c>
      <c r="B4451" s="39" t="s">
        <v>6028</v>
      </c>
      <c r="C4451" s="40">
        <v>3</v>
      </c>
      <c r="D4451" s="38" t="s">
        <v>266</v>
      </c>
    </row>
    <row r="4452" spans="1:4" x14ac:dyDescent="0.25">
      <c r="A4452" s="41">
        <v>321413</v>
      </c>
      <c r="B4452" s="39" t="s">
        <v>6029</v>
      </c>
      <c r="C4452" s="40">
        <v>4</v>
      </c>
      <c r="D4452" s="38" t="s">
        <v>266</v>
      </c>
    </row>
    <row r="4453" spans="1:4" x14ac:dyDescent="0.25">
      <c r="A4453" s="42">
        <v>321413.13</v>
      </c>
      <c r="B4453" s="39" t="s">
        <v>6030</v>
      </c>
      <c r="C4453" s="40">
        <v>5</v>
      </c>
      <c r="D4453" s="38" t="s">
        <v>266</v>
      </c>
    </row>
    <row r="4454" spans="1:4" x14ac:dyDescent="0.25">
      <c r="A4454" s="42">
        <v>321413.15999999997</v>
      </c>
      <c r="B4454" s="39" t="s">
        <v>6031</v>
      </c>
      <c r="C4454" s="40">
        <v>5</v>
      </c>
      <c r="D4454" s="38" t="s">
        <v>266</v>
      </c>
    </row>
    <row r="4455" spans="1:4" x14ac:dyDescent="0.25">
      <c r="A4455" s="42">
        <v>321413.19</v>
      </c>
      <c r="B4455" s="39" t="s">
        <v>6032</v>
      </c>
      <c r="C4455" s="40">
        <v>5</v>
      </c>
      <c r="D4455" s="38" t="s">
        <v>266</v>
      </c>
    </row>
    <row r="4456" spans="1:4" x14ac:dyDescent="0.25">
      <c r="A4456" s="41">
        <v>321416</v>
      </c>
      <c r="B4456" s="39" t="s">
        <v>6033</v>
      </c>
      <c r="C4456" s="40">
        <v>4</v>
      </c>
      <c r="D4456" s="38" t="s">
        <v>266</v>
      </c>
    </row>
    <row r="4457" spans="1:4" x14ac:dyDescent="0.25">
      <c r="A4457" s="41">
        <v>321423</v>
      </c>
      <c r="B4457" s="39" t="s">
        <v>6034</v>
      </c>
      <c r="C4457" s="40">
        <v>4</v>
      </c>
      <c r="D4457" s="38" t="s">
        <v>266</v>
      </c>
    </row>
    <row r="4458" spans="1:4" x14ac:dyDescent="0.25">
      <c r="A4458" s="41">
        <v>321426</v>
      </c>
      <c r="B4458" s="39" t="s">
        <v>6035</v>
      </c>
      <c r="C4458" s="40">
        <v>4</v>
      </c>
      <c r="D4458" s="38" t="s">
        <v>266</v>
      </c>
    </row>
    <row r="4459" spans="1:4" x14ac:dyDescent="0.25">
      <c r="A4459" s="41">
        <v>321429</v>
      </c>
      <c r="B4459" s="39" t="s">
        <v>6036</v>
      </c>
      <c r="C4459" s="40">
        <v>4</v>
      </c>
      <c r="D4459" s="38" t="s">
        <v>266</v>
      </c>
    </row>
    <row r="4460" spans="1:4" x14ac:dyDescent="0.25">
      <c r="A4460" s="41">
        <v>321440</v>
      </c>
      <c r="B4460" s="39" t="s">
        <v>6037</v>
      </c>
      <c r="C4460" s="40">
        <v>4</v>
      </c>
      <c r="D4460" s="38" t="s">
        <v>266</v>
      </c>
    </row>
    <row r="4461" spans="1:4" x14ac:dyDescent="0.25">
      <c r="A4461" s="41">
        <v>321443</v>
      </c>
      <c r="B4461" s="39" t="s">
        <v>6038</v>
      </c>
      <c r="C4461" s="40">
        <v>4</v>
      </c>
      <c r="D4461" s="38" t="s">
        <v>266</v>
      </c>
    </row>
    <row r="4462" spans="1:4" x14ac:dyDescent="0.25">
      <c r="A4462" s="41">
        <v>321500</v>
      </c>
      <c r="B4462" s="39" t="s">
        <v>6039</v>
      </c>
      <c r="C4462" s="40">
        <v>3</v>
      </c>
      <c r="D4462" s="38" t="s">
        <v>266</v>
      </c>
    </row>
    <row r="4463" spans="1:4" x14ac:dyDescent="0.25">
      <c r="A4463" s="41">
        <v>321513</v>
      </c>
      <c r="B4463" s="39" t="s">
        <v>6040</v>
      </c>
      <c r="C4463" s="40">
        <v>4</v>
      </c>
      <c r="D4463" s="38" t="s">
        <v>266</v>
      </c>
    </row>
    <row r="4464" spans="1:4" x14ac:dyDescent="0.25">
      <c r="A4464" s="41">
        <v>321540</v>
      </c>
      <c r="B4464" s="39" t="s">
        <v>6041</v>
      </c>
      <c r="C4464" s="40">
        <v>4</v>
      </c>
      <c r="D4464" s="38" t="s">
        <v>266</v>
      </c>
    </row>
    <row r="4465" spans="1:4" x14ac:dyDescent="0.25">
      <c r="A4465" s="41">
        <v>321600</v>
      </c>
      <c r="B4465" s="39" t="s">
        <v>6042</v>
      </c>
      <c r="C4465" s="40">
        <v>3</v>
      </c>
      <c r="D4465" s="38" t="s">
        <v>266</v>
      </c>
    </row>
    <row r="4466" spans="1:4" x14ac:dyDescent="0.25">
      <c r="A4466" s="41">
        <v>321613</v>
      </c>
      <c r="B4466" s="39" t="s">
        <v>6043</v>
      </c>
      <c r="C4466" s="40">
        <v>4</v>
      </c>
      <c r="D4466" s="38" t="s">
        <v>1510</v>
      </c>
    </row>
    <row r="4467" spans="1:4" x14ac:dyDescent="0.25">
      <c r="A4467" s="42">
        <v>321613.13</v>
      </c>
      <c r="B4467" s="39" t="s">
        <v>6044</v>
      </c>
      <c r="C4467" s="40">
        <v>5</v>
      </c>
      <c r="D4467" s="38" t="s">
        <v>266</v>
      </c>
    </row>
    <row r="4468" spans="1:4" x14ac:dyDescent="0.25">
      <c r="A4468" s="42">
        <v>321613.15999999997</v>
      </c>
      <c r="B4468" s="39" t="s">
        <v>6045</v>
      </c>
      <c r="C4468" s="40">
        <v>5</v>
      </c>
      <c r="D4468" s="38" t="s">
        <v>266</v>
      </c>
    </row>
    <row r="4469" spans="1:4" x14ac:dyDescent="0.25">
      <c r="A4469" s="42">
        <v>321613.23</v>
      </c>
      <c r="B4469" s="39" t="s">
        <v>6046</v>
      </c>
      <c r="C4469" s="40">
        <v>5</v>
      </c>
      <c r="D4469" s="38" t="s">
        <v>266</v>
      </c>
    </row>
    <row r="4470" spans="1:4" x14ac:dyDescent="0.25">
      <c r="A4470" s="42">
        <v>321613.33</v>
      </c>
      <c r="B4470" s="39" t="s">
        <v>6047</v>
      </c>
      <c r="C4470" s="40">
        <v>5</v>
      </c>
      <c r="D4470" s="38" t="s">
        <v>266</v>
      </c>
    </row>
    <row r="4471" spans="1:4" x14ac:dyDescent="0.25">
      <c r="A4471" s="42">
        <v>321613.43</v>
      </c>
      <c r="B4471" s="39" t="s">
        <v>6048</v>
      </c>
      <c r="C4471" s="40">
        <v>5</v>
      </c>
      <c r="D4471" s="38" t="s">
        <v>266</v>
      </c>
    </row>
    <row r="4472" spans="1:4" x14ac:dyDescent="0.25">
      <c r="A4472" s="41">
        <v>321623</v>
      </c>
      <c r="B4472" s="39" t="s">
        <v>6049</v>
      </c>
      <c r="C4472" s="40">
        <v>4</v>
      </c>
      <c r="D4472" s="38" t="s">
        <v>266</v>
      </c>
    </row>
    <row r="4473" spans="1:4" x14ac:dyDescent="0.25">
      <c r="A4473" s="41">
        <v>321633</v>
      </c>
      <c r="B4473" s="39" t="s">
        <v>6050</v>
      </c>
      <c r="C4473" s="40">
        <v>4</v>
      </c>
      <c r="D4473" s="38" t="s">
        <v>266</v>
      </c>
    </row>
    <row r="4474" spans="1:4" x14ac:dyDescent="0.25">
      <c r="A4474" s="41">
        <v>321700</v>
      </c>
      <c r="B4474" s="39" t="s">
        <v>6051</v>
      </c>
      <c r="C4474" s="40">
        <v>3</v>
      </c>
      <c r="D4474" s="38" t="s">
        <v>266</v>
      </c>
    </row>
    <row r="4475" spans="1:4" x14ac:dyDescent="0.25">
      <c r="A4475" s="41">
        <v>321713</v>
      </c>
      <c r="B4475" s="39" t="s">
        <v>6052</v>
      </c>
      <c r="C4475" s="40">
        <v>4</v>
      </c>
      <c r="D4475" s="38" t="s">
        <v>266</v>
      </c>
    </row>
    <row r="4476" spans="1:4" x14ac:dyDescent="0.25">
      <c r="A4476" s="42">
        <v>321713.13</v>
      </c>
      <c r="B4476" s="39" t="s">
        <v>6053</v>
      </c>
      <c r="C4476" s="40">
        <v>5</v>
      </c>
      <c r="D4476" s="38" t="s">
        <v>266</v>
      </c>
    </row>
    <row r="4477" spans="1:4" x14ac:dyDescent="0.25">
      <c r="A4477" s="42">
        <v>321713.15999999997</v>
      </c>
      <c r="B4477" s="39" t="s">
        <v>6054</v>
      </c>
      <c r="C4477" s="40">
        <v>5</v>
      </c>
      <c r="D4477" s="38" t="s">
        <v>266</v>
      </c>
    </row>
    <row r="4478" spans="1:4" x14ac:dyDescent="0.25">
      <c r="A4478" s="42">
        <v>321713.19</v>
      </c>
      <c r="B4478" s="39" t="s">
        <v>6055</v>
      </c>
      <c r="C4478" s="40">
        <v>5</v>
      </c>
      <c r="D4478" s="38" t="s">
        <v>266</v>
      </c>
    </row>
    <row r="4479" spans="1:4" x14ac:dyDescent="0.25">
      <c r="A4479" s="42">
        <v>321713.23</v>
      </c>
      <c r="B4479" s="39" t="s">
        <v>6056</v>
      </c>
      <c r="C4479" s="40">
        <v>5</v>
      </c>
      <c r="D4479" s="38" t="s">
        <v>266</v>
      </c>
    </row>
    <row r="4480" spans="1:4" x14ac:dyDescent="0.25">
      <c r="A4480" s="42">
        <v>321713.26</v>
      </c>
      <c r="B4480" s="39" t="s">
        <v>6057</v>
      </c>
      <c r="C4480" s="40">
        <v>5</v>
      </c>
      <c r="D4480" s="38" t="s">
        <v>266</v>
      </c>
    </row>
    <row r="4481" spans="1:4" x14ac:dyDescent="0.25">
      <c r="A4481" s="41">
        <v>321716</v>
      </c>
      <c r="B4481" s="39" t="s">
        <v>6058</v>
      </c>
      <c r="C4481" s="40">
        <v>4</v>
      </c>
      <c r="D4481" s="38" t="s">
        <v>266</v>
      </c>
    </row>
    <row r="4482" spans="1:4" x14ac:dyDescent="0.25">
      <c r="A4482" s="41">
        <v>321723</v>
      </c>
      <c r="B4482" s="39" t="s">
        <v>6059</v>
      </c>
      <c r="C4482" s="40">
        <v>4</v>
      </c>
      <c r="D4482" s="38" t="s">
        <v>266</v>
      </c>
    </row>
    <row r="4483" spans="1:4" x14ac:dyDescent="0.25">
      <c r="A4483" s="42">
        <v>321723.13</v>
      </c>
      <c r="B4483" s="39" t="s">
        <v>6060</v>
      </c>
      <c r="C4483" s="40">
        <v>5</v>
      </c>
      <c r="D4483" s="38" t="s">
        <v>266</v>
      </c>
    </row>
    <row r="4484" spans="1:4" x14ac:dyDescent="0.25">
      <c r="A4484" s="42">
        <v>321723.23</v>
      </c>
      <c r="B4484" s="39" t="s">
        <v>6061</v>
      </c>
      <c r="C4484" s="40">
        <v>5</v>
      </c>
      <c r="D4484" s="38" t="s">
        <v>266</v>
      </c>
    </row>
    <row r="4485" spans="1:4" x14ac:dyDescent="0.25">
      <c r="A4485" s="42">
        <v>321723.33</v>
      </c>
      <c r="B4485" s="39" t="s">
        <v>6062</v>
      </c>
      <c r="C4485" s="40">
        <v>5</v>
      </c>
      <c r="D4485" s="38" t="s">
        <v>266</v>
      </c>
    </row>
    <row r="4486" spans="1:4" x14ac:dyDescent="0.25">
      <c r="A4486" s="41">
        <v>321726</v>
      </c>
      <c r="B4486" s="39" t="s">
        <v>6063</v>
      </c>
      <c r="C4486" s="40">
        <v>4</v>
      </c>
      <c r="D4486" s="38" t="s">
        <v>266</v>
      </c>
    </row>
    <row r="4487" spans="1:4" x14ac:dyDescent="0.25">
      <c r="A4487" s="41">
        <v>321743</v>
      </c>
      <c r="B4487" s="39" t="s">
        <v>6064</v>
      </c>
      <c r="C4487" s="40">
        <v>4</v>
      </c>
      <c r="D4487" s="38" t="s">
        <v>266</v>
      </c>
    </row>
    <row r="4488" spans="1:4" x14ac:dyDescent="0.25">
      <c r="A4488" s="41">
        <v>321800</v>
      </c>
      <c r="B4488" s="39" t="s">
        <v>6065</v>
      </c>
      <c r="C4488" s="40">
        <v>3</v>
      </c>
      <c r="D4488" s="38" t="s">
        <v>266</v>
      </c>
    </row>
    <row r="4489" spans="1:4" x14ac:dyDescent="0.25">
      <c r="A4489" s="41">
        <v>321813</v>
      </c>
      <c r="B4489" s="39" t="s">
        <v>6066</v>
      </c>
      <c r="C4489" s="40">
        <v>4</v>
      </c>
      <c r="D4489" s="38" t="s">
        <v>266</v>
      </c>
    </row>
    <row r="4490" spans="1:4" x14ac:dyDescent="0.25">
      <c r="A4490" s="41">
        <v>321816</v>
      </c>
      <c r="B4490" s="39" t="s">
        <v>6067</v>
      </c>
      <c r="C4490" s="40">
        <v>4</v>
      </c>
      <c r="D4490" s="38" t="s">
        <v>266</v>
      </c>
    </row>
    <row r="4491" spans="1:4" x14ac:dyDescent="0.25">
      <c r="A4491" s="42">
        <v>321816.13</v>
      </c>
      <c r="B4491" s="39" t="s">
        <v>6068</v>
      </c>
      <c r="C4491" s="40">
        <v>5</v>
      </c>
      <c r="D4491" s="38" t="s">
        <v>266</v>
      </c>
    </row>
    <row r="4492" spans="1:4" x14ac:dyDescent="0.25">
      <c r="A4492" s="41">
        <v>321823</v>
      </c>
      <c r="B4492" s="39" t="s">
        <v>6069</v>
      </c>
      <c r="C4492" s="40">
        <v>4</v>
      </c>
      <c r="D4492" s="38" t="s">
        <v>266</v>
      </c>
    </row>
    <row r="4493" spans="1:4" x14ac:dyDescent="0.25">
      <c r="A4493" s="42">
        <v>321823.13</v>
      </c>
      <c r="B4493" s="39" t="s">
        <v>6070</v>
      </c>
      <c r="C4493" s="40">
        <v>5</v>
      </c>
      <c r="D4493" s="38" t="s">
        <v>266</v>
      </c>
    </row>
    <row r="4494" spans="1:4" x14ac:dyDescent="0.25">
      <c r="A4494" s="42">
        <v>321823.15999999997</v>
      </c>
      <c r="B4494" s="39" t="s">
        <v>6071</v>
      </c>
      <c r="C4494" s="40">
        <v>5</v>
      </c>
      <c r="D4494" s="38" t="s">
        <v>266</v>
      </c>
    </row>
    <row r="4495" spans="1:4" x14ac:dyDescent="0.25">
      <c r="A4495" s="42">
        <v>321823.19</v>
      </c>
      <c r="B4495" s="39" t="s">
        <v>6072</v>
      </c>
      <c r="C4495" s="40">
        <v>5</v>
      </c>
      <c r="D4495" s="38" t="s">
        <v>266</v>
      </c>
    </row>
    <row r="4496" spans="1:4" x14ac:dyDescent="0.25">
      <c r="A4496" s="42">
        <v>321823.23</v>
      </c>
      <c r="B4496" s="39" t="s">
        <v>6073</v>
      </c>
      <c r="C4496" s="40">
        <v>5</v>
      </c>
      <c r="D4496" s="38" t="s">
        <v>266</v>
      </c>
    </row>
    <row r="4497" spans="1:4" x14ac:dyDescent="0.25">
      <c r="A4497" s="42">
        <v>321823.26</v>
      </c>
      <c r="B4497" s="39" t="s">
        <v>6074</v>
      </c>
      <c r="C4497" s="40">
        <v>5</v>
      </c>
      <c r="D4497" s="38" t="s">
        <v>266</v>
      </c>
    </row>
    <row r="4498" spans="1:4" x14ac:dyDescent="0.25">
      <c r="A4498" s="42">
        <v>321823.28999999998</v>
      </c>
      <c r="B4498" s="39" t="s">
        <v>6075</v>
      </c>
      <c r="C4498" s="40">
        <v>5</v>
      </c>
      <c r="D4498" s="38" t="s">
        <v>266</v>
      </c>
    </row>
    <row r="4499" spans="1:4" x14ac:dyDescent="0.25">
      <c r="A4499" s="42">
        <v>321823.33</v>
      </c>
      <c r="B4499" s="39" t="s">
        <v>6076</v>
      </c>
      <c r="C4499" s="40">
        <v>5</v>
      </c>
      <c r="D4499" s="38" t="s">
        <v>266</v>
      </c>
    </row>
    <row r="4500" spans="1:4" x14ac:dyDescent="0.25">
      <c r="A4500" s="42">
        <v>321823.35999999999</v>
      </c>
      <c r="B4500" s="39" t="s">
        <v>6077</v>
      </c>
      <c r="C4500" s="40">
        <v>5</v>
      </c>
      <c r="D4500" s="38" t="s">
        <v>266</v>
      </c>
    </row>
    <row r="4501" spans="1:4" x14ac:dyDescent="0.25">
      <c r="A4501" s="42">
        <v>321823.39</v>
      </c>
      <c r="B4501" s="39" t="s">
        <v>6078</v>
      </c>
      <c r="C4501" s="40">
        <v>5</v>
      </c>
      <c r="D4501" s="38" t="s">
        <v>266</v>
      </c>
    </row>
    <row r="4502" spans="1:4" x14ac:dyDescent="0.25">
      <c r="A4502" s="42">
        <v>321823.43</v>
      </c>
      <c r="B4502" s="39" t="s">
        <v>6079</v>
      </c>
      <c r="C4502" s="40">
        <v>5</v>
      </c>
      <c r="D4502" s="38" t="s">
        <v>266</v>
      </c>
    </row>
    <row r="4503" spans="1:4" x14ac:dyDescent="0.25">
      <c r="A4503" s="42">
        <v>321823.53000000003</v>
      </c>
      <c r="B4503" s="39" t="s">
        <v>6080</v>
      </c>
      <c r="C4503" s="40">
        <v>5</v>
      </c>
      <c r="D4503" s="38" t="s">
        <v>266</v>
      </c>
    </row>
    <row r="4504" spans="1:4" x14ac:dyDescent="0.25">
      <c r="A4504" s="42">
        <v>321823.56</v>
      </c>
      <c r="B4504" s="39" t="s">
        <v>6081</v>
      </c>
      <c r="C4504" s="40">
        <v>5</v>
      </c>
      <c r="D4504" s="38" t="s">
        <v>266</v>
      </c>
    </row>
    <row r="4505" spans="1:4" x14ac:dyDescent="0.25">
      <c r="A4505" s="42">
        <v>321823.59000000003</v>
      </c>
      <c r="B4505" s="39" t="s">
        <v>6082</v>
      </c>
      <c r="C4505" s="40">
        <v>5</v>
      </c>
      <c r="D4505" s="38" t="s">
        <v>266</v>
      </c>
    </row>
    <row r="4506" spans="1:4" x14ac:dyDescent="0.25">
      <c r="A4506" s="41">
        <v>323000</v>
      </c>
      <c r="B4506" s="39" t="s">
        <v>1505</v>
      </c>
      <c r="C4506" s="40">
        <v>3</v>
      </c>
      <c r="D4506" s="39" t="s">
        <v>1504</v>
      </c>
    </row>
    <row r="4507" spans="1:4" x14ac:dyDescent="0.25">
      <c r="A4507" s="41">
        <v>323100</v>
      </c>
      <c r="B4507" s="39" t="s">
        <v>1569</v>
      </c>
      <c r="C4507" s="40">
        <v>3</v>
      </c>
      <c r="D4507" s="39" t="s">
        <v>1568</v>
      </c>
    </row>
    <row r="4508" spans="1:4" x14ac:dyDescent="0.25">
      <c r="A4508" s="41">
        <v>323111</v>
      </c>
      <c r="B4508" s="39" t="s">
        <v>6083</v>
      </c>
      <c r="C4508" s="40">
        <v>4</v>
      </c>
      <c r="D4508" s="38" t="s">
        <v>266</v>
      </c>
    </row>
    <row r="4509" spans="1:4" x14ac:dyDescent="0.25">
      <c r="A4509" s="41">
        <v>323113</v>
      </c>
      <c r="B4509" s="39" t="s">
        <v>6084</v>
      </c>
      <c r="C4509" s="40">
        <v>4</v>
      </c>
      <c r="D4509" s="38" t="s">
        <v>266</v>
      </c>
    </row>
    <row r="4510" spans="1:4" x14ac:dyDescent="0.25">
      <c r="A4510" s="42">
        <v>323113.23</v>
      </c>
      <c r="B4510" s="39" t="s">
        <v>6085</v>
      </c>
      <c r="C4510" s="40">
        <v>5</v>
      </c>
      <c r="D4510" s="38" t="s">
        <v>266</v>
      </c>
    </row>
    <row r="4511" spans="1:4" x14ac:dyDescent="0.25">
      <c r="A4511" s="42">
        <v>323113.26</v>
      </c>
      <c r="B4511" s="39" t="s">
        <v>6086</v>
      </c>
      <c r="C4511" s="40">
        <v>5</v>
      </c>
      <c r="D4511" s="38" t="s">
        <v>266</v>
      </c>
    </row>
    <row r="4512" spans="1:4" x14ac:dyDescent="0.25">
      <c r="A4512" s="42">
        <v>323113.28999999998</v>
      </c>
      <c r="B4512" s="39" t="s">
        <v>6087</v>
      </c>
      <c r="C4512" s="40">
        <v>5</v>
      </c>
      <c r="D4512" s="38" t="s">
        <v>266</v>
      </c>
    </row>
    <row r="4513" spans="1:4" x14ac:dyDescent="0.25">
      <c r="A4513" s="42">
        <v>323113.33</v>
      </c>
      <c r="B4513" s="39" t="s">
        <v>6088</v>
      </c>
      <c r="C4513" s="40">
        <v>5</v>
      </c>
      <c r="D4513" s="38" t="s">
        <v>266</v>
      </c>
    </row>
    <row r="4514" spans="1:4" x14ac:dyDescent="0.25">
      <c r="A4514" s="42">
        <v>323113.53000000003</v>
      </c>
      <c r="B4514" s="39" t="s">
        <v>6089</v>
      </c>
      <c r="C4514" s="40">
        <v>5</v>
      </c>
      <c r="D4514" s="38" t="s">
        <v>266</v>
      </c>
    </row>
    <row r="4515" spans="1:4" x14ac:dyDescent="0.25">
      <c r="A4515" s="41">
        <v>323116</v>
      </c>
      <c r="B4515" s="39" t="s">
        <v>6090</v>
      </c>
      <c r="C4515" s="40">
        <v>4</v>
      </c>
      <c r="D4515" s="38" t="s">
        <v>266</v>
      </c>
    </row>
    <row r="4516" spans="1:4" x14ac:dyDescent="0.25">
      <c r="A4516" s="41">
        <v>323117</v>
      </c>
      <c r="B4516" s="39" t="s">
        <v>6091</v>
      </c>
      <c r="C4516" s="40">
        <v>4</v>
      </c>
      <c r="D4516" s="38" t="s">
        <v>266</v>
      </c>
    </row>
    <row r="4517" spans="1:4" x14ac:dyDescent="0.25">
      <c r="A4517" s="41">
        <v>323119</v>
      </c>
      <c r="B4517" s="39" t="s">
        <v>6092</v>
      </c>
      <c r="C4517" s="40">
        <v>4</v>
      </c>
      <c r="D4517" s="38" t="s">
        <v>266</v>
      </c>
    </row>
    <row r="4518" spans="1:4" x14ac:dyDescent="0.25">
      <c r="A4518" s="41">
        <v>323123</v>
      </c>
      <c r="B4518" s="39" t="s">
        <v>6093</v>
      </c>
      <c r="C4518" s="40">
        <v>4</v>
      </c>
      <c r="D4518" s="38" t="s">
        <v>266</v>
      </c>
    </row>
    <row r="4519" spans="1:4" x14ac:dyDescent="0.25">
      <c r="A4519" s="41">
        <v>323126</v>
      </c>
      <c r="B4519" s="39" t="s">
        <v>6094</v>
      </c>
      <c r="C4519" s="40">
        <v>4</v>
      </c>
      <c r="D4519" s="38" t="s">
        <v>266</v>
      </c>
    </row>
    <row r="4520" spans="1:4" x14ac:dyDescent="0.25">
      <c r="A4520" s="41">
        <v>323129</v>
      </c>
      <c r="B4520" s="39" t="s">
        <v>6095</v>
      </c>
      <c r="C4520" s="40">
        <v>4</v>
      </c>
      <c r="D4520" s="38" t="s">
        <v>266</v>
      </c>
    </row>
    <row r="4521" spans="1:4" x14ac:dyDescent="0.25">
      <c r="A4521" s="41">
        <v>323132</v>
      </c>
      <c r="B4521" s="39" t="s">
        <v>6096</v>
      </c>
      <c r="C4521" s="40">
        <v>4</v>
      </c>
      <c r="D4521" s="38" t="s">
        <v>266</v>
      </c>
    </row>
    <row r="4522" spans="1:4" x14ac:dyDescent="0.25">
      <c r="A4522" s="41">
        <v>323153</v>
      </c>
      <c r="B4522" s="39" t="s">
        <v>6097</v>
      </c>
      <c r="C4522" s="40">
        <v>4</v>
      </c>
      <c r="D4522" s="38" t="s">
        <v>266</v>
      </c>
    </row>
    <row r="4523" spans="1:4" x14ac:dyDescent="0.25">
      <c r="A4523" s="41">
        <v>323200</v>
      </c>
      <c r="B4523" s="39" t="s">
        <v>1583</v>
      </c>
      <c r="C4523" s="40">
        <v>3</v>
      </c>
      <c r="D4523" s="39" t="s">
        <v>1582</v>
      </c>
    </row>
    <row r="4524" spans="1:4" x14ac:dyDescent="0.25">
      <c r="A4524" s="41">
        <v>323213</v>
      </c>
      <c r="B4524" s="39" t="s">
        <v>6098</v>
      </c>
      <c r="C4524" s="40">
        <v>4</v>
      </c>
      <c r="D4524" s="38" t="s">
        <v>266</v>
      </c>
    </row>
    <row r="4525" spans="1:4" x14ac:dyDescent="0.25">
      <c r="A4525" s="41">
        <v>323216</v>
      </c>
      <c r="B4525" s="39" t="s">
        <v>6099</v>
      </c>
      <c r="C4525" s="40">
        <v>4</v>
      </c>
      <c r="D4525" s="38" t="s">
        <v>266</v>
      </c>
    </row>
    <row r="4526" spans="1:4" x14ac:dyDescent="0.25">
      <c r="A4526" s="41">
        <v>323219</v>
      </c>
      <c r="B4526" s="39" t="s">
        <v>6100</v>
      </c>
      <c r="C4526" s="40">
        <v>4</v>
      </c>
      <c r="D4526" s="38" t="s">
        <v>266</v>
      </c>
    </row>
    <row r="4527" spans="1:4" x14ac:dyDescent="0.25">
      <c r="A4527" s="41">
        <v>323223</v>
      </c>
      <c r="B4527" s="39" t="s">
        <v>6101</v>
      </c>
      <c r="C4527" s="40">
        <v>4</v>
      </c>
      <c r="D4527" s="38" t="s">
        <v>266</v>
      </c>
    </row>
    <row r="4528" spans="1:4" x14ac:dyDescent="0.25">
      <c r="A4528" s="42">
        <v>323223.13</v>
      </c>
      <c r="B4528" s="39" t="s">
        <v>6102</v>
      </c>
      <c r="C4528" s="40">
        <v>5</v>
      </c>
      <c r="D4528" s="38" t="s">
        <v>266</v>
      </c>
    </row>
    <row r="4529" spans="1:4" x14ac:dyDescent="0.25">
      <c r="A4529" s="42">
        <v>323223.15999999997</v>
      </c>
      <c r="B4529" s="39" t="s">
        <v>6103</v>
      </c>
      <c r="C4529" s="40">
        <v>5</v>
      </c>
      <c r="D4529" s="38" t="s">
        <v>266</v>
      </c>
    </row>
    <row r="4530" spans="1:4" x14ac:dyDescent="0.25">
      <c r="A4530" s="41">
        <v>323226</v>
      </c>
      <c r="B4530" s="39" t="s">
        <v>6104</v>
      </c>
      <c r="C4530" s="40">
        <v>4</v>
      </c>
      <c r="D4530" s="38" t="s">
        <v>266</v>
      </c>
    </row>
    <row r="4531" spans="1:4" x14ac:dyDescent="0.25">
      <c r="A4531" s="41">
        <v>323229</v>
      </c>
      <c r="B4531" s="39" t="s">
        <v>6105</v>
      </c>
      <c r="C4531" s="40">
        <v>4</v>
      </c>
      <c r="D4531" s="38" t="s">
        <v>266</v>
      </c>
    </row>
    <row r="4532" spans="1:4" x14ac:dyDescent="0.25">
      <c r="A4532" s="41">
        <v>323234</v>
      </c>
      <c r="B4532" s="39" t="s">
        <v>6106</v>
      </c>
      <c r="C4532" s="40">
        <v>4</v>
      </c>
      <c r="D4532" s="38" t="s">
        <v>266</v>
      </c>
    </row>
    <row r="4533" spans="1:4" x14ac:dyDescent="0.25">
      <c r="A4533" s="41">
        <v>323236</v>
      </c>
      <c r="B4533" s="39" t="s">
        <v>6107</v>
      </c>
      <c r="C4533" s="40">
        <v>4</v>
      </c>
      <c r="D4533" s="38" t="s">
        <v>266</v>
      </c>
    </row>
    <row r="4534" spans="1:4" x14ac:dyDescent="0.25">
      <c r="A4534" s="41">
        <v>323243</v>
      </c>
      <c r="B4534" s="39" t="s">
        <v>6108</v>
      </c>
      <c r="C4534" s="40">
        <v>4</v>
      </c>
      <c r="D4534" s="38" t="s">
        <v>266</v>
      </c>
    </row>
    <row r="4535" spans="1:4" x14ac:dyDescent="0.25">
      <c r="A4535" s="41">
        <v>323253</v>
      </c>
      <c r="B4535" s="39" t="s">
        <v>6109</v>
      </c>
      <c r="C4535" s="40">
        <v>4</v>
      </c>
      <c r="D4535" s="38" t="s">
        <v>266</v>
      </c>
    </row>
    <row r="4536" spans="1:4" x14ac:dyDescent="0.25">
      <c r="A4536" s="41">
        <v>323400</v>
      </c>
      <c r="B4536" s="39" t="s">
        <v>6110</v>
      </c>
      <c r="C4536" s="40">
        <v>3</v>
      </c>
      <c r="D4536" s="38" t="s">
        <v>266</v>
      </c>
    </row>
    <row r="4537" spans="1:4" x14ac:dyDescent="0.25">
      <c r="A4537" s="41">
        <v>323413</v>
      </c>
      <c r="B4537" s="39" t="s">
        <v>6111</v>
      </c>
      <c r="C4537" s="40">
        <v>4</v>
      </c>
      <c r="D4537" s="38" t="s">
        <v>266</v>
      </c>
    </row>
    <row r="4538" spans="1:4" x14ac:dyDescent="0.25">
      <c r="A4538" s="41">
        <v>323423</v>
      </c>
      <c r="B4538" s="39" t="s">
        <v>6112</v>
      </c>
      <c r="C4538" s="40">
        <v>4</v>
      </c>
      <c r="D4538" s="38" t="s">
        <v>266</v>
      </c>
    </row>
    <row r="4539" spans="1:4" x14ac:dyDescent="0.25">
      <c r="A4539" s="41">
        <v>323433</v>
      </c>
      <c r="B4539" s="39" t="s">
        <v>6113</v>
      </c>
      <c r="C4539" s="40">
        <v>4</v>
      </c>
      <c r="D4539" s="38" t="s">
        <v>266</v>
      </c>
    </row>
    <row r="4540" spans="1:4" x14ac:dyDescent="0.25">
      <c r="A4540" s="41">
        <v>323500</v>
      </c>
      <c r="B4540" s="39" t="s">
        <v>6114</v>
      </c>
      <c r="C4540" s="40">
        <v>3</v>
      </c>
      <c r="D4540" s="38" t="s">
        <v>266</v>
      </c>
    </row>
    <row r="4541" spans="1:4" x14ac:dyDescent="0.25">
      <c r="A4541" s="41">
        <v>323513</v>
      </c>
      <c r="B4541" s="39" t="s">
        <v>6115</v>
      </c>
      <c r="C4541" s="40">
        <v>4</v>
      </c>
      <c r="D4541" s="38" t="s">
        <v>266</v>
      </c>
    </row>
    <row r="4542" spans="1:4" x14ac:dyDescent="0.25">
      <c r="A4542" s="41">
        <v>323516</v>
      </c>
      <c r="B4542" s="39" t="s">
        <v>6116</v>
      </c>
      <c r="C4542" s="40">
        <v>4</v>
      </c>
      <c r="D4542" s="38" t="s">
        <v>266</v>
      </c>
    </row>
    <row r="4543" spans="1:4" x14ac:dyDescent="0.25">
      <c r="A4543" s="41">
        <v>323900</v>
      </c>
      <c r="B4543" s="39" t="s">
        <v>6117</v>
      </c>
      <c r="C4543" s="40">
        <v>3</v>
      </c>
      <c r="D4543" s="38" t="s">
        <v>266</v>
      </c>
    </row>
    <row r="4544" spans="1:4" x14ac:dyDescent="0.25">
      <c r="A4544" s="41">
        <v>323913</v>
      </c>
      <c r="B4544" s="39" t="s">
        <v>6118</v>
      </c>
      <c r="C4544" s="40">
        <v>4</v>
      </c>
      <c r="D4544" s="38" t="s">
        <v>266</v>
      </c>
    </row>
    <row r="4545" spans="1:4" x14ac:dyDescent="0.25">
      <c r="A4545" s="41">
        <v>327000</v>
      </c>
      <c r="B4545" s="39" t="s">
        <v>1499</v>
      </c>
      <c r="C4545" s="40">
        <v>3</v>
      </c>
      <c r="D4545" s="39" t="s">
        <v>1498</v>
      </c>
    </row>
    <row r="4546" spans="1:4" x14ac:dyDescent="0.25">
      <c r="A4546" s="41">
        <v>327100</v>
      </c>
      <c r="B4546" s="39" t="s">
        <v>6119</v>
      </c>
      <c r="C4546" s="40">
        <v>3</v>
      </c>
      <c r="D4546" s="38" t="s">
        <v>266</v>
      </c>
    </row>
    <row r="4547" spans="1:4" x14ac:dyDescent="0.25">
      <c r="A4547" s="41">
        <v>327200</v>
      </c>
      <c r="B4547" s="39" t="s">
        <v>6120</v>
      </c>
      <c r="C4547" s="40">
        <v>3</v>
      </c>
      <c r="D4547" s="38" t="s">
        <v>266</v>
      </c>
    </row>
    <row r="4548" spans="1:4" x14ac:dyDescent="0.25">
      <c r="A4548" s="41">
        <v>328000</v>
      </c>
      <c r="B4548" s="39" t="s">
        <v>6121</v>
      </c>
      <c r="C4548" s="40">
        <v>3</v>
      </c>
      <c r="D4548" s="38" t="s">
        <v>266</v>
      </c>
    </row>
    <row r="4549" spans="1:4" x14ac:dyDescent="0.25">
      <c r="A4549" s="41">
        <v>328200</v>
      </c>
      <c r="B4549" s="39" t="s">
        <v>6122</v>
      </c>
      <c r="C4549" s="40">
        <v>3</v>
      </c>
      <c r="D4549" s="38" t="s">
        <v>266</v>
      </c>
    </row>
    <row r="4550" spans="1:4" x14ac:dyDescent="0.25">
      <c r="A4550" s="41">
        <v>328400</v>
      </c>
      <c r="B4550" s="39" t="s">
        <v>1593</v>
      </c>
      <c r="C4550" s="40">
        <v>3</v>
      </c>
      <c r="D4550" s="39" t="s">
        <v>1592</v>
      </c>
    </row>
    <row r="4551" spans="1:4" x14ac:dyDescent="0.25">
      <c r="A4551" s="41">
        <v>328413</v>
      </c>
      <c r="B4551" s="39" t="s">
        <v>6123</v>
      </c>
      <c r="C4551" s="40">
        <v>4</v>
      </c>
      <c r="D4551" s="38" t="s">
        <v>266</v>
      </c>
    </row>
    <row r="4552" spans="1:4" x14ac:dyDescent="0.25">
      <c r="A4552" s="41">
        <v>328423</v>
      </c>
      <c r="B4552" s="39" t="s">
        <v>6124</v>
      </c>
      <c r="C4552" s="40">
        <v>4</v>
      </c>
      <c r="D4552" s="38" t="s">
        <v>266</v>
      </c>
    </row>
    <row r="4553" spans="1:4" x14ac:dyDescent="0.25">
      <c r="A4553" s="41">
        <v>328600</v>
      </c>
      <c r="B4553" s="39" t="s">
        <v>6125</v>
      </c>
      <c r="C4553" s="40">
        <v>3</v>
      </c>
      <c r="D4553" s="38" t="s">
        <v>266</v>
      </c>
    </row>
    <row r="4554" spans="1:4" x14ac:dyDescent="0.25">
      <c r="A4554" s="41">
        <v>329000</v>
      </c>
      <c r="B4554" s="39" t="s">
        <v>6126</v>
      </c>
      <c r="C4554" s="40">
        <v>3</v>
      </c>
      <c r="D4554" s="38" t="s">
        <v>266</v>
      </c>
    </row>
    <row r="4555" spans="1:4" x14ac:dyDescent="0.25">
      <c r="A4555" s="41">
        <v>329100</v>
      </c>
      <c r="B4555" s="39" t="s">
        <v>6127</v>
      </c>
      <c r="C4555" s="40">
        <v>3</v>
      </c>
      <c r="D4555" s="38" t="s">
        <v>266</v>
      </c>
    </row>
    <row r="4556" spans="1:4" x14ac:dyDescent="0.25">
      <c r="A4556" s="41">
        <v>329113</v>
      </c>
      <c r="B4556" s="39" t="s">
        <v>6128</v>
      </c>
      <c r="C4556" s="40">
        <v>4</v>
      </c>
      <c r="D4556" s="38" t="s">
        <v>266</v>
      </c>
    </row>
    <row r="4557" spans="1:4" x14ac:dyDescent="0.25">
      <c r="A4557" s="42">
        <v>329113.13</v>
      </c>
      <c r="B4557" s="39" t="s">
        <v>6129</v>
      </c>
      <c r="C4557" s="40">
        <v>5</v>
      </c>
      <c r="D4557" s="38" t="s">
        <v>266</v>
      </c>
    </row>
    <row r="4558" spans="1:4" x14ac:dyDescent="0.25">
      <c r="A4558" s="42">
        <v>329113.15999999997</v>
      </c>
      <c r="B4558" s="39" t="s">
        <v>6130</v>
      </c>
      <c r="C4558" s="40">
        <v>5</v>
      </c>
      <c r="D4558" s="38" t="s">
        <v>266</v>
      </c>
    </row>
    <row r="4559" spans="1:4" x14ac:dyDescent="0.25">
      <c r="A4559" s="42">
        <v>329113.19</v>
      </c>
      <c r="B4559" s="39" t="s">
        <v>6131</v>
      </c>
      <c r="C4559" s="40">
        <v>5</v>
      </c>
      <c r="D4559" s="38" t="s">
        <v>266</v>
      </c>
    </row>
    <row r="4560" spans="1:4" x14ac:dyDescent="0.25">
      <c r="A4560" s="42">
        <v>329113.23</v>
      </c>
      <c r="B4560" s="39" t="s">
        <v>6132</v>
      </c>
      <c r="C4560" s="40">
        <v>5</v>
      </c>
      <c r="D4560" s="38" t="s">
        <v>266</v>
      </c>
    </row>
    <row r="4561" spans="1:4" x14ac:dyDescent="0.25">
      <c r="A4561" s="42">
        <v>329113.26</v>
      </c>
      <c r="B4561" s="39" t="s">
        <v>6133</v>
      </c>
      <c r="C4561" s="40">
        <v>5</v>
      </c>
      <c r="D4561" s="38" t="s">
        <v>266</v>
      </c>
    </row>
    <row r="4562" spans="1:4" x14ac:dyDescent="0.25">
      <c r="A4562" s="41">
        <v>329116</v>
      </c>
      <c r="B4562" s="39" t="s">
        <v>6134</v>
      </c>
      <c r="C4562" s="40">
        <v>4</v>
      </c>
      <c r="D4562" s="38" t="s">
        <v>266</v>
      </c>
    </row>
    <row r="4563" spans="1:4" x14ac:dyDescent="0.25">
      <c r="A4563" s="42">
        <v>329116.13</v>
      </c>
      <c r="B4563" s="39" t="s">
        <v>6135</v>
      </c>
      <c r="C4563" s="40">
        <v>5</v>
      </c>
      <c r="D4563" s="38" t="s">
        <v>266</v>
      </c>
    </row>
    <row r="4564" spans="1:4" x14ac:dyDescent="0.25">
      <c r="A4564" s="42">
        <v>329116.15999999997</v>
      </c>
      <c r="B4564" s="39" t="s">
        <v>6136</v>
      </c>
      <c r="C4564" s="40">
        <v>5</v>
      </c>
      <c r="D4564" s="38" t="s">
        <v>266</v>
      </c>
    </row>
    <row r="4565" spans="1:4" x14ac:dyDescent="0.25">
      <c r="A4565" s="42">
        <v>329116.19</v>
      </c>
      <c r="B4565" s="39" t="s">
        <v>6137</v>
      </c>
      <c r="C4565" s="40">
        <v>5</v>
      </c>
      <c r="D4565" s="38" t="s">
        <v>266</v>
      </c>
    </row>
    <row r="4566" spans="1:4" x14ac:dyDescent="0.25">
      <c r="A4566" s="41">
        <v>329119</v>
      </c>
      <c r="B4566" s="39" t="s">
        <v>6138</v>
      </c>
      <c r="C4566" s="40">
        <v>4</v>
      </c>
      <c r="D4566" s="38" t="s">
        <v>266</v>
      </c>
    </row>
    <row r="4567" spans="1:4" x14ac:dyDescent="0.25">
      <c r="A4567" s="42">
        <v>329119.13</v>
      </c>
      <c r="B4567" s="39" t="s">
        <v>6139</v>
      </c>
      <c r="C4567" s="40">
        <v>5</v>
      </c>
      <c r="D4567" s="38" t="s">
        <v>266</v>
      </c>
    </row>
    <row r="4568" spans="1:4" x14ac:dyDescent="0.25">
      <c r="A4568" s="41">
        <v>329200</v>
      </c>
      <c r="B4568" s="39" t="s">
        <v>1595</v>
      </c>
      <c r="C4568" s="40">
        <v>3</v>
      </c>
      <c r="D4568" s="39" t="s">
        <v>1594</v>
      </c>
    </row>
    <row r="4569" spans="1:4" x14ac:dyDescent="0.25">
      <c r="A4569" s="41">
        <v>329213</v>
      </c>
      <c r="B4569" s="39" t="s">
        <v>6140</v>
      </c>
      <c r="C4569" s="40">
        <v>4</v>
      </c>
      <c r="D4569" s="38" t="s">
        <v>266</v>
      </c>
    </row>
    <row r="4570" spans="1:4" x14ac:dyDescent="0.25">
      <c r="A4570" s="41">
        <v>329216</v>
      </c>
      <c r="B4570" s="39" t="s">
        <v>6141</v>
      </c>
      <c r="C4570" s="40">
        <v>4</v>
      </c>
      <c r="D4570" s="38" t="s">
        <v>266</v>
      </c>
    </row>
    <row r="4571" spans="1:4" x14ac:dyDescent="0.25">
      <c r="A4571" s="41">
        <v>329219</v>
      </c>
      <c r="B4571" s="39" t="s">
        <v>6142</v>
      </c>
      <c r="C4571" s="40">
        <v>4</v>
      </c>
      <c r="D4571" s="38" t="s">
        <v>266</v>
      </c>
    </row>
    <row r="4572" spans="1:4" x14ac:dyDescent="0.25">
      <c r="A4572" s="42">
        <v>329219.13</v>
      </c>
      <c r="B4572" s="39" t="s">
        <v>6143</v>
      </c>
      <c r="C4572" s="40">
        <v>5</v>
      </c>
      <c r="D4572" s="38" t="s">
        <v>266</v>
      </c>
    </row>
    <row r="4573" spans="1:4" x14ac:dyDescent="0.25">
      <c r="A4573" s="42">
        <v>329219.15999999997</v>
      </c>
      <c r="B4573" s="39" t="s">
        <v>6144</v>
      </c>
      <c r="C4573" s="40">
        <v>5</v>
      </c>
      <c r="D4573" s="38" t="s">
        <v>266</v>
      </c>
    </row>
    <row r="4574" spans="1:4" x14ac:dyDescent="0.25">
      <c r="A4574" s="41">
        <v>329223</v>
      </c>
      <c r="B4574" s="39" t="s">
        <v>6145</v>
      </c>
      <c r="C4574" s="40">
        <v>4</v>
      </c>
      <c r="D4574" s="38" t="s">
        <v>266</v>
      </c>
    </row>
    <row r="4575" spans="1:4" x14ac:dyDescent="0.25">
      <c r="A4575" s="41">
        <v>329226</v>
      </c>
      <c r="B4575" s="39" t="s">
        <v>6146</v>
      </c>
      <c r="C4575" s="40">
        <v>4</v>
      </c>
      <c r="D4575" s="38" t="s">
        <v>266</v>
      </c>
    </row>
    <row r="4576" spans="1:4" x14ac:dyDescent="0.25">
      <c r="A4576" s="42">
        <v>329226.13</v>
      </c>
      <c r="B4576" s="39" t="s">
        <v>6147</v>
      </c>
      <c r="C4576" s="40">
        <v>5</v>
      </c>
      <c r="D4576" s="38" t="s">
        <v>266</v>
      </c>
    </row>
    <row r="4577" spans="1:4" x14ac:dyDescent="0.25">
      <c r="A4577" s="41">
        <v>329300</v>
      </c>
      <c r="B4577" s="39" t="s">
        <v>1597</v>
      </c>
      <c r="C4577" s="40">
        <v>3</v>
      </c>
      <c r="D4577" s="39" t="s">
        <v>1596</v>
      </c>
    </row>
    <row r="4578" spans="1:4" x14ac:dyDescent="0.25">
      <c r="A4578" s="41">
        <v>329313</v>
      </c>
      <c r="B4578" s="39" t="s">
        <v>6148</v>
      </c>
      <c r="C4578" s="40">
        <v>4</v>
      </c>
      <c r="D4578" s="38" t="s">
        <v>266</v>
      </c>
    </row>
    <row r="4579" spans="1:4" x14ac:dyDescent="0.25">
      <c r="A4579" s="41">
        <v>329323</v>
      </c>
      <c r="B4579" s="39" t="s">
        <v>6149</v>
      </c>
      <c r="C4579" s="40">
        <v>4</v>
      </c>
      <c r="D4579" s="38" t="s">
        <v>266</v>
      </c>
    </row>
    <row r="4580" spans="1:4" x14ac:dyDescent="0.25">
      <c r="A4580" s="41">
        <v>329333</v>
      </c>
      <c r="B4580" s="39" t="s">
        <v>6150</v>
      </c>
      <c r="C4580" s="40">
        <v>4</v>
      </c>
      <c r="D4580" s="38" t="s">
        <v>266</v>
      </c>
    </row>
    <row r="4581" spans="1:4" x14ac:dyDescent="0.25">
      <c r="A4581" s="41">
        <v>329343</v>
      </c>
      <c r="B4581" s="39" t="s">
        <v>6151</v>
      </c>
      <c r="C4581" s="40">
        <v>4</v>
      </c>
      <c r="D4581" s="38" t="s">
        <v>266</v>
      </c>
    </row>
    <row r="4582" spans="1:4" x14ac:dyDescent="0.25">
      <c r="A4582" s="41">
        <v>329400</v>
      </c>
      <c r="B4582" s="39" t="s">
        <v>1599</v>
      </c>
      <c r="C4582" s="40">
        <v>3</v>
      </c>
      <c r="D4582" s="39" t="s">
        <v>1598</v>
      </c>
    </row>
    <row r="4583" spans="1:4" x14ac:dyDescent="0.25">
      <c r="A4583" s="41">
        <v>329413</v>
      </c>
      <c r="B4583" s="39" t="s">
        <v>6152</v>
      </c>
      <c r="C4583" s="40">
        <v>4</v>
      </c>
      <c r="D4583" s="38" t="s">
        <v>266</v>
      </c>
    </row>
    <row r="4584" spans="1:4" x14ac:dyDescent="0.25">
      <c r="A4584" s="41">
        <v>329416</v>
      </c>
      <c r="B4584" s="39" t="s">
        <v>6153</v>
      </c>
      <c r="C4584" s="40">
        <v>4</v>
      </c>
      <c r="D4584" s="38" t="s">
        <v>266</v>
      </c>
    </row>
    <row r="4585" spans="1:4" x14ac:dyDescent="0.25">
      <c r="A4585" s="41">
        <v>329419</v>
      </c>
      <c r="B4585" s="39" t="s">
        <v>6154</v>
      </c>
      <c r="C4585" s="40">
        <v>4</v>
      </c>
      <c r="D4585" s="38" t="s">
        <v>266</v>
      </c>
    </row>
    <row r="4586" spans="1:4" x14ac:dyDescent="0.25">
      <c r="A4586" s="41">
        <v>329433</v>
      </c>
      <c r="B4586" s="39" t="s">
        <v>6155</v>
      </c>
      <c r="C4586" s="40">
        <v>4</v>
      </c>
      <c r="D4586" s="38" t="s">
        <v>266</v>
      </c>
    </row>
    <row r="4587" spans="1:4" x14ac:dyDescent="0.25">
      <c r="A4587" s="41">
        <v>329443</v>
      </c>
      <c r="B4587" s="39" t="s">
        <v>6156</v>
      </c>
      <c r="C4587" s="40">
        <v>4</v>
      </c>
      <c r="D4587" s="38" t="s">
        <v>266</v>
      </c>
    </row>
    <row r="4588" spans="1:4" x14ac:dyDescent="0.25">
      <c r="A4588" s="41">
        <v>329446</v>
      </c>
      <c r="B4588" s="39" t="s">
        <v>6157</v>
      </c>
      <c r="C4588" s="40">
        <v>4</v>
      </c>
      <c r="D4588" s="38" t="s">
        <v>266</v>
      </c>
    </row>
    <row r="4589" spans="1:4" x14ac:dyDescent="0.25">
      <c r="A4589" s="41">
        <v>329600</v>
      </c>
      <c r="B4589" s="39" t="s">
        <v>6158</v>
      </c>
      <c r="C4589" s="40">
        <v>3</v>
      </c>
      <c r="D4589" s="38" t="s">
        <v>266</v>
      </c>
    </row>
    <row r="4590" spans="1:4" x14ac:dyDescent="0.25">
      <c r="A4590" s="41">
        <v>329613</v>
      </c>
      <c r="B4590" s="39" t="s">
        <v>6159</v>
      </c>
      <c r="C4590" s="40">
        <v>4</v>
      </c>
      <c r="D4590" s="38" t="s">
        <v>266</v>
      </c>
    </row>
    <row r="4591" spans="1:4" x14ac:dyDescent="0.25">
      <c r="A4591" s="41">
        <v>329623</v>
      </c>
      <c r="B4591" s="39" t="s">
        <v>6160</v>
      </c>
      <c r="C4591" s="40">
        <v>4</v>
      </c>
      <c r="D4591" s="38" t="s">
        <v>266</v>
      </c>
    </row>
    <row r="4592" spans="1:4" x14ac:dyDescent="0.25">
      <c r="A4592" s="41">
        <v>329633</v>
      </c>
      <c r="B4592" s="39" t="s">
        <v>6161</v>
      </c>
      <c r="C4592" s="40">
        <v>4</v>
      </c>
      <c r="D4592" s="38" t="s">
        <v>266</v>
      </c>
    </row>
    <row r="4593" spans="1:4" x14ac:dyDescent="0.25">
      <c r="A4593" s="41">
        <v>329643</v>
      </c>
      <c r="B4593" s="39" t="s">
        <v>6162</v>
      </c>
      <c r="C4593" s="40">
        <v>4</v>
      </c>
      <c r="D4593" s="38" t="s">
        <v>266</v>
      </c>
    </row>
    <row r="4594" spans="1:4" x14ac:dyDescent="0.25">
      <c r="A4594" s="41">
        <v>330000</v>
      </c>
      <c r="B4594" s="39" t="s">
        <v>6163</v>
      </c>
      <c r="C4594" s="40">
        <v>2</v>
      </c>
      <c r="D4594" s="38" t="s">
        <v>266</v>
      </c>
    </row>
    <row r="4595" spans="1:4" x14ac:dyDescent="0.25">
      <c r="A4595" s="41">
        <v>330100</v>
      </c>
      <c r="B4595" s="39" t="s">
        <v>6164</v>
      </c>
      <c r="C4595" s="40">
        <v>3</v>
      </c>
      <c r="D4595" s="38" t="s">
        <v>266</v>
      </c>
    </row>
    <row r="4596" spans="1:4" x14ac:dyDescent="0.25">
      <c r="A4596" s="41">
        <v>330110</v>
      </c>
      <c r="B4596" s="39" t="s">
        <v>6165</v>
      </c>
      <c r="C4596" s="40">
        <v>4</v>
      </c>
      <c r="D4596" s="38" t="s">
        <v>266</v>
      </c>
    </row>
    <row r="4597" spans="1:4" x14ac:dyDescent="0.25">
      <c r="A4597" s="41">
        <v>330120</v>
      </c>
      <c r="B4597" s="39" t="s">
        <v>6166</v>
      </c>
      <c r="C4597" s="40">
        <v>4</v>
      </c>
      <c r="D4597" s="38" t="s">
        <v>266</v>
      </c>
    </row>
    <row r="4598" spans="1:4" x14ac:dyDescent="0.25">
      <c r="A4598" s="41">
        <v>330130</v>
      </c>
      <c r="B4598" s="39" t="s">
        <v>6167</v>
      </c>
      <c r="C4598" s="40">
        <v>4</v>
      </c>
      <c r="D4598" s="38" t="s">
        <v>266</v>
      </c>
    </row>
    <row r="4599" spans="1:4" x14ac:dyDescent="0.25">
      <c r="A4599" s="42">
        <v>330130.13</v>
      </c>
      <c r="B4599" s="39" t="s">
        <v>6168</v>
      </c>
      <c r="C4599" s="40">
        <v>5</v>
      </c>
      <c r="D4599" s="38" t="s">
        <v>266</v>
      </c>
    </row>
    <row r="4600" spans="1:4" x14ac:dyDescent="0.25">
      <c r="A4600" s="42">
        <v>330130.15999999997</v>
      </c>
      <c r="B4600" s="39" t="s">
        <v>6169</v>
      </c>
      <c r="C4600" s="40">
        <v>5</v>
      </c>
      <c r="D4600" s="38" t="s">
        <v>266</v>
      </c>
    </row>
    <row r="4601" spans="1:4" x14ac:dyDescent="0.25">
      <c r="A4601" s="42">
        <v>330130.51</v>
      </c>
      <c r="B4601" s="39" t="s">
        <v>6170</v>
      </c>
      <c r="C4601" s="40">
        <v>5</v>
      </c>
      <c r="D4601" s="38" t="s">
        <v>266</v>
      </c>
    </row>
    <row r="4602" spans="1:4" x14ac:dyDescent="0.25">
      <c r="A4602" s="42">
        <v>330130.52</v>
      </c>
      <c r="B4602" s="39" t="s">
        <v>6171</v>
      </c>
      <c r="C4602" s="40">
        <v>5</v>
      </c>
      <c r="D4602" s="38" t="s">
        <v>266</v>
      </c>
    </row>
    <row r="4603" spans="1:4" x14ac:dyDescent="0.25">
      <c r="A4603" s="42">
        <v>330130.61</v>
      </c>
      <c r="B4603" s="39" t="s">
        <v>6172</v>
      </c>
      <c r="C4603" s="40">
        <v>5</v>
      </c>
      <c r="D4603" s="38" t="s">
        <v>266</v>
      </c>
    </row>
    <row r="4604" spans="1:4" x14ac:dyDescent="0.25">
      <c r="A4604" s="42">
        <v>330130.62</v>
      </c>
      <c r="B4604" s="39" t="s">
        <v>6173</v>
      </c>
      <c r="C4604" s="40">
        <v>5</v>
      </c>
      <c r="D4604" s="38" t="s">
        <v>266</v>
      </c>
    </row>
    <row r="4605" spans="1:4" x14ac:dyDescent="0.25">
      <c r="A4605" s="42">
        <v>330130.71000000002</v>
      </c>
      <c r="B4605" s="39" t="s">
        <v>6174</v>
      </c>
      <c r="C4605" s="40">
        <v>5</v>
      </c>
      <c r="D4605" s="38" t="s">
        <v>266</v>
      </c>
    </row>
    <row r="4606" spans="1:4" x14ac:dyDescent="0.25">
      <c r="A4606" s="42">
        <v>330130.71999999997</v>
      </c>
      <c r="B4606" s="39" t="s">
        <v>6175</v>
      </c>
      <c r="C4606" s="40">
        <v>5</v>
      </c>
      <c r="D4606" s="38" t="s">
        <v>266</v>
      </c>
    </row>
    <row r="4607" spans="1:4" x14ac:dyDescent="0.25">
      <c r="A4607" s="41">
        <v>330150</v>
      </c>
      <c r="B4607" s="39" t="s">
        <v>6176</v>
      </c>
      <c r="C4607" s="40">
        <v>4</v>
      </c>
      <c r="D4607" s="38" t="s">
        <v>266</v>
      </c>
    </row>
    <row r="4608" spans="1:4" x14ac:dyDescent="0.25">
      <c r="A4608" s="42">
        <v>330150.51</v>
      </c>
      <c r="B4608" s="39" t="s">
        <v>6177</v>
      </c>
      <c r="C4608" s="40">
        <v>5</v>
      </c>
      <c r="D4608" s="38" t="s">
        <v>266</v>
      </c>
    </row>
    <row r="4609" spans="1:4" x14ac:dyDescent="0.25">
      <c r="A4609" s="42">
        <v>330150.71000000002</v>
      </c>
      <c r="B4609" s="39" t="s">
        <v>6178</v>
      </c>
      <c r="C4609" s="40">
        <v>5</v>
      </c>
      <c r="D4609" s="38" t="s">
        <v>266</v>
      </c>
    </row>
    <row r="4610" spans="1:4" x14ac:dyDescent="0.25">
      <c r="A4610" s="41">
        <v>330160</v>
      </c>
      <c r="B4610" s="39" t="s">
        <v>6179</v>
      </c>
      <c r="C4610" s="40">
        <v>4</v>
      </c>
      <c r="D4610" s="38" t="s">
        <v>266</v>
      </c>
    </row>
    <row r="4611" spans="1:4" x14ac:dyDescent="0.25">
      <c r="A4611" s="41">
        <v>330170</v>
      </c>
      <c r="B4611" s="39" t="s">
        <v>6180</v>
      </c>
      <c r="C4611" s="40">
        <v>4</v>
      </c>
      <c r="D4611" s="38" t="s">
        <v>266</v>
      </c>
    </row>
    <row r="4612" spans="1:4" x14ac:dyDescent="0.25">
      <c r="A4612" s="41">
        <v>330180</v>
      </c>
      <c r="B4612" s="39" t="s">
        <v>6181</v>
      </c>
      <c r="C4612" s="40">
        <v>4</v>
      </c>
      <c r="D4612" s="38" t="s">
        <v>266</v>
      </c>
    </row>
    <row r="4613" spans="1:4" x14ac:dyDescent="0.25">
      <c r="A4613" s="41">
        <v>330500</v>
      </c>
      <c r="B4613" s="39" t="s">
        <v>6182</v>
      </c>
      <c r="C4613" s="40">
        <v>3</v>
      </c>
      <c r="D4613" s="38" t="s">
        <v>266</v>
      </c>
    </row>
    <row r="4614" spans="1:4" x14ac:dyDescent="0.25">
      <c r="A4614" s="41">
        <v>330513</v>
      </c>
      <c r="B4614" s="39" t="s">
        <v>6183</v>
      </c>
      <c r="C4614" s="40">
        <v>4</v>
      </c>
      <c r="D4614" s="38" t="s">
        <v>266</v>
      </c>
    </row>
    <row r="4615" spans="1:4" x14ac:dyDescent="0.25">
      <c r="A4615" s="42">
        <v>330513.13</v>
      </c>
      <c r="B4615" s="39" t="s">
        <v>6184</v>
      </c>
      <c r="C4615" s="40">
        <v>5</v>
      </c>
      <c r="D4615" s="38" t="s">
        <v>266</v>
      </c>
    </row>
    <row r="4616" spans="1:4" x14ac:dyDescent="0.25">
      <c r="A4616" s="41">
        <v>330516</v>
      </c>
      <c r="B4616" s="39" t="s">
        <v>6185</v>
      </c>
      <c r="C4616" s="40">
        <v>4</v>
      </c>
      <c r="D4616" s="38" t="s">
        <v>266</v>
      </c>
    </row>
    <row r="4617" spans="1:4" x14ac:dyDescent="0.25">
      <c r="A4617" s="42">
        <v>330516.13</v>
      </c>
      <c r="B4617" s="39" t="s">
        <v>6186</v>
      </c>
      <c r="C4617" s="40">
        <v>5</v>
      </c>
      <c r="D4617" s="38" t="s">
        <v>266</v>
      </c>
    </row>
    <row r="4618" spans="1:4" x14ac:dyDescent="0.25">
      <c r="A4618" s="42">
        <v>330516.53000000003</v>
      </c>
      <c r="B4618" s="39" t="s">
        <v>6187</v>
      </c>
      <c r="C4618" s="40">
        <v>5</v>
      </c>
      <c r="D4618" s="38" t="s">
        <v>266</v>
      </c>
    </row>
    <row r="4619" spans="1:4" x14ac:dyDescent="0.25">
      <c r="A4619" s="41">
        <v>330519</v>
      </c>
      <c r="B4619" s="39" t="s">
        <v>6188</v>
      </c>
      <c r="C4619" s="40">
        <v>4</v>
      </c>
      <c r="D4619" s="38" t="s">
        <v>266</v>
      </c>
    </row>
    <row r="4620" spans="1:4" x14ac:dyDescent="0.25">
      <c r="A4620" s="41">
        <v>330523</v>
      </c>
      <c r="B4620" s="39" t="s">
        <v>6189</v>
      </c>
      <c r="C4620" s="40">
        <v>4</v>
      </c>
      <c r="D4620" s="38" t="s">
        <v>266</v>
      </c>
    </row>
    <row r="4621" spans="1:4" x14ac:dyDescent="0.25">
      <c r="A4621" s="42">
        <v>330523.13</v>
      </c>
      <c r="B4621" s="39" t="s">
        <v>6190</v>
      </c>
      <c r="C4621" s="40">
        <v>5</v>
      </c>
      <c r="D4621" s="38" t="s">
        <v>266</v>
      </c>
    </row>
    <row r="4622" spans="1:4" x14ac:dyDescent="0.25">
      <c r="A4622" s="42">
        <v>330523.15999999997</v>
      </c>
      <c r="B4622" s="39" t="s">
        <v>6191</v>
      </c>
      <c r="C4622" s="40">
        <v>5</v>
      </c>
      <c r="D4622" s="38" t="s">
        <v>266</v>
      </c>
    </row>
    <row r="4623" spans="1:4" x14ac:dyDescent="0.25">
      <c r="A4623" s="42">
        <v>330523.19</v>
      </c>
      <c r="B4623" s="39" t="s">
        <v>6192</v>
      </c>
      <c r="C4623" s="40">
        <v>5</v>
      </c>
      <c r="D4623" s="38" t="s">
        <v>266</v>
      </c>
    </row>
    <row r="4624" spans="1:4" x14ac:dyDescent="0.25">
      <c r="A4624" s="42">
        <v>330523.23</v>
      </c>
      <c r="B4624" s="39" t="s">
        <v>6193</v>
      </c>
      <c r="C4624" s="40">
        <v>5</v>
      </c>
      <c r="D4624" s="38" t="s">
        <v>266</v>
      </c>
    </row>
    <row r="4625" spans="1:4" x14ac:dyDescent="0.25">
      <c r="A4625" s="42">
        <v>330523.26</v>
      </c>
      <c r="B4625" s="39" t="s">
        <v>6194</v>
      </c>
      <c r="C4625" s="40">
        <v>5</v>
      </c>
      <c r="D4625" s="38" t="s">
        <v>266</v>
      </c>
    </row>
    <row r="4626" spans="1:4" x14ac:dyDescent="0.25">
      <c r="A4626" s="42">
        <v>330523.28999999998</v>
      </c>
      <c r="B4626" s="39" t="s">
        <v>6195</v>
      </c>
      <c r="C4626" s="40">
        <v>5</v>
      </c>
      <c r="D4626" s="38" t="s">
        <v>266</v>
      </c>
    </row>
    <row r="4627" spans="1:4" x14ac:dyDescent="0.25">
      <c r="A4627" s="41">
        <v>330526</v>
      </c>
      <c r="B4627" s="39" t="s">
        <v>6196</v>
      </c>
      <c r="C4627" s="40">
        <v>4</v>
      </c>
      <c r="D4627" s="38" t="s">
        <v>266</v>
      </c>
    </row>
    <row r="4628" spans="1:4" x14ac:dyDescent="0.25">
      <c r="A4628" s="42">
        <v>330526.13</v>
      </c>
      <c r="B4628" s="39" t="s">
        <v>6197</v>
      </c>
      <c r="C4628" s="40">
        <v>5</v>
      </c>
      <c r="D4628" s="38" t="s">
        <v>266</v>
      </c>
    </row>
    <row r="4629" spans="1:4" x14ac:dyDescent="0.25">
      <c r="A4629" s="42">
        <v>330526.15999999997</v>
      </c>
      <c r="B4629" s="39" t="s">
        <v>6198</v>
      </c>
      <c r="C4629" s="40">
        <v>5</v>
      </c>
      <c r="D4629" s="38" t="s">
        <v>266</v>
      </c>
    </row>
    <row r="4630" spans="1:4" x14ac:dyDescent="0.25">
      <c r="A4630" s="42">
        <v>330526.19</v>
      </c>
      <c r="B4630" s="39" t="s">
        <v>6199</v>
      </c>
      <c r="C4630" s="40">
        <v>5</v>
      </c>
      <c r="D4630" s="38" t="s">
        <v>266</v>
      </c>
    </row>
    <row r="4631" spans="1:4" x14ac:dyDescent="0.25">
      <c r="A4631" s="42">
        <v>330526.23</v>
      </c>
      <c r="B4631" s="39" t="s">
        <v>6200</v>
      </c>
      <c r="C4631" s="40">
        <v>5</v>
      </c>
      <c r="D4631" s="38" t="s">
        <v>266</v>
      </c>
    </row>
    <row r="4632" spans="1:4" x14ac:dyDescent="0.25">
      <c r="A4632" s="41">
        <v>330800</v>
      </c>
      <c r="B4632" s="39" t="s">
        <v>6201</v>
      </c>
      <c r="C4632" s="40">
        <v>3</v>
      </c>
      <c r="D4632" s="38" t="s">
        <v>266</v>
      </c>
    </row>
    <row r="4633" spans="1:4" x14ac:dyDescent="0.25">
      <c r="A4633" s="41">
        <v>330810</v>
      </c>
      <c r="B4633" s="39" t="s">
        <v>6202</v>
      </c>
      <c r="C4633" s="40">
        <v>4</v>
      </c>
      <c r="D4633" s="38" t="s">
        <v>266</v>
      </c>
    </row>
    <row r="4634" spans="1:4" x14ac:dyDescent="0.25">
      <c r="A4634" s="41">
        <v>330820</v>
      </c>
      <c r="B4634" s="39" t="s">
        <v>6203</v>
      </c>
      <c r="C4634" s="40">
        <v>4</v>
      </c>
      <c r="D4634" s="38" t="s">
        <v>266</v>
      </c>
    </row>
    <row r="4635" spans="1:4" x14ac:dyDescent="0.25">
      <c r="A4635" s="41">
        <v>330830</v>
      </c>
      <c r="B4635" s="39" t="s">
        <v>6204</v>
      </c>
      <c r="C4635" s="40">
        <v>4</v>
      </c>
      <c r="D4635" s="38" t="s">
        <v>266</v>
      </c>
    </row>
    <row r="4636" spans="1:4" x14ac:dyDescent="0.25">
      <c r="A4636" s="41">
        <v>330840</v>
      </c>
      <c r="B4636" s="39" t="s">
        <v>6205</v>
      </c>
      <c r="C4636" s="40">
        <v>4</v>
      </c>
      <c r="D4636" s="38" t="s">
        <v>266</v>
      </c>
    </row>
    <row r="4637" spans="1:4" x14ac:dyDescent="0.25">
      <c r="A4637" s="41">
        <v>330850</v>
      </c>
      <c r="B4637" s="39" t="s">
        <v>6206</v>
      </c>
      <c r="C4637" s="40">
        <v>4</v>
      </c>
      <c r="D4637" s="38" t="s">
        <v>266</v>
      </c>
    </row>
    <row r="4638" spans="1:4" x14ac:dyDescent="0.25">
      <c r="A4638" s="41">
        <v>330860</v>
      </c>
      <c r="B4638" s="39" t="s">
        <v>6207</v>
      </c>
      <c r="C4638" s="40">
        <v>4</v>
      </c>
      <c r="D4638" s="38" t="s">
        <v>266</v>
      </c>
    </row>
    <row r="4639" spans="1:4" x14ac:dyDescent="0.25">
      <c r="A4639" s="41">
        <v>330870</v>
      </c>
      <c r="B4639" s="39" t="s">
        <v>6208</v>
      </c>
      <c r="C4639" s="40">
        <v>4</v>
      </c>
      <c r="D4639" s="38" t="s">
        <v>266</v>
      </c>
    </row>
    <row r="4640" spans="1:4" x14ac:dyDescent="0.25">
      <c r="A4640" s="41">
        <v>330880</v>
      </c>
      <c r="B4640" s="39" t="s">
        <v>6209</v>
      </c>
      <c r="C4640" s="40">
        <v>4</v>
      </c>
      <c r="D4640" s="38" t="s">
        <v>266</v>
      </c>
    </row>
    <row r="4641" spans="1:4" x14ac:dyDescent="0.25">
      <c r="A4641" s="41">
        <v>330900</v>
      </c>
      <c r="B4641" s="39" t="s">
        <v>6210</v>
      </c>
      <c r="C4641" s="40">
        <v>3</v>
      </c>
      <c r="D4641" s="38" t="s">
        <v>266</v>
      </c>
    </row>
    <row r="4642" spans="1:4" x14ac:dyDescent="0.25">
      <c r="A4642" s="41">
        <v>330910</v>
      </c>
      <c r="B4642" s="39" t="s">
        <v>6211</v>
      </c>
      <c r="C4642" s="40">
        <v>4</v>
      </c>
      <c r="D4642" s="38" t="s">
        <v>266</v>
      </c>
    </row>
    <row r="4643" spans="1:4" x14ac:dyDescent="0.25">
      <c r="A4643" s="41">
        <v>330920</v>
      </c>
      <c r="B4643" s="39" t="s">
        <v>6212</v>
      </c>
      <c r="C4643" s="40">
        <v>4</v>
      </c>
      <c r="D4643" s="38" t="s">
        <v>266</v>
      </c>
    </row>
    <row r="4644" spans="1:4" x14ac:dyDescent="0.25">
      <c r="A4644" s="41">
        <v>330930</v>
      </c>
      <c r="B4644" s="39" t="s">
        <v>6213</v>
      </c>
      <c r="C4644" s="40">
        <v>4</v>
      </c>
      <c r="D4644" s="38" t="s">
        <v>266</v>
      </c>
    </row>
    <row r="4645" spans="1:4" x14ac:dyDescent="0.25">
      <c r="A4645" s="41">
        <v>330940</v>
      </c>
      <c r="B4645" s="39" t="s">
        <v>6214</v>
      </c>
      <c r="C4645" s="40">
        <v>4</v>
      </c>
      <c r="D4645" s="38" t="s">
        <v>266</v>
      </c>
    </row>
    <row r="4646" spans="1:4" x14ac:dyDescent="0.25">
      <c r="A4646" s="41">
        <v>330950</v>
      </c>
      <c r="B4646" s="39" t="s">
        <v>6215</v>
      </c>
      <c r="C4646" s="40">
        <v>4</v>
      </c>
      <c r="D4646" s="38" t="s">
        <v>266</v>
      </c>
    </row>
    <row r="4647" spans="1:4" x14ac:dyDescent="0.25">
      <c r="A4647" s="41">
        <v>330960</v>
      </c>
      <c r="B4647" s="39" t="s">
        <v>6216</v>
      </c>
      <c r="C4647" s="40">
        <v>4</v>
      </c>
      <c r="D4647" s="38" t="s">
        <v>266</v>
      </c>
    </row>
    <row r="4648" spans="1:4" x14ac:dyDescent="0.25">
      <c r="A4648" s="41">
        <v>330970</v>
      </c>
      <c r="B4648" s="39" t="s">
        <v>6217</v>
      </c>
      <c r="C4648" s="40">
        <v>4</v>
      </c>
      <c r="D4648" s="38" t="s">
        <v>1680</v>
      </c>
    </row>
    <row r="4649" spans="1:4" x14ac:dyDescent="0.25">
      <c r="A4649" s="41">
        <v>330980</v>
      </c>
      <c r="B4649" s="39" t="s">
        <v>6218</v>
      </c>
      <c r="C4649" s="40">
        <v>4</v>
      </c>
      <c r="D4649" s="38" t="s">
        <v>266</v>
      </c>
    </row>
    <row r="4650" spans="1:4" x14ac:dyDescent="0.25">
      <c r="A4650" s="41">
        <v>331000</v>
      </c>
      <c r="B4650" s="39" t="s">
        <v>1607</v>
      </c>
      <c r="C4650" s="40">
        <v>3</v>
      </c>
      <c r="D4650" s="38" t="s">
        <v>1606</v>
      </c>
    </row>
    <row r="4651" spans="1:4" x14ac:dyDescent="0.25">
      <c r="A4651" s="41">
        <v>331100</v>
      </c>
      <c r="B4651" s="39" t="s">
        <v>6219</v>
      </c>
      <c r="C4651" s="40">
        <v>3</v>
      </c>
      <c r="D4651" s="38" t="s">
        <v>266</v>
      </c>
    </row>
    <row r="4652" spans="1:4" x14ac:dyDescent="0.25">
      <c r="A4652" s="41">
        <v>331113</v>
      </c>
      <c r="B4652" s="39" t="s">
        <v>6220</v>
      </c>
      <c r="C4652" s="40">
        <v>4</v>
      </c>
      <c r="D4652" s="38" t="s">
        <v>266</v>
      </c>
    </row>
    <row r="4653" spans="1:4" x14ac:dyDescent="0.25">
      <c r="A4653" s="42">
        <v>331113.13</v>
      </c>
      <c r="B4653" s="39" t="s">
        <v>6221</v>
      </c>
      <c r="C4653" s="40">
        <v>5</v>
      </c>
      <c r="D4653" s="38" t="s">
        <v>266</v>
      </c>
    </row>
    <row r="4654" spans="1:4" x14ac:dyDescent="0.25">
      <c r="A4654" s="42">
        <v>331113.15999999997</v>
      </c>
      <c r="B4654" s="39" t="s">
        <v>6222</v>
      </c>
      <c r="C4654" s="40">
        <v>5</v>
      </c>
      <c r="D4654" s="38" t="s">
        <v>266</v>
      </c>
    </row>
    <row r="4655" spans="1:4" x14ac:dyDescent="0.25">
      <c r="A4655" s="42">
        <v>331113.23</v>
      </c>
      <c r="B4655" s="39" t="s">
        <v>6223</v>
      </c>
      <c r="C4655" s="40">
        <v>5</v>
      </c>
      <c r="D4655" s="38" t="s">
        <v>266</v>
      </c>
    </row>
    <row r="4656" spans="1:4" x14ac:dyDescent="0.25">
      <c r="A4656" s="42">
        <v>331113.26</v>
      </c>
      <c r="B4656" s="39" t="s">
        <v>6224</v>
      </c>
      <c r="C4656" s="40">
        <v>5</v>
      </c>
      <c r="D4656" s="38" t="s">
        <v>266</v>
      </c>
    </row>
    <row r="4657" spans="1:4" x14ac:dyDescent="0.25">
      <c r="A4657" s="42">
        <v>331113.33</v>
      </c>
      <c r="B4657" s="39" t="s">
        <v>6225</v>
      </c>
      <c r="C4657" s="40">
        <v>5</v>
      </c>
      <c r="D4657" s="38" t="s">
        <v>266</v>
      </c>
    </row>
    <row r="4658" spans="1:4" x14ac:dyDescent="0.25">
      <c r="A4658" s="41">
        <v>331116</v>
      </c>
      <c r="B4658" s="39" t="s">
        <v>6226</v>
      </c>
      <c r="C4658" s="40">
        <v>4</v>
      </c>
      <c r="D4658" s="38" t="s">
        <v>266</v>
      </c>
    </row>
    <row r="4659" spans="1:4" x14ac:dyDescent="0.25">
      <c r="A4659" s="41">
        <v>331119</v>
      </c>
      <c r="B4659" s="39" t="s">
        <v>6227</v>
      </c>
      <c r="C4659" s="40">
        <v>4</v>
      </c>
      <c r="D4659" s="38" t="s">
        <v>266</v>
      </c>
    </row>
    <row r="4660" spans="1:4" x14ac:dyDescent="0.25">
      <c r="A4660" s="41">
        <v>331200</v>
      </c>
      <c r="B4660" s="39" t="s">
        <v>6228</v>
      </c>
      <c r="C4660" s="40">
        <v>3</v>
      </c>
      <c r="D4660" s="38" t="s">
        <v>266</v>
      </c>
    </row>
    <row r="4661" spans="1:4" x14ac:dyDescent="0.25">
      <c r="A4661" s="41">
        <v>331213</v>
      </c>
      <c r="B4661" s="39" t="s">
        <v>6229</v>
      </c>
      <c r="C4661" s="40">
        <v>4</v>
      </c>
      <c r="D4661" s="38" t="s">
        <v>266</v>
      </c>
    </row>
    <row r="4662" spans="1:4" x14ac:dyDescent="0.25">
      <c r="A4662" s="42">
        <v>331213.13</v>
      </c>
      <c r="B4662" s="39" t="s">
        <v>6230</v>
      </c>
      <c r="C4662" s="40">
        <v>5</v>
      </c>
      <c r="D4662" s="38" t="s">
        <v>266</v>
      </c>
    </row>
    <row r="4663" spans="1:4" x14ac:dyDescent="0.25">
      <c r="A4663" s="41">
        <v>331216</v>
      </c>
      <c r="B4663" s="39" t="s">
        <v>6231</v>
      </c>
      <c r="C4663" s="40">
        <v>4</v>
      </c>
      <c r="D4663" s="38" t="s">
        <v>266</v>
      </c>
    </row>
    <row r="4664" spans="1:4" x14ac:dyDescent="0.25">
      <c r="A4664" s="41">
        <v>331219</v>
      </c>
      <c r="B4664" s="39" t="s">
        <v>6232</v>
      </c>
      <c r="C4664" s="40">
        <v>4</v>
      </c>
      <c r="D4664" s="38" t="s">
        <v>266</v>
      </c>
    </row>
    <row r="4665" spans="1:4" x14ac:dyDescent="0.25">
      <c r="A4665" s="41">
        <v>331223</v>
      </c>
      <c r="B4665" s="39" t="s">
        <v>6233</v>
      </c>
      <c r="C4665" s="40">
        <v>4</v>
      </c>
      <c r="D4665" s="38" t="s">
        <v>266</v>
      </c>
    </row>
    <row r="4666" spans="1:4" x14ac:dyDescent="0.25">
      <c r="A4666" s="41">
        <v>331233</v>
      </c>
      <c r="B4666" s="39" t="s">
        <v>6234</v>
      </c>
      <c r="C4666" s="40">
        <v>4</v>
      </c>
      <c r="D4666" s="38" t="s">
        <v>266</v>
      </c>
    </row>
    <row r="4667" spans="1:4" x14ac:dyDescent="0.25">
      <c r="A4667" s="41">
        <v>331300</v>
      </c>
      <c r="B4667" s="39" t="s">
        <v>6235</v>
      </c>
      <c r="C4667" s="40">
        <v>3</v>
      </c>
      <c r="D4667" s="38" t="s">
        <v>266</v>
      </c>
    </row>
    <row r="4668" spans="1:4" x14ac:dyDescent="0.25">
      <c r="A4668" s="41">
        <v>331600</v>
      </c>
      <c r="B4668" s="39" t="s">
        <v>6236</v>
      </c>
      <c r="C4668" s="40">
        <v>3</v>
      </c>
      <c r="D4668" s="38" t="s">
        <v>266</v>
      </c>
    </row>
    <row r="4669" spans="1:4" x14ac:dyDescent="0.25">
      <c r="A4669" s="41">
        <v>331613</v>
      </c>
      <c r="B4669" s="39" t="s">
        <v>6237</v>
      </c>
      <c r="C4669" s="40">
        <v>4</v>
      </c>
      <c r="D4669" s="38" t="s">
        <v>266</v>
      </c>
    </row>
    <row r="4670" spans="1:4" x14ac:dyDescent="0.25">
      <c r="A4670" s="42">
        <v>331613.13</v>
      </c>
      <c r="B4670" s="39" t="s">
        <v>6238</v>
      </c>
      <c r="C4670" s="40">
        <v>5</v>
      </c>
      <c r="D4670" s="38" t="s">
        <v>266</v>
      </c>
    </row>
    <row r="4671" spans="1:4" x14ac:dyDescent="0.25">
      <c r="A4671" s="42">
        <v>331613.15999999997</v>
      </c>
      <c r="B4671" s="39" t="s">
        <v>6239</v>
      </c>
      <c r="C4671" s="40">
        <v>5</v>
      </c>
      <c r="D4671" s="38" t="s">
        <v>266</v>
      </c>
    </row>
    <row r="4672" spans="1:4" x14ac:dyDescent="0.25">
      <c r="A4672" s="42">
        <v>331613.19</v>
      </c>
      <c r="B4672" s="39" t="s">
        <v>6240</v>
      </c>
      <c r="C4672" s="40">
        <v>5</v>
      </c>
      <c r="D4672" s="38" t="s">
        <v>266</v>
      </c>
    </row>
    <row r="4673" spans="1:4" x14ac:dyDescent="0.25">
      <c r="A4673" s="41">
        <v>331616</v>
      </c>
      <c r="B4673" s="39" t="s">
        <v>6241</v>
      </c>
      <c r="C4673" s="40">
        <v>4</v>
      </c>
      <c r="D4673" s="38" t="s">
        <v>266</v>
      </c>
    </row>
    <row r="4674" spans="1:4" x14ac:dyDescent="0.25">
      <c r="A4674" s="41">
        <v>331619</v>
      </c>
      <c r="B4674" s="39" t="s">
        <v>6242</v>
      </c>
      <c r="C4674" s="40">
        <v>4</v>
      </c>
      <c r="D4674" s="38" t="s">
        <v>266</v>
      </c>
    </row>
    <row r="4675" spans="1:4" x14ac:dyDescent="0.25">
      <c r="A4675" s="41">
        <v>332000</v>
      </c>
      <c r="B4675" s="39" t="s">
        <v>6243</v>
      </c>
      <c r="C4675" s="40">
        <v>3</v>
      </c>
      <c r="D4675" s="38" t="s">
        <v>266</v>
      </c>
    </row>
    <row r="4676" spans="1:4" x14ac:dyDescent="0.25">
      <c r="A4676" s="41">
        <v>332100</v>
      </c>
      <c r="B4676" s="39" t="s">
        <v>6244</v>
      </c>
      <c r="C4676" s="40">
        <v>3</v>
      </c>
      <c r="D4676" s="38" t="s">
        <v>266</v>
      </c>
    </row>
    <row r="4677" spans="1:4" x14ac:dyDescent="0.25">
      <c r="A4677" s="41">
        <v>332113</v>
      </c>
      <c r="B4677" s="39" t="s">
        <v>6245</v>
      </c>
      <c r="C4677" s="40">
        <v>4</v>
      </c>
      <c r="D4677" s="38" t="s">
        <v>266</v>
      </c>
    </row>
    <row r="4678" spans="1:4" x14ac:dyDescent="0.25">
      <c r="A4678" s="41">
        <v>332116</v>
      </c>
      <c r="B4678" s="39" t="s">
        <v>6246</v>
      </c>
      <c r="C4678" s="40">
        <v>4</v>
      </c>
      <c r="D4678" s="38" t="s">
        <v>266</v>
      </c>
    </row>
    <row r="4679" spans="1:4" x14ac:dyDescent="0.25">
      <c r="A4679" s="41">
        <v>332200</v>
      </c>
      <c r="B4679" s="39" t="s">
        <v>6247</v>
      </c>
      <c r="C4679" s="40">
        <v>3</v>
      </c>
      <c r="D4679" s="38" t="s">
        <v>266</v>
      </c>
    </row>
    <row r="4680" spans="1:4" x14ac:dyDescent="0.25">
      <c r="A4680" s="41">
        <v>332300</v>
      </c>
      <c r="B4680" s="39" t="s">
        <v>6248</v>
      </c>
      <c r="C4680" s="40">
        <v>3</v>
      </c>
      <c r="D4680" s="38" t="s">
        <v>266</v>
      </c>
    </row>
    <row r="4681" spans="1:4" x14ac:dyDescent="0.25">
      <c r="A4681" s="41">
        <v>332400</v>
      </c>
      <c r="B4681" s="39" t="s">
        <v>6249</v>
      </c>
      <c r="C4681" s="40">
        <v>3</v>
      </c>
      <c r="D4681" s="38" t="s">
        <v>266</v>
      </c>
    </row>
    <row r="4682" spans="1:4" x14ac:dyDescent="0.25">
      <c r="A4682" s="41">
        <v>332413</v>
      </c>
      <c r="B4682" s="39" t="s">
        <v>6250</v>
      </c>
      <c r="C4682" s="40">
        <v>4</v>
      </c>
      <c r="D4682" s="38" t="s">
        <v>266</v>
      </c>
    </row>
    <row r="4683" spans="1:4" x14ac:dyDescent="0.25">
      <c r="A4683" s="41">
        <v>332500</v>
      </c>
      <c r="B4683" s="39" t="s">
        <v>6251</v>
      </c>
      <c r="C4683" s="40">
        <v>3</v>
      </c>
      <c r="D4683" s="38" t="s">
        <v>266</v>
      </c>
    </row>
    <row r="4684" spans="1:4" x14ac:dyDescent="0.25">
      <c r="A4684" s="41">
        <v>332600</v>
      </c>
      <c r="B4684" s="39" t="s">
        <v>6252</v>
      </c>
      <c r="C4684" s="40">
        <v>3</v>
      </c>
      <c r="D4684" s="38" t="s">
        <v>266</v>
      </c>
    </row>
    <row r="4685" spans="1:4" x14ac:dyDescent="0.25">
      <c r="A4685" s="41">
        <v>332900</v>
      </c>
      <c r="B4685" s="39" t="s">
        <v>6253</v>
      </c>
      <c r="C4685" s="40">
        <v>3</v>
      </c>
      <c r="D4685" s="38" t="s">
        <v>266</v>
      </c>
    </row>
    <row r="4686" spans="1:4" x14ac:dyDescent="0.25">
      <c r="A4686" s="41">
        <v>333000</v>
      </c>
      <c r="B4686" s="39" t="s">
        <v>1615</v>
      </c>
      <c r="C4686" s="40">
        <v>3</v>
      </c>
      <c r="D4686" s="38" t="s">
        <v>1614</v>
      </c>
    </row>
    <row r="4687" spans="1:4" x14ac:dyDescent="0.25">
      <c r="A4687" s="41">
        <v>333100</v>
      </c>
      <c r="B4687" s="39" t="s">
        <v>6254</v>
      </c>
      <c r="C4687" s="40">
        <v>3</v>
      </c>
      <c r="D4687" s="38" t="s">
        <v>266</v>
      </c>
    </row>
    <row r="4688" spans="1:4" x14ac:dyDescent="0.25">
      <c r="A4688" s="41">
        <v>333113</v>
      </c>
      <c r="B4688" s="39" t="s">
        <v>6255</v>
      </c>
      <c r="C4688" s="40">
        <v>4</v>
      </c>
      <c r="D4688" s="38" t="s">
        <v>266</v>
      </c>
    </row>
    <row r="4689" spans="1:4" x14ac:dyDescent="0.25">
      <c r="A4689" s="41">
        <v>333116</v>
      </c>
      <c r="B4689" s="39" t="s">
        <v>6256</v>
      </c>
      <c r="C4689" s="40">
        <v>4</v>
      </c>
      <c r="D4689" s="38" t="s">
        <v>266</v>
      </c>
    </row>
    <row r="4690" spans="1:4" x14ac:dyDescent="0.25">
      <c r="A4690" s="41">
        <v>333200</v>
      </c>
      <c r="B4690" s="39" t="s">
        <v>6257</v>
      </c>
      <c r="C4690" s="40">
        <v>3</v>
      </c>
      <c r="D4690" s="38" t="s">
        <v>266</v>
      </c>
    </row>
    <row r="4691" spans="1:4" x14ac:dyDescent="0.25">
      <c r="A4691" s="41">
        <v>333213</v>
      </c>
      <c r="B4691" s="39" t="s">
        <v>6258</v>
      </c>
      <c r="C4691" s="40">
        <v>4</v>
      </c>
      <c r="D4691" s="38" t="s">
        <v>266</v>
      </c>
    </row>
    <row r="4692" spans="1:4" x14ac:dyDescent="0.25">
      <c r="A4692" s="42">
        <v>333213.13</v>
      </c>
      <c r="B4692" s="39" t="s">
        <v>6259</v>
      </c>
      <c r="C4692" s="40">
        <v>5</v>
      </c>
      <c r="D4692" s="38" t="s">
        <v>266</v>
      </c>
    </row>
    <row r="4693" spans="1:4" x14ac:dyDescent="0.25">
      <c r="A4693" s="41">
        <v>333216</v>
      </c>
      <c r="B4693" s="39" t="s">
        <v>6260</v>
      </c>
      <c r="C4693" s="40">
        <v>4</v>
      </c>
      <c r="D4693" s="38" t="s">
        <v>266</v>
      </c>
    </row>
    <row r="4694" spans="1:4" x14ac:dyDescent="0.25">
      <c r="A4694" s="42">
        <v>333216.13</v>
      </c>
      <c r="B4694" s="39" t="s">
        <v>6261</v>
      </c>
      <c r="C4694" s="40">
        <v>5</v>
      </c>
      <c r="D4694" s="38" t="s">
        <v>266</v>
      </c>
    </row>
    <row r="4695" spans="1:4" x14ac:dyDescent="0.25">
      <c r="A4695" s="41">
        <v>333219</v>
      </c>
      <c r="B4695" s="39" t="s">
        <v>6262</v>
      </c>
      <c r="C4695" s="40">
        <v>4</v>
      </c>
      <c r="D4695" s="38" t="s">
        <v>266</v>
      </c>
    </row>
    <row r="4696" spans="1:4" x14ac:dyDescent="0.25">
      <c r="A4696" s="41">
        <v>333300</v>
      </c>
      <c r="B4696" s="39" t="s">
        <v>6263</v>
      </c>
      <c r="C4696" s="40">
        <v>3</v>
      </c>
      <c r="D4696" s="38" t="s">
        <v>266</v>
      </c>
    </row>
    <row r="4697" spans="1:4" x14ac:dyDescent="0.25">
      <c r="A4697" s="41">
        <v>333313</v>
      </c>
      <c r="B4697" s="39" t="s">
        <v>6264</v>
      </c>
      <c r="C4697" s="40">
        <v>4</v>
      </c>
      <c r="D4697" s="38" t="s">
        <v>266</v>
      </c>
    </row>
    <row r="4698" spans="1:4" x14ac:dyDescent="0.25">
      <c r="A4698" s="41">
        <v>333316</v>
      </c>
      <c r="B4698" s="39" t="s">
        <v>6265</v>
      </c>
      <c r="C4698" s="40">
        <v>4</v>
      </c>
      <c r="D4698" s="38" t="s">
        <v>266</v>
      </c>
    </row>
    <row r="4699" spans="1:4" x14ac:dyDescent="0.25">
      <c r="A4699" s="41">
        <v>333400</v>
      </c>
      <c r="B4699" s="39" t="s">
        <v>6266</v>
      </c>
      <c r="C4699" s="40">
        <v>3</v>
      </c>
      <c r="D4699" s="38" t="s">
        <v>266</v>
      </c>
    </row>
    <row r="4700" spans="1:4" x14ac:dyDescent="0.25">
      <c r="A4700" s="41">
        <v>333413</v>
      </c>
      <c r="B4700" s="39" t="s">
        <v>6267</v>
      </c>
      <c r="C4700" s="40">
        <v>4</v>
      </c>
      <c r="D4700" s="38" t="s">
        <v>266</v>
      </c>
    </row>
    <row r="4701" spans="1:4" x14ac:dyDescent="0.25">
      <c r="A4701" s="41">
        <v>333600</v>
      </c>
      <c r="B4701" s="39" t="s">
        <v>1620</v>
      </c>
      <c r="C4701" s="40">
        <v>3</v>
      </c>
      <c r="D4701" s="39" t="s">
        <v>1619</v>
      </c>
    </row>
    <row r="4702" spans="1:4" x14ac:dyDescent="0.25">
      <c r="A4702" s="41">
        <v>333613</v>
      </c>
      <c r="B4702" s="39" t="s">
        <v>6268</v>
      </c>
      <c r="C4702" s="40">
        <v>4</v>
      </c>
      <c r="D4702" s="38" t="s">
        <v>266</v>
      </c>
    </row>
    <row r="4703" spans="1:4" x14ac:dyDescent="0.25">
      <c r="A4703" s="41">
        <v>333616</v>
      </c>
      <c r="B4703" s="39" t="s">
        <v>6269</v>
      </c>
      <c r="C4703" s="40">
        <v>4</v>
      </c>
      <c r="D4703" s="38" t="s">
        <v>266</v>
      </c>
    </row>
    <row r="4704" spans="1:4" x14ac:dyDescent="0.25">
      <c r="A4704" s="41">
        <v>333633</v>
      </c>
      <c r="B4704" s="39" t="s">
        <v>6270</v>
      </c>
      <c r="C4704" s="40">
        <v>4</v>
      </c>
      <c r="D4704" s="38" t="s">
        <v>266</v>
      </c>
    </row>
    <row r="4705" spans="1:4" x14ac:dyDescent="0.25">
      <c r="A4705" s="41">
        <v>333900</v>
      </c>
      <c r="B4705" s="39" t="s">
        <v>6271</v>
      </c>
      <c r="C4705" s="40">
        <v>3</v>
      </c>
      <c r="D4705" s="38" t="s">
        <v>266</v>
      </c>
    </row>
    <row r="4706" spans="1:4" x14ac:dyDescent="0.25">
      <c r="A4706" s="41">
        <v>333913</v>
      </c>
      <c r="B4706" s="39" t="s">
        <v>6272</v>
      </c>
      <c r="C4706" s="40">
        <v>4</v>
      </c>
      <c r="D4706" s="38" t="s">
        <v>266</v>
      </c>
    </row>
    <row r="4707" spans="1:4" x14ac:dyDescent="0.25">
      <c r="A4707" s="41">
        <v>333923</v>
      </c>
      <c r="B4707" s="39" t="s">
        <v>6273</v>
      </c>
      <c r="C4707" s="40">
        <v>4</v>
      </c>
      <c r="D4707" s="38" t="s">
        <v>266</v>
      </c>
    </row>
    <row r="4708" spans="1:4" x14ac:dyDescent="0.25">
      <c r="A4708" s="41">
        <v>334000</v>
      </c>
      <c r="B4708" s="39" t="s">
        <v>1626</v>
      </c>
      <c r="C4708" s="40">
        <v>3</v>
      </c>
      <c r="D4708" s="38" t="s">
        <v>1625</v>
      </c>
    </row>
    <row r="4709" spans="1:4" x14ac:dyDescent="0.25">
      <c r="A4709" s="41">
        <v>334100</v>
      </c>
      <c r="B4709" s="39" t="s">
        <v>6274</v>
      </c>
      <c r="C4709" s="40">
        <v>3</v>
      </c>
      <c r="D4709" s="38" t="s">
        <v>1629</v>
      </c>
    </row>
    <row r="4710" spans="1:4" x14ac:dyDescent="0.25">
      <c r="A4710" s="41">
        <v>334113</v>
      </c>
      <c r="B4710" s="39" t="s">
        <v>6275</v>
      </c>
      <c r="C4710" s="40">
        <v>4</v>
      </c>
      <c r="D4710" s="38" t="s">
        <v>266</v>
      </c>
    </row>
    <row r="4711" spans="1:4" x14ac:dyDescent="0.25">
      <c r="A4711" s="41">
        <v>334200</v>
      </c>
      <c r="B4711" s="39" t="s">
        <v>1632</v>
      </c>
      <c r="C4711" s="40">
        <v>3</v>
      </c>
      <c r="D4711" s="38" t="s">
        <v>1631</v>
      </c>
    </row>
    <row r="4712" spans="1:4" x14ac:dyDescent="0.25">
      <c r="A4712" s="41">
        <v>334213</v>
      </c>
      <c r="B4712" s="39" t="s">
        <v>6276</v>
      </c>
      <c r="C4712" s="40">
        <v>4</v>
      </c>
      <c r="D4712" s="38" t="s">
        <v>266</v>
      </c>
    </row>
    <row r="4713" spans="1:4" x14ac:dyDescent="0.25">
      <c r="A4713" s="42">
        <v>334213.13</v>
      </c>
      <c r="B4713" s="39" t="s">
        <v>6277</v>
      </c>
      <c r="C4713" s="40">
        <v>5</v>
      </c>
      <c r="D4713" s="38" t="s">
        <v>266</v>
      </c>
    </row>
    <row r="4714" spans="1:4" x14ac:dyDescent="0.25">
      <c r="A4714" s="41">
        <v>334216</v>
      </c>
      <c r="B4714" s="39" t="s">
        <v>6278</v>
      </c>
      <c r="C4714" s="40">
        <v>4</v>
      </c>
      <c r="D4714" s="38" t="s">
        <v>266</v>
      </c>
    </row>
    <row r="4715" spans="1:4" x14ac:dyDescent="0.25">
      <c r="A4715" s="42">
        <v>334216.13</v>
      </c>
      <c r="B4715" s="39" t="s">
        <v>6279</v>
      </c>
      <c r="C4715" s="40">
        <v>5</v>
      </c>
      <c r="D4715" s="38" t="s">
        <v>266</v>
      </c>
    </row>
    <row r="4716" spans="1:4" x14ac:dyDescent="0.25">
      <c r="A4716" s="42">
        <v>334216.15999999997</v>
      </c>
      <c r="B4716" s="39" t="s">
        <v>6280</v>
      </c>
      <c r="C4716" s="40">
        <v>5</v>
      </c>
      <c r="D4716" s="38" t="s">
        <v>266</v>
      </c>
    </row>
    <row r="4717" spans="1:4" x14ac:dyDescent="0.25">
      <c r="A4717" s="41">
        <v>334400</v>
      </c>
      <c r="B4717" s="39" t="s">
        <v>6281</v>
      </c>
      <c r="C4717" s="40">
        <v>3</v>
      </c>
      <c r="D4717" s="38" t="s">
        <v>266</v>
      </c>
    </row>
    <row r="4718" spans="1:4" x14ac:dyDescent="0.25">
      <c r="A4718" s="41">
        <v>334413</v>
      </c>
      <c r="B4718" s="39" t="s">
        <v>6282</v>
      </c>
      <c r="C4718" s="40">
        <v>4</v>
      </c>
      <c r="D4718" s="38" t="s">
        <v>266</v>
      </c>
    </row>
    <row r="4719" spans="1:4" x14ac:dyDescent="0.25">
      <c r="A4719" s="42">
        <v>334413.13</v>
      </c>
      <c r="B4719" s="39" t="s">
        <v>6283</v>
      </c>
      <c r="C4719" s="40">
        <v>5</v>
      </c>
      <c r="D4719" s="38" t="s">
        <v>266</v>
      </c>
    </row>
    <row r="4720" spans="1:4" x14ac:dyDescent="0.25">
      <c r="A4720" s="41">
        <v>334416</v>
      </c>
      <c r="B4720" s="39" t="s">
        <v>6284</v>
      </c>
      <c r="C4720" s="40">
        <v>4</v>
      </c>
      <c r="D4720" s="38" t="s">
        <v>266</v>
      </c>
    </row>
    <row r="4721" spans="1:4" x14ac:dyDescent="0.25">
      <c r="A4721" s="41">
        <v>334419</v>
      </c>
      <c r="B4721" s="39" t="s">
        <v>6285</v>
      </c>
      <c r="C4721" s="40">
        <v>4</v>
      </c>
      <c r="D4721" s="38" t="s">
        <v>266</v>
      </c>
    </row>
    <row r="4722" spans="1:4" x14ac:dyDescent="0.25">
      <c r="A4722" s="42">
        <v>334419.13</v>
      </c>
      <c r="B4722" s="39" t="s">
        <v>6286</v>
      </c>
      <c r="C4722" s="40">
        <v>5</v>
      </c>
      <c r="D4722" s="38" t="s">
        <v>266</v>
      </c>
    </row>
    <row r="4723" spans="1:4" x14ac:dyDescent="0.25">
      <c r="A4723" s="42">
        <v>334419.15999999997</v>
      </c>
      <c r="B4723" s="39" t="s">
        <v>6287</v>
      </c>
      <c r="C4723" s="40">
        <v>5</v>
      </c>
      <c r="D4723" s="38" t="s">
        <v>266</v>
      </c>
    </row>
    <row r="4724" spans="1:4" x14ac:dyDescent="0.25">
      <c r="A4724" s="42">
        <v>334419.19</v>
      </c>
      <c r="B4724" s="39" t="s">
        <v>6288</v>
      </c>
      <c r="C4724" s="40">
        <v>5</v>
      </c>
      <c r="D4724" s="38" t="s">
        <v>266</v>
      </c>
    </row>
    <row r="4725" spans="1:4" x14ac:dyDescent="0.25">
      <c r="A4725" s="41">
        <v>334500</v>
      </c>
      <c r="B4725" s="39" t="s">
        <v>6289</v>
      </c>
      <c r="C4725" s="40">
        <v>3</v>
      </c>
      <c r="D4725" s="38" t="s">
        <v>1635</v>
      </c>
    </row>
    <row r="4726" spans="1:4" x14ac:dyDescent="0.25">
      <c r="A4726" s="41">
        <v>334600</v>
      </c>
      <c r="B4726" s="39" t="s">
        <v>6290</v>
      </c>
      <c r="C4726" s="40">
        <v>3</v>
      </c>
      <c r="D4726" s="38" t="s">
        <v>508</v>
      </c>
    </row>
    <row r="4727" spans="1:4" x14ac:dyDescent="0.25">
      <c r="A4727" s="41">
        <v>334613</v>
      </c>
      <c r="B4727" s="39" t="s">
        <v>511</v>
      </c>
      <c r="C4727" s="40">
        <v>4</v>
      </c>
      <c r="D4727" s="38" t="s">
        <v>510</v>
      </c>
    </row>
    <row r="4728" spans="1:4" x14ac:dyDescent="0.25">
      <c r="A4728" s="42">
        <v>334613.13</v>
      </c>
      <c r="B4728" s="39" t="s">
        <v>6291</v>
      </c>
      <c r="C4728" s="40">
        <v>5</v>
      </c>
      <c r="D4728" s="38" t="s">
        <v>266</v>
      </c>
    </row>
    <row r="4729" spans="1:4" x14ac:dyDescent="0.25">
      <c r="A4729" s="42">
        <v>334613.15999999997</v>
      </c>
      <c r="B4729" s="39" t="s">
        <v>6292</v>
      </c>
      <c r="C4729" s="40">
        <v>5</v>
      </c>
      <c r="D4729" s="38" t="s">
        <v>266</v>
      </c>
    </row>
    <row r="4730" spans="1:4" x14ac:dyDescent="0.25">
      <c r="A4730" s="41">
        <v>334616</v>
      </c>
      <c r="B4730" s="39" t="s">
        <v>6293</v>
      </c>
      <c r="C4730" s="40">
        <v>4</v>
      </c>
      <c r="D4730" s="38" t="s">
        <v>266</v>
      </c>
    </row>
    <row r="4731" spans="1:4" x14ac:dyDescent="0.25">
      <c r="A4731" s="42">
        <v>334616.13</v>
      </c>
      <c r="B4731" s="39" t="s">
        <v>6293</v>
      </c>
      <c r="C4731" s="40">
        <v>5</v>
      </c>
      <c r="D4731" s="38" t="s">
        <v>266</v>
      </c>
    </row>
    <row r="4732" spans="1:4" x14ac:dyDescent="0.25">
      <c r="A4732" s="42">
        <v>334616.15999999997</v>
      </c>
      <c r="B4732" s="39" t="s">
        <v>6294</v>
      </c>
      <c r="C4732" s="40">
        <v>5</v>
      </c>
      <c r="D4732" s="38" t="s">
        <v>266</v>
      </c>
    </row>
    <row r="4733" spans="1:4" x14ac:dyDescent="0.25">
      <c r="A4733" s="42">
        <v>334616.19</v>
      </c>
      <c r="B4733" s="39" t="s">
        <v>6295</v>
      </c>
      <c r="C4733" s="40">
        <v>5</v>
      </c>
      <c r="D4733" s="38" t="s">
        <v>266</v>
      </c>
    </row>
    <row r="4734" spans="1:4" x14ac:dyDescent="0.25">
      <c r="A4734" s="41">
        <v>334619</v>
      </c>
      <c r="B4734" s="39" t="s">
        <v>513</v>
      </c>
      <c r="C4734" s="40">
        <v>4</v>
      </c>
      <c r="D4734" s="38" t="s">
        <v>512</v>
      </c>
    </row>
    <row r="4735" spans="1:4" x14ac:dyDescent="0.25">
      <c r="A4735" s="42">
        <v>334619.13</v>
      </c>
      <c r="B4735" s="39" t="s">
        <v>6296</v>
      </c>
      <c r="C4735" s="40">
        <v>5</v>
      </c>
      <c r="D4735" s="38" t="s">
        <v>266</v>
      </c>
    </row>
    <row r="4736" spans="1:4" x14ac:dyDescent="0.25">
      <c r="A4736" s="42">
        <v>334619.15999999997</v>
      </c>
      <c r="B4736" s="39" t="s">
        <v>6297</v>
      </c>
      <c r="C4736" s="40">
        <v>5</v>
      </c>
      <c r="D4736" s="38" t="s">
        <v>266</v>
      </c>
    </row>
    <row r="4737" spans="1:4" x14ac:dyDescent="0.25">
      <c r="A4737" s="41">
        <v>334623</v>
      </c>
      <c r="B4737" s="39" t="s">
        <v>6298</v>
      </c>
      <c r="C4737" s="40">
        <v>4</v>
      </c>
      <c r="D4737" s="38" t="s">
        <v>266</v>
      </c>
    </row>
    <row r="4738" spans="1:4" x14ac:dyDescent="0.25">
      <c r="A4738" s="42">
        <v>334623.15999999997</v>
      </c>
      <c r="B4738" s="39" t="s">
        <v>6299</v>
      </c>
      <c r="C4738" s="40">
        <v>5</v>
      </c>
      <c r="D4738" s="38" t="s">
        <v>266</v>
      </c>
    </row>
    <row r="4739" spans="1:4" x14ac:dyDescent="0.25">
      <c r="A4739" s="42">
        <v>334623.19</v>
      </c>
      <c r="B4739" s="39" t="s">
        <v>6300</v>
      </c>
      <c r="C4739" s="40">
        <v>5</v>
      </c>
      <c r="D4739" s="38" t="s">
        <v>266</v>
      </c>
    </row>
    <row r="4740" spans="1:4" x14ac:dyDescent="0.25">
      <c r="A4740" s="41">
        <v>334626</v>
      </c>
      <c r="B4740" s="39" t="s">
        <v>6301</v>
      </c>
      <c r="C4740" s="40">
        <v>4</v>
      </c>
      <c r="D4740" s="38" t="s">
        <v>266</v>
      </c>
    </row>
    <row r="4741" spans="1:4" x14ac:dyDescent="0.25">
      <c r="A4741" s="41">
        <v>334633</v>
      </c>
      <c r="B4741" s="39" t="s">
        <v>6302</v>
      </c>
      <c r="C4741" s="40">
        <v>4</v>
      </c>
      <c r="D4741" s="38" t="s">
        <v>266</v>
      </c>
    </row>
    <row r="4742" spans="1:4" x14ac:dyDescent="0.25">
      <c r="A4742" s="41">
        <v>334700</v>
      </c>
      <c r="B4742" s="39" t="s">
        <v>6303</v>
      </c>
      <c r="C4742" s="40">
        <v>3</v>
      </c>
      <c r="D4742" s="38" t="s">
        <v>266</v>
      </c>
    </row>
    <row r="4743" spans="1:4" x14ac:dyDescent="0.25">
      <c r="A4743" s="41">
        <v>334713</v>
      </c>
      <c r="B4743" s="39" t="s">
        <v>6304</v>
      </c>
      <c r="C4743" s="40">
        <v>4</v>
      </c>
      <c r="D4743" s="38" t="s">
        <v>266</v>
      </c>
    </row>
    <row r="4744" spans="1:4" x14ac:dyDescent="0.25">
      <c r="A4744" s="42">
        <v>334713.13</v>
      </c>
      <c r="B4744" s="39" t="s">
        <v>6305</v>
      </c>
      <c r="C4744" s="40">
        <v>5</v>
      </c>
      <c r="D4744" s="38" t="s">
        <v>266</v>
      </c>
    </row>
    <row r="4745" spans="1:4" x14ac:dyDescent="0.25">
      <c r="A4745" s="42">
        <v>334713.53000000003</v>
      </c>
      <c r="B4745" s="39" t="s">
        <v>6306</v>
      </c>
      <c r="C4745" s="40">
        <v>5</v>
      </c>
      <c r="D4745" s="38" t="s">
        <v>266</v>
      </c>
    </row>
    <row r="4746" spans="1:4" x14ac:dyDescent="0.25">
      <c r="A4746" s="41">
        <v>334716</v>
      </c>
      <c r="B4746" s="39" t="s">
        <v>6307</v>
      </c>
      <c r="C4746" s="40">
        <v>4</v>
      </c>
      <c r="D4746" s="38" t="s">
        <v>266</v>
      </c>
    </row>
    <row r="4747" spans="1:4" x14ac:dyDescent="0.25">
      <c r="A4747" s="42">
        <v>334716.13</v>
      </c>
      <c r="B4747" s="39" t="s">
        <v>6308</v>
      </c>
      <c r="C4747" s="40">
        <v>5</v>
      </c>
      <c r="D4747" s="38" t="s">
        <v>266</v>
      </c>
    </row>
    <row r="4748" spans="1:4" x14ac:dyDescent="0.25">
      <c r="A4748" s="42">
        <v>334716.53000000003</v>
      </c>
      <c r="B4748" s="39" t="s">
        <v>6309</v>
      </c>
      <c r="C4748" s="40">
        <v>5</v>
      </c>
      <c r="D4748" s="38" t="s">
        <v>266</v>
      </c>
    </row>
    <row r="4749" spans="1:4" x14ac:dyDescent="0.25">
      <c r="A4749" s="41">
        <v>334719</v>
      </c>
      <c r="B4749" s="39" t="s">
        <v>6310</v>
      </c>
      <c r="C4749" s="40">
        <v>4</v>
      </c>
      <c r="D4749" s="38" t="s">
        <v>266</v>
      </c>
    </row>
    <row r="4750" spans="1:4" x14ac:dyDescent="0.25">
      <c r="A4750" s="42">
        <v>334719.13</v>
      </c>
      <c r="B4750" s="39" t="s">
        <v>6311</v>
      </c>
      <c r="C4750" s="40">
        <v>5</v>
      </c>
      <c r="D4750" s="38" t="s">
        <v>266</v>
      </c>
    </row>
    <row r="4751" spans="1:4" x14ac:dyDescent="0.25">
      <c r="A4751" s="42">
        <v>334719.15999999997</v>
      </c>
      <c r="B4751" s="39" t="s">
        <v>6312</v>
      </c>
      <c r="C4751" s="40">
        <v>5</v>
      </c>
      <c r="D4751" s="38" t="s">
        <v>266</v>
      </c>
    </row>
    <row r="4752" spans="1:4" x14ac:dyDescent="0.25">
      <c r="A4752" s="42">
        <v>334719.23</v>
      </c>
      <c r="B4752" s="39" t="s">
        <v>6313</v>
      </c>
      <c r="C4752" s="40">
        <v>5</v>
      </c>
      <c r="D4752" s="38" t="s">
        <v>266</v>
      </c>
    </row>
    <row r="4753" spans="1:4" x14ac:dyDescent="0.25">
      <c r="A4753" s="42">
        <v>334719.33</v>
      </c>
      <c r="B4753" s="39" t="s">
        <v>6314</v>
      </c>
      <c r="C4753" s="40">
        <v>5</v>
      </c>
      <c r="D4753" s="38" t="s">
        <v>266</v>
      </c>
    </row>
    <row r="4754" spans="1:4" x14ac:dyDescent="0.25">
      <c r="A4754" s="41">
        <v>334723</v>
      </c>
      <c r="B4754" s="39" t="s">
        <v>1624</v>
      </c>
      <c r="C4754" s="40">
        <v>4</v>
      </c>
      <c r="D4754" s="38" t="s">
        <v>1623</v>
      </c>
    </row>
    <row r="4755" spans="1:4" x14ac:dyDescent="0.25">
      <c r="A4755" s="41">
        <v>334726</v>
      </c>
      <c r="B4755" s="39" t="s">
        <v>1640</v>
      </c>
      <c r="C4755" s="40">
        <v>4</v>
      </c>
      <c r="D4755" s="39" t="s">
        <v>1639</v>
      </c>
    </row>
    <row r="4756" spans="1:4" x14ac:dyDescent="0.25">
      <c r="A4756" s="42">
        <v>334726.13</v>
      </c>
      <c r="B4756" s="39" t="s">
        <v>6315</v>
      </c>
      <c r="C4756" s="40">
        <v>5</v>
      </c>
      <c r="D4756" s="38" t="s">
        <v>266</v>
      </c>
    </row>
    <row r="4757" spans="1:4" x14ac:dyDescent="0.25">
      <c r="A4757" s="42">
        <v>334726.15999999997</v>
      </c>
      <c r="B4757" s="39" t="s">
        <v>6316</v>
      </c>
      <c r="C4757" s="40">
        <v>5</v>
      </c>
      <c r="D4757" s="38" t="s">
        <v>266</v>
      </c>
    </row>
    <row r="4758" spans="1:4" x14ac:dyDescent="0.25">
      <c r="A4758" s="42">
        <v>334726.19</v>
      </c>
      <c r="B4758" s="39" t="s">
        <v>6317</v>
      </c>
      <c r="C4758" s="40">
        <v>5</v>
      </c>
      <c r="D4758" s="38" t="s">
        <v>266</v>
      </c>
    </row>
    <row r="4759" spans="1:4" x14ac:dyDescent="0.25">
      <c r="A4759" s="41">
        <v>334900</v>
      </c>
      <c r="B4759" s="39" t="s">
        <v>6318</v>
      </c>
      <c r="C4759" s="40">
        <v>3</v>
      </c>
      <c r="D4759" s="38" t="s">
        <v>266</v>
      </c>
    </row>
    <row r="4760" spans="1:4" x14ac:dyDescent="0.25">
      <c r="A4760" s="41">
        <v>334913</v>
      </c>
      <c r="B4760" s="39" t="s">
        <v>6319</v>
      </c>
      <c r="C4760" s="40">
        <v>4</v>
      </c>
      <c r="D4760" s="38" t="s">
        <v>266</v>
      </c>
    </row>
    <row r="4761" spans="1:4" x14ac:dyDescent="0.25">
      <c r="A4761" s="41">
        <v>334923</v>
      </c>
      <c r="B4761" s="39" t="s">
        <v>6320</v>
      </c>
      <c r="C4761" s="40">
        <v>4</v>
      </c>
      <c r="D4761" s="38" t="s">
        <v>266</v>
      </c>
    </row>
    <row r="4762" spans="1:4" x14ac:dyDescent="0.25">
      <c r="A4762" s="41">
        <v>335000</v>
      </c>
      <c r="B4762" s="39" t="s">
        <v>6321</v>
      </c>
      <c r="C4762" s="40">
        <v>3</v>
      </c>
      <c r="D4762" s="38" t="s">
        <v>266</v>
      </c>
    </row>
    <row r="4763" spans="1:4" x14ac:dyDescent="0.25">
      <c r="A4763" s="41">
        <v>335100</v>
      </c>
      <c r="B4763" s="39" t="s">
        <v>6322</v>
      </c>
      <c r="C4763" s="40">
        <v>3</v>
      </c>
      <c r="D4763" s="38" t="s">
        <v>266</v>
      </c>
    </row>
    <row r="4764" spans="1:4" x14ac:dyDescent="0.25">
      <c r="A4764" s="41">
        <v>335113</v>
      </c>
      <c r="B4764" s="39" t="s">
        <v>6323</v>
      </c>
      <c r="C4764" s="40">
        <v>4</v>
      </c>
      <c r="D4764" s="38" t="s">
        <v>266</v>
      </c>
    </row>
    <row r="4765" spans="1:4" x14ac:dyDescent="0.25">
      <c r="A4765" s="41">
        <v>335133</v>
      </c>
      <c r="B4765" s="39" t="s">
        <v>6324</v>
      </c>
      <c r="C4765" s="40">
        <v>4</v>
      </c>
      <c r="D4765" s="38" t="s">
        <v>266</v>
      </c>
    </row>
    <row r="4766" spans="1:4" x14ac:dyDescent="0.25">
      <c r="A4766" s="41">
        <v>335200</v>
      </c>
      <c r="B4766" s="39" t="s">
        <v>6325</v>
      </c>
      <c r="C4766" s="40">
        <v>3</v>
      </c>
      <c r="D4766" s="38" t="s">
        <v>266</v>
      </c>
    </row>
    <row r="4767" spans="1:4" x14ac:dyDescent="0.25">
      <c r="A4767" s="41">
        <v>335213</v>
      </c>
      <c r="B4767" s="39" t="s">
        <v>6326</v>
      </c>
      <c r="C4767" s="40">
        <v>4</v>
      </c>
      <c r="D4767" s="38" t="s">
        <v>266</v>
      </c>
    </row>
    <row r="4768" spans="1:4" x14ac:dyDescent="0.25">
      <c r="A4768" s="42">
        <v>335213.13</v>
      </c>
      <c r="B4768" s="39" t="s">
        <v>6327</v>
      </c>
      <c r="C4768" s="40">
        <v>5</v>
      </c>
      <c r="D4768" s="38" t="s">
        <v>266</v>
      </c>
    </row>
    <row r="4769" spans="1:4" x14ac:dyDescent="0.25">
      <c r="A4769" s="42">
        <v>335213.23</v>
      </c>
      <c r="B4769" s="39" t="s">
        <v>6328</v>
      </c>
      <c r="C4769" s="40">
        <v>5</v>
      </c>
      <c r="D4769" s="38" t="s">
        <v>266</v>
      </c>
    </row>
    <row r="4770" spans="1:4" x14ac:dyDescent="0.25">
      <c r="A4770" s="41">
        <v>335216</v>
      </c>
      <c r="B4770" s="39" t="s">
        <v>6329</v>
      </c>
      <c r="C4770" s="40">
        <v>4</v>
      </c>
      <c r="D4770" s="38" t="s">
        <v>266</v>
      </c>
    </row>
    <row r="4771" spans="1:4" x14ac:dyDescent="0.25">
      <c r="A4771" s="42">
        <v>335216.13</v>
      </c>
      <c r="B4771" s="39" t="s">
        <v>6330</v>
      </c>
      <c r="C4771" s="40">
        <v>5</v>
      </c>
      <c r="D4771" s="38" t="s">
        <v>266</v>
      </c>
    </row>
    <row r="4772" spans="1:4" x14ac:dyDescent="0.25">
      <c r="A4772" s="42">
        <v>335216.23</v>
      </c>
      <c r="B4772" s="39" t="s">
        <v>6331</v>
      </c>
      <c r="C4772" s="40">
        <v>5</v>
      </c>
      <c r="D4772" s="38" t="s">
        <v>266</v>
      </c>
    </row>
    <row r="4773" spans="1:4" x14ac:dyDescent="0.25">
      <c r="A4773" s="41">
        <v>335219</v>
      </c>
      <c r="B4773" s="39" t="s">
        <v>6332</v>
      </c>
      <c r="C4773" s="40">
        <v>4</v>
      </c>
      <c r="D4773" s="38" t="s">
        <v>266</v>
      </c>
    </row>
    <row r="4774" spans="1:4" x14ac:dyDescent="0.25">
      <c r="A4774" s="42">
        <v>335219.13</v>
      </c>
      <c r="B4774" s="39" t="s">
        <v>6333</v>
      </c>
      <c r="C4774" s="40">
        <v>5</v>
      </c>
      <c r="D4774" s="38" t="s">
        <v>266</v>
      </c>
    </row>
    <row r="4775" spans="1:4" x14ac:dyDescent="0.25">
      <c r="A4775" s="42">
        <v>335219.23</v>
      </c>
      <c r="B4775" s="39" t="s">
        <v>6334</v>
      </c>
      <c r="C4775" s="40">
        <v>5</v>
      </c>
      <c r="D4775" s="38" t="s">
        <v>266</v>
      </c>
    </row>
    <row r="4776" spans="1:4" x14ac:dyDescent="0.25">
      <c r="A4776" s="41">
        <v>335243</v>
      </c>
      <c r="B4776" s="39" t="s">
        <v>6335</v>
      </c>
      <c r="C4776" s="40">
        <v>4</v>
      </c>
      <c r="D4776" s="38" t="s">
        <v>266</v>
      </c>
    </row>
    <row r="4777" spans="1:4" x14ac:dyDescent="0.25">
      <c r="A4777" s="42">
        <v>335243.13</v>
      </c>
      <c r="B4777" s="39" t="s">
        <v>6336</v>
      </c>
      <c r="C4777" s="40">
        <v>5</v>
      </c>
      <c r="D4777" s="38" t="s">
        <v>266</v>
      </c>
    </row>
    <row r="4778" spans="1:4" x14ac:dyDescent="0.25">
      <c r="A4778" s="42">
        <v>335243.15999999997</v>
      </c>
      <c r="B4778" s="39" t="s">
        <v>6337</v>
      </c>
      <c r="C4778" s="40">
        <v>5</v>
      </c>
      <c r="D4778" s="38" t="s">
        <v>266</v>
      </c>
    </row>
    <row r="4779" spans="1:4" x14ac:dyDescent="0.25">
      <c r="A4779" s="42">
        <v>335243.19</v>
      </c>
      <c r="B4779" s="39" t="s">
        <v>6338</v>
      </c>
      <c r="C4779" s="40">
        <v>5</v>
      </c>
      <c r="D4779" s="38" t="s">
        <v>266</v>
      </c>
    </row>
    <row r="4780" spans="1:4" x14ac:dyDescent="0.25">
      <c r="A4780" s="42">
        <v>335243.23</v>
      </c>
      <c r="B4780" s="39" t="s">
        <v>6339</v>
      </c>
      <c r="C4780" s="40">
        <v>5</v>
      </c>
      <c r="D4780" s="38" t="s">
        <v>266</v>
      </c>
    </row>
    <row r="4781" spans="1:4" x14ac:dyDescent="0.25">
      <c r="A4781" s="41">
        <v>335600</v>
      </c>
      <c r="B4781" s="39" t="s">
        <v>6340</v>
      </c>
      <c r="C4781" s="40">
        <v>3</v>
      </c>
      <c r="D4781" s="38" t="s">
        <v>266</v>
      </c>
    </row>
    <row r="4782" spans="1:4" x14ac:dyDescent="0.25">
      <c r="A4782" s="41">
        <v>335613</v>
      </c>
      <c r="B4782" s="39" t="s">
        <v>6341</v>
      </c>
      <c r="C4782" s="40">
        <v>4</v>
      </c>
      <c r="D4782" s="38" t="s">
        <v>266</v>
      </c>
    </row>
    <row r="4783" spans="1:4" x14ac:dyDescent="0.25">
      <c r="A4783" s="41">
        <v>335616</v>
      </c>
      <c r="B4783" s="39" t="s">
        <v>6342</v>
      </c>
      <c r="C4783" s="40">
        <v>4</v>
      </c>
      <c r="D4783" s="38" t="s">
        <v>266</v>
      </c>
    </row>
    <row r="4784" spans="1:4" x14ac:dyDescent="0.25">
      <c r="A4784" s="41">
        <v>335643</v>
      </c>
      <c r="B4784" s="39" t="s">
        <v>6343</v>
      </c>
      <c r="C4784" s="40">
        <v>4</v>
      </c>
      <c r="D4784" s="38" t="s">
        <v>266</v>
      </c>
    </row>
    <row r="4785" spans="1:4" x14ac:dyDescent="0.25">
      <c r="A4785" s="42">
        <v>335643.13</v>
      </c>
      <c r="B4785" s="39" t="s">
        <v>6344</v>
      </c>
      <c r="C4785" s="40">
        <v>5</v>
      </c>
      <c r="D4785" s="38" t="s">
        <v>266</v>
      </c>
    </row>
    <row r="4786" spans="1:4" x14ac:dyDescent="0.25">
      <c r="A4786" s="42">
        <v>335643.16</v>
      </c>
      <c r="B4786" s="39" t="s">
        <v>6345</v>
      </c>
      <c r="C4786" s="40">
        <v>5</v>
      </c>
      <c r="D4786" s="38" t="s">
        <v>266</v>
      </c>
    </row>
    <row r="4787" spans="1:4" x14ac:dyDescent="0.25">
      <c r="A4787" s="41">
        <v>335653</v>
      </c>
      <c r="B4787" s="39" t="s">
        <v>6346</v>
      </c>
      <c r="C4787" s="40">
        <v>4</v>
      </c>
      <c r="D4787" s="38" t="s">
        <v>266</v>
      </c>
    </row>
    <row r="4788" spans="1:4" x14ac:dyDescent="0.25">
      <c r="A4788" s="41">
        <v>336000</v>
      </c>
      <c r="B4788" s="39" t="s">
        <v>6347</v>
      </c>
      <c r="C4788" s="40">
        <v>3</v>
      </c>
      <c r="D4788" s="38" t="s">
        <v>266</v>
      </c>
    </row>
    <row r="4789" spans="1:4" x14ac:dyDescent="0.25">
      <c r="A4789" s="41">
        <v>336100</v>
      </c>
      <c r="B4789" s="39" t="s">
        <v>6348</v>
      </c>
      <c r="C4789" s="40">
        <v>3</v>
      </c>
      <c r="D4789" s="38" t="s">
        <v>266</v>
      </c>
    </row>
    <row r="4790" spans="1:4" x14ac:dyDescent="0.25">
      <c r="A4790" s="41">
        <v>336113</v>
      </c>
      <c r="B4790" s="39" t="s">
        <v>6349</v>
      </c>
      <c r="C4790" s="40">
        <v>4</v>
      </c>
      <c r="D4790" s="38" t="s">
        <v>266</v>
      </c>
    </row>
    <row r="4791" spans="1:4" x14ac:dyDescent="0.25">
      <c r="A4791" s="41">
        <v>336123</v>
      </c>
      <c r="B4791" s="39" t="s">
        <v>6350</v>
      </c>
      <c r="C4791" s="40">
        <v>4</v>
      </c>
      <c r="D4791" s="38" t="s">
        <v>266</v>
      </c>
    </row>
    <row r="4792" spans="1:4" x14ac:dyDescent="0.25">
      <c r="A4792" s="41">
        <v>336133</v>
      </c>
      <c r="B4792" s="39" t="s">
        <v>6351</v>
      </c>
      <c r="C4792" s="40">
        <v>4</v>
      </c>
      <c r="D4792" s="38" t="s">
        <v>266</v>
      </c>
    </row>
    <row r="4793" spans="1:4" x14ac:dyDescent="0.25">
      <c r="A4793" s="41">
        <v>336300</v>
      </c>
      <c r="B4793" s="39" t="s">
        <v>6352</v>
      </c>
      <c r="C4793" s="40">
        <v>3</v>
      </c>
      <c r="D4793" s="38" t="s">
        <v>266</v>
      </c>
    </row>
    <row r="4794" spans="1:4" x14ac:dyDescent="0.25">
      <c r="A4794" s="41">
        <v>336313</v>
      </c>
      <c r="B4794" s="39" t="s">
        <v>6353</v>
      </c>
      <c r="C4794" s="40">
        <v>4</v>
      </c>
      <c r="D4794" s="38" t="s">
        <v>266</v>
      </c>
    </row>
    <row r="4795" spans="1:4" x14ac:dyDescent="0.25">
      <c r="A4795" s="41">
        <v>336323</v>
      </c>
      <c r="B4795" s="39" t="s">
        <v>6354</v>
      </c>
      <c r="C4795" s="40">
        <v>4</v>
      </c>
      <c r="D4795" s="38" t="s">
        <v>266</v>
      </c>
    </row>
    <row r="4796" spans="1:4" x14ac:dyDescent="0.25">
      <c r="A4796" s="41">
        <v>336333</v>
      </c>
      <c r="B4796" s="39" t="s">
        <v>6355</v>
      </c>
      <c r="C4796" s="40">
        <v>4</v>
      </c>
      <c r="D4796" s="38" t="s">
        <v>266</v>
      </c>
    </row>
    <row r="4797" spans="1:4" x14ac:dyDescent="0.25">
      <c r="A4797" s="41">
        <v>337000</v>
      </c>
      <c r="B4797" s="39" t="s">
        <v>6356</v>
      </c>
      <c r="C4797" s="40">
        <v>3</v>
      </c>
      <c r="D4797" s="38" t="s">
        <v>266</v>
      </c>
    </row>
    <row r="4798" spans="1:4" x14ac:dyDescent="0.25">
      <c r="A4798" s="41">
        <v>337100</v>
      </c>
      <c r="B4798" s="39" t="s">
        <v>6357</v>
      </c>
      <c r="C4798" s="40">
        <v>3</v>
      </c>
      <c r="D4798" s="38" t="s">
        <v>266</v>
      </c>
    </row>
    <row r="4799" spans="1:4" x14ac:dyDescent="0.25">
      <c r="A4799" s="41">
        <v>337113</v>
      </c>
      <c r="B4799" s="39" t="s">
        <v>6358</v>
      </c>
      <c r="C4799" s="40">
        <v>4</v>
      </c>
      <c r="D4799" s="38" t="s">
        <v>266</v>
      </c>
    </row>
    <row r="4800" spans="1:4" x14ac:dyDescent="0.25">
      <c r="A4800" s="42">
        <v>337113.13</v>
      </c>
      <c r="B4800" s="39" t="s">
        <v>6359</v>
      </c>
      <c r="C4800" s="40">
        <v>5</v>
      </c>
      <c r="D4800" s="38" t="s">
        <v>266</v>
      </c>
    </row>
    <row r="4801" spans="1:4" x14ac:dyDescent="0.25">
      <c r="A4801" s="42">
        <v>337113.23</v>
      </c>
      <c r="B4801" s="39" t="s">
        <v>6360</v>
      </c>
      <c r="C4801" s="40">
        <v>5</v>
      </c>
      <c r="D4801" s="38" t="s">
        <v>266</v>
      </c>
    </row>
    <row r="4802" spans="1:4" x14ac:dyDescent="0.25">
      <c r="A4802" s="42">
        <v>337113.33</v>
      </c>
      <c r="B4802" s="39" t="s">
        <v>6361</v>
      </c>
      <c r="C4802" s="40">
        <v>5</v>
      </c>
      <c r="D4802" s="38" t="s">
        <v>266</v>
      </c>
    </row>
    <row r="4803" spans="1:4" x14ac:dyDescent="0.25">
      <c r="A4803" s="41">
        <v>337116</v>
      </c>
      <c r="B4803" s="39" t="s">
        <v>6362</v>
      </c>
      <c r="C4803" s="40">
        <v>4</v>
      </c>
      <c r="D4803" s="38" t="s">
        <v>266</v>
      </c>
    </row>
    <row r="4804" spans="1:4" x14ac:dyDescent="0.25">
      <c r="A4804" s="42">
        <v>337116.13</v>
      </c>
      <c r="B4804" s="39" t="s">
        <v>6363</v>
      </c>
      <c r="C4804" s="40">
        <v>5</v>
      </c>
      <c r="D4804" s="38" t="s">
        <v>266</v>
      </c>
    </row>
    <row r="4805" spans="1:4" x14ac:dyDescent="0.25">
      <c r="A4805" s="42">
        <v>337116.23</v>
      </c>
      <c r="B4805" s="39" t="s">
        <v>6364</v>
      </c>
      <c r="C4805" s="40">
        <v>5</v>
      </c>
      <c r="D4805" s="38" t="s">
        <v>266</v>
      </c>
    </row>
    <row r="4806" spans="1:4" x14ac:dyDescent="0.25">
      <c r="A4806" s="42">
        <v>337116.33</v>
      </c>
      <c r="B4806" s="39" t="s">
        <v>6365</v>
      </c>
      <c r="C4806" s="40">
        <v>5</v>
      </c>
      <c r="D4806" s="38" t="s">
        <v>266</v>
      </c>
    </row>
    <row r="4807" spans="1:4" x14ac:dyDescent="0.25">
      <c r="A4807" s="41">
        <v>337119</v>
      </c>
      <c r="B4807" s="39" t="s">
        <v>6366</v>
      </c>
      <c r="C4807" s="40">
        <v>4</v>
      </c>
      <c r="D4807" s="38" t="s">
        <v>266</v>
      </c>
    </row>
    <row r="4808" spans="1:4" x14ac:dyDescent="0.25">
      <c r="A4808" s="42">
        <v>337119.13</v>
      </c>
      <c r="B4808" s="39" t="s">
        <v>6367</v>
      </c>
      <c r="C4808" s="40">
        <v>5</v>
      </c>
      <c r="D4808" s="38" t="s">
        <v>266</v>
      </c>
    </row>
    <row r="4809" spans="1:4" x14ac:dyDescent="0.25">
      <c r="A4809" s="41">
        <v>337123</v>
      </c>
      <c r="B4809" s="39" t="s">
        <v>6368</v>
      </c>
      <c r="C4809" s="40">
        <v>4</v>
      </c>
      <c r="D4809" s="38" t="s">
        <v>266</v>
      </c>
    </row>
    <row r="4810" spans="1:4" x14ac:dyDescent="0.25">
      <c r="A4810" s="42">
        <v>337123.13</v>
      </c>
      <c r="B4810" s="39" t="s">
        <v>6369</v>
      </c>
      <c r="C4810" s="40">
        <v>5</v>
      </c>
      <c r="D4810" s="38" t="s">
        <v>266</v>
      </c>
    </row>
    <row r="4811" spans="1:4" x14ac:dyDescent="0.25">
      <c r="A4811" s="42">
        <v>337123.16</v>
      </c>
      <c r="B4811" s="39" t="s">
        <v>6370</v>
      </c>
      <c r="C4811" s="40">
        <v>5</v>
      </c>
      <c r="D4811" s="38" t="s">
        <v>266</v>
      </c>
    </row>
    <row r="4812" spans="1:4" x14ac:dyDescent="0.25">
      <c r="A4812" s="42">
        <v>337123.23</v>
      </c>
      <c r="B4812" s="39" t="s">
        <v>6371</v>
      </c>
      <c r="C4812" s="40">
        <v>5</v>
      </c>
      <c r="D4812" s="38" t="s">
        <v>266</v>
      </c>
    </row>
    <row r="4813" spans="1:4" x14ac:dyDescent="0.25">
      <c r="A4813" s="41">
        <v>337126</v>
      </c>
      <c r="B4813" s="39" t="s">
        <v>6372</v>
      </c>
      <c r="C4813" s="40">
        <v>4</v>
      </c>
      <c r="D4813" s="38" t="s">
        <v>266</v>
      </c>
    </row>
    <row r="4814" spans="1:4" x14ac:dyDescent="0.25">
      <c r="A4814" s="42">
        <v>337126.13</v>
      </c>
      <c r="B4814" s="39" t="s">
        <v>6373</v>
      </c>
      <c r="C4814" s="40">
        <v>5</v>
      </c>
      <c r="D4814" s="38" t="s">
        <v>266</v>
      </c>
    </row>
    <row r="4815" spans="1:4" x14ac:dyDescent="0.25">
      <c r="A4815" s="42">
        <v>337126.16</v>
      </c>
      <c r="B4815" s="39" t="s">
        <v>6374</v>
      </c>
      <c r="C4815" s="40">
        <v>5</v>
      </c>
      <c r="D4815" s="38" t="s">
        <v>266</v>
      </c>
    </row>
    <row r="4816" spans="1:4" x14ac:dyDescent="0.25">
      <c r="A4816" s="42">
        <v>337126.23</v>
      </c>
      <c r="B4816" s="39" t="s">
        <v>6375</v>
      </c>
      <c r="C4816" s="40">
        <v>5</v>
      </c>
      <c r="D4816" s="38" t="s">
        <v>266</v>
      </c>
    </row>
    <row r="4817" spans="1:4" x14ac:dyDescent="0.25">
      <c r="A4817" s="42">
        <v>337126.26</v>
      </c>
      <c r="B4817" s="39" t="s">
        <v>6376</v>
      </c>
      <c r="C4817" s="40">
        <v>5</v>
      </c>
      <c r="D4817" s="38" t="s">
        <v>266</v>
      </c>
    </row>
    <row r="4818" spans="1:4" x14ac:dyDescent="0.25">
      <c r="A4818" s="41">
        <v>337136</v>
      </c>
      <c r="B4818" s="39" t="s">
        <v>6377</v>
      </c>
      <c r="C4818" s="40">
        <v>4</v>
      </c>
      <c r="D4818" s="38" t="s">
        <v>266</v>
      </c>
    </row>
    <row r="4819" spans="1:4" x14ac:dyDescent="0.25">
      <c r="A4819" s="42">
        <v>337136.13</v>
      </c>
      <c r="B4819" s="39" t="s">
        <v>6378</v>
      </c>
      <c r="C4819" s="40">
        <v>5</v>
      </c>
      <c r="D4819" s="38" t="s">
        <v>266</v>
      </c>
    </row>
    <row r="4820" spans="1:4" x14ac:dyDescent="0.25">
      <c r="A4820" s="41">
        <v>337139</v>
      </c>
      <c r="B4820" s="39" t="s">
        <v>6379</v>
      </c>
      <c r="C4820" s="40">
        <v>4</v>
      </c>
      <c r="D4820" s="38" t="s">
        <v>266</v>
      </c>
    </row>
    <row r="4821" spans="1:4" x14ac:dyDescent="0.25">
      <c r="A4821" s="42">
        <v>337139.13</v>
      </c>
      <c r="B4821" s="39" t="s">
        <v>6380</v>
      </c>
      <c r="C4821" s="40">
        <v>5</v>
      </c>
      <c r="D4821" s="38" t="s">
        <v>266</v>
      </c>
    </row>
    <row r="4822" spans="1:4" x14ac:dyDescent="0.25">
      <c r="A4822" s="42">
        <v>337139.23</v>
      </c>
      <c r="B4822" s="39" t="s">
        <v>6381</v>
      </c>
      <c r="C4822" s="40">
        <v>5</v>
      </c>
      <c r="D4822" s="38" t="s">
        <v>266</v>
      </c>
    </row>
    <row r="4823" spans="1:4" x14ac:dyDescent="0.25">
      <c r="A4823" s="42">
        <v>337139.33</v>
      </c>
      <c r="B4823" s="39" t="s">
        <v>6382</v>
      </c>
      <c r="C4823" s="40">
        <v>5</v>
      </c>
      <c r="D4823" s="38" t="s">
        <v>266</v>
      </c>
    </row>
    <row r="4824" spans="1:4" x14ac:dyDescent="0.25">
      <c r="A4824" s="41">
        <v>337149</v>
      </c>
      <c r="B4824" s="39" t="s">
        <v>6383</v>
      </c>
      <c r="C4824" s="40">
        <v>4</v>
      </c>
      <c r="D4824" s="38" t="s">
        <v>266</v>
      </c>
    </row>
    <row r="4825" spans="1:4" x14ac:dyDescent="0.25">
      <c r="A4825" s="42">
        <v>337149.13</v>
      </c>
      <c r="B4825" s="39" t="s">
        <v>6384</v>
      </c>
      <c r="C4825" s="40">
        <v>5</v>
      </c>
      <c r="D4825" s="38" t="s">
        <v>266</v>
      </c>
    </row>
    <row r="4826" spans="1:4" x14ac:dyDescent="0.25">
      <c r="A4826" s="42">
        <v>337149.23</v>
      </c>
      <c r="B4826" s="39" t="s">
        <v>6385</v>
      </c>
      <c r="C4826" s="40">
        <v>5</v>
      </c>
      <c r="D4826" s="38" t="s">
        <v>266</v>
      </c>
    </row>
    <row r="4827" spans="1:4" x14ac:dyDescent="0.25">
      <c r="A4827" s="42">
        <v>337149.33</v>
      </c>
      <c r="B4827" s="39" t="s">
        <v>6386</v>
      </c>
      <c r="C4827" s="40">
        <v>5</v>
      </c>
      <c r="D4827" s="38" t="s">
        <v>266</v>
      </c>
    </row>
    <row r="4828" spans="1:4" x14ac:dyDescent="0.25">
      <c r="A4828" s="41">
        <v>337153</v>
      </c>
      <c r="B4828" s="39" t="s">
        <v>6387</v>
      </c>
      <c r="C4828" s="40">
        <v>4</v>
      </c>
      <c r="D4828" s="38" t="s">
        <v>266</v>
      </c>
    </row>
    <row r="4829" spans="1:4" x14ac:dyDescent="0.25">
      <c r="A4829" s="41">
        <v>337173</v>
      </c>
      <c r="B4829" s="39" t="s">
        <v>1669</v>
      </c>
      <c r="C4829" s="40">
        <v>4</v>
      </c>
      <c r="D4829" s="38" t="s">
        <v>1668</v>
      </c>
    </row>
    <row r="4830" spans="1:4" x14ac:dyDescent="0.25">
      <c r="A4830" s="42">
        <v>337173.33</v>
      </c>
      <c r="B4830" s="39" t="s">
        <v>6388</v>
      </c>
      <c r="C4830" s="40">
        <v>5</v>
      </c>
      <c r="D4830" s="38" t="s">
        <v>266</v>
      </c>
    </row>
    <row r="4831" spans="1:4" x14ac:dyDescent="0.25">
      <c r="A4831" s="41">
        <v>337183</v>
      </c>
      <c r="B4831" s="39" t="s">
        <v>6389</v>
      </c>
      <c r="C4831" s="40">
        <v>4</v>
      </c>
      <c r="D4831" s="38" t="s">
        <v>266</v>
      </c>
    </row>
    <row r="4832" spans="1:4" x14ac:dyDescent="0.25">
      <c r="A4832" s="41">
        <v>337200</v>
      </c>
      <c r="B4832" s="39" t="s">
        <v>6390</v>
      </c>
      <c r="C4832" s="40">
        <v>3</v>
      </c>
      <c r="D4832" s="38" t="s">
        <v>266</v>
      </c>
    </row>
    <row r="4833" spans="1:4" x14ac:dyDescent="0.25">
      <c r="A4833" s="41">
        <v>337213</v>
      </c>
      <c r="B4833" s="39" t="s">
        <v>6391</v>
      </c>
      <c r="C4833" s="40">
        <v>4</v>
      </c>
      <c r="D4833" s="38" t="s">
        <v>266</v>
      </c>
    </row>
    <row r="4834" spans="1:4" x14ac:dyDescent="0.25">
      <c r="A4834" s="41">
        <v>337223</v>
      </c>
      <c r="B4834" s="39" t="s">
        <v>6392</v>
      </c>
      <c r="C4834" s="40">
        <v>4</v>
      </c>
      <c r="D4834" s="38" t="s">
        <v>266</v>
      </c>
    </row>
    <row r="4835" spans="1:4" x14ac:dyDescent="0.25">
      <c r="A4835" s="42">
        <v>337223.13</v>
      </c>
      <c r="B4835" s="39" t="s">
        <v>6393</v>
      </c>
      <c r="C4835" s="40">
        <v>5</v>
      </c>
      <c r="D4835" s="38" t="s">
        <v>266</v>
      </c>
    </row>
    <row r="4836" spans="1:4" x14ac:dyDescent="0.25">
      <c r="A4836" s="41">
        <v>337226</v>
      </c>
      <c r="B4836" s="39" t="s">
        <v>6394</v>
      </c>
      <c r="C4836" s="40">
        <v>4</v>
      </c>
      <c r="D4836" s="38" t="s">
        <v>266</v>
      </c>
    </row>
    <row r="4837" spans="1:4" x14ac:dyDescent="0.25">
      <c r="A4837" s="42">
        <v>337226.13</v>
      </c>
      <c r="B4837" s="39" t="s">
        <v>6395</v>
      </c>
      <c r="C4837" s="40">
        <v>5</v>
      </c>
      <c r="D4837" s="38" t="s">
        <v>266</v>
      </c>
    </row>
    <row r="4838" spans="1:4" x14ac:dyDescent="0.25">
      <c r="A4838" s="42">
        <v>337226.16</v>
      </c>
      <c r="B4838" s="39" t="s">
        <v>6396</v>
      </c>
      <c r="C4838" s="40">
        <v>5</v>
      </c>
      <c r="D4838" s="38" t="s">
        <v>266</v>
      </c>
    </row>
    <row r="4839" spans="1:4" x14ac:dyDescent="0.25">
      <c r="A4839" s="41">
        <v>337233</v>
      </c>
      <c r="B4839" s="39" t="s">
        <v>6397</v>
      </c>
      <c r="C4839" s="40">
        <v>4</v>
      </c>
      <c r="D4839" s="38" t="s">
        <v>266</v>
      </c>
    </row>
    <row r="4840" spans="1:4" x14ac:dyDescent="0.25">
      <c r="A4840" s="42">
        <v>337233.13</v>
      </c>
      <c r="B4840" s="39" t="s">
        <v>6398</v>
      </c>
      <c r="C4840" s="40">
        <v>5</v>
      </c>
      <c r="D4840" s="38" t="s">
        <v>266</v>
      </c>
    </row>
    <row r="4841" spans="1:4" x14ac:dyDescent="0.25">
      <c r="A4841" s="42">
        <v>337233.16</v>
      </c>
      <c r="B4841" s="39" t="s">
        <v>6399</v>
      </c>
      <c r="C4841" s="40">
        <v>5</v>
      </c>
      <c r="D4841" s="38" t="s">
        <v>266</v>
      </c>
    </row>
    <row r="4842" spans="1:4" x14ac:dyDescent="0.25">
      <c r="A4842" s="42">
        <v>337233.23</v>
      </c>
      <c r="B4842" s="39" t="s">
        <v>6400</v>
      </c>
      <c r="C4842" s="40">
        <v>5</v>
      </c>
      <c r="D4842" s="38" t="s">
        <v>266</v>
      </c>
    </row>
    <row r="4843" spans="1:4" x14ac:dyDescent="0.25">
      <c r="A4843" s="42">
        <v>337233.26</v>
      </c>
      <c r="B4843" s="39" t="s">
        <v>6401</v>
      </c>
      <c r="C4843" s="40">
        <v>5</v>
      </c>
      <c r="D4843" s="38" t="s">
        <v>266</v>
      </c>
    </row>
    <row r="4844" spans="1:4" x14ac:dyDescent="0.25">
      <c r="A4844" s="42">
        <v>337233.33</v>
      </c>
      <c r="B4844" s="39" t="s">
        <v>6402</v>
      </c>
      <c r="C4844" s="40">
        <v>5</v>
      </c>
      <c r="D4844" s="38" t="s">
        <v>266</v>
      </c>
    </row>
    <row r="4845" spans="1:4" x14ac:dyDescent="0.25">
      <c r="A4845" s="42">
        <v>337233.36</v>
      </c>
      <c r="B4845" s="39" t="s">
        <v>6403</v>
      </c>
      <c r="C4845" s="40">
        <v>5</v>
      </c>
      <c r="D4845" s="38" t="s">
        <v>266</v>
      </c>
    </row>
    <row r="4846" spans="1:4" x14ac:dyDescent="0.25">
      <c r="A4846" s="42">
        <v>337233.43</v>
      </c>
      <c r="B4846" s="39" t="s">
        <v>6404</v>
      </c>
      <c r="C4846" s="40">
        <v>5</v>
      </c>
      <c r="D4846" s="38" t="s">
        <v>266</v>
      </c>
    </row>
    <row r="4847" spans="1:4" x14ac:dyDescent="0.25">
      <c r="A4847" s="42">
        <v>337233.46</v>
      </c>
      <c r="B4847" s="39" t="s">
        <v>6405</v>
      </c>
      <c r="C4847" s="40">
        <v>5</v>
      </c>
      <c r="D4847" s="38" t="s">
        <v>266</v>
      </c>
    </row>
    <row r="4848" spans="1:4" x14ac:dyDescent="0.25">
      <c r="A4848" s="41">
        <v>337243</v>
      </c>
      <c r="B4848" s="39" t="s">
        <v>6406</v>
      </c>
      <c r="C4848" s="40">
        <v>4</v>
      </c>
      <c r="D4848" s="38" t="s">
        <v>266</v>
      </c>
    </row>
    <row r="4849" spans="1:4" x14ac:dyDescent="0.25">
      <c r="A4849" s="41">
        <v>337300</v>
      </c>
      <c r="B4849" s="39" t="s">
        <v>6407</v>
      </c>
      <c r="C4849" s="40">
        <v>3</v>
      </c>
      <c r="D4849" s="38" t="s">
        <v>1674</v>
      </c>
    </row>
    <row r="4850" spans="1:4" x14ac:dyDescent="0.25">
      <c r="A4850" s="41">
        <v>337313</v>
      </c>
      <c r="B4850" s="39" t="s">
        <v>6408</v>
      </c>
      <c r="C4850" s="40">
        <v>4</v>
      </c>
      <c r="D4850" s="38" t="s">
        <v>266</v>
      </c>
    </row>
    <row r="4851" spans="1:4" x14ac:dyDescent="0.25">
      <c r="A4851" s="41">
        <v>337323</v>
      </c>
      <c r="B4851" s="39" t="s">
        <v>6409</v>
      </c>
      <c r="C4851" s="40">
        <v>4</v>
      </c>
      <c r="D4851" s="38" t="s">
        <v>266</v>
      </c>
    </row>
    <row r="4852" spans="1:4" x14ac:dyDescent="0.25">
      <c r="A4852" s="41">
        <v>337500</v>
      </c>
      <c r="B4852" s="39" t="s">
        <v>6410</v>
      </c>
      <c r="C4852" s="40">
        <v>3</v>
      </c>
      <c r="D4852" s="38" t="s">
        <v>266</v>
      </c>
    </row>
    <row r="4853" spans="1:4" x14ac:dyDescent="0.25">
      <c r="A4853" s="41">
        <v>337513</v>
      </c>
      <c r="B4853" s="39" t="s">
        <v>6411</v>
      </c>
      <c r="C4853" s="40">
        <v>4</v>
      </c>
      <c r="D4853" s="38" t="s">
        <v>266</v>
      </c>
    </row>
    <row r="4854" spans="1:4" x14ac:dyDescent="0.25">
      <c r="A4854" s="41">
        <v>337516</v>
      </c>
      <c r="B4854" s="39" t="s">
        <v>6412</v>
      </c>
      <c r="C4854" s="40">
        <v>4</v>
      </c>
      <c r="D4854" s="38" t="s">
        <v>266</v>
      </c>
    </row>
    <row r="4855" spans="1:4" x14ac:dyDescent="0.25">
      <c r="A4855" s="41">
        <v>337519</v>
      </c>
      <c r="B4855" s="39" t="s">
        <v>6413</v>
      </c>
      <c r="C4855" s="40">
        <v>4</v>
      </c>
      <c r="D4855" s="38" t="s">
        <v>266</v>
      </c>
    </row>
    <row r="4856" spans="1:4" x14ac:dyDescent="0.25">
      <c r="A4856" s="41">
        <v>337523</v>
      </c>
      <c r="B4856" s="39" t="s">
        <v>6414</v>
      </c>
      <c r="C4856" s="40">
        <v>4</v>
      </c>
      <c r="D4856" s="38" t="s">
        <v>266</v>
      </c>
    </row>
    <row r="4857" spans="1:4" x14ac:dyDescent="0.25">
      <c r="A4857" s="41">
        <v>337536</v>
      </c>
      <c r="B4857" s="39" t="s">
        <v>6415</v>
      </c>
      <c r="C4857" s="40">
        <v>4</v>
      </c>
      <c r="D4857" s="38" t="s">
        <v>266</v>
      </c>
    </row>
    <row r="4858" spans="1:4" x14ac:dyDescent="0.25">
      <c r="A4858" s="41">
        <v>337539</v>
      </c>
      <c r="B4858" s="39" t="s">
        <v>6416</v>
      </c>
      <c r="C4858" s="40">
        <v>4</v>
      </c>
      <c r="D4858" s="38" t="s">
        <v>266</v>
      </c>
    </row>
    <row r="4859" spans="1:4" x14ac:dyDescent="0.25">
      <c r="A4859" s="41">
        <v>337543</v>
      </c>
      <c r="B4859" s="39" t="s">
        <v>6417</v>
      </c>
      <c r="C4859" s="40">
        <v>4</v>
      </c>
      <c r="D4859" s="38" t="s">
        <v>266</v>
      </c>
    </row>
    <row r="4860" spans="1:4" x14ac:dyDescent="0.25">
      <c r="A4860" s="41">
        <v>337700</v>
      </c>
      <c r="B4860" s="39" t="s">
        <v>6418</v>
      </c>
      <c r="C4860" s="40">
        <v>3</v>
      </c>
      <c r="D4860" s="38" t="s">
        <v>266</v>
      </c>
    </row>
    <row r="4861" spans="1:4" x14ac:dyDescent="0.25">
      <c r="A4861" s="41">
        <v>337713</v>
      </c>
      <c r="B4861" s="39" t="s">
        <v>6419</v>
      </c>
      <c r="C4861" s="40">
        <v>4</v>
      </c>
      <c r="D4861" s="38" t="s">
        <v>266</v>
      </c>
    </row>
    <row r="4862" spans="1:4" x14ac:dyDescent="0.25">
      <c r="A4862" s="41">
        <v>337716</v>
      </c>
      <c r="B4862" s="39" t="s">
        <v>6420</v>
      </c>
      <c r="C4862" s="40">
        <v>4</v>
      </c>
      <c r="D4862" s="38" t="s">
        <v>266</v>
      </c>
    </row>
    <row r="4863" spans="1:4" x14ac:dyDescent="0.25">
      <c r="A4863" s="41">
        <v>337719</v>
      </c>
      <c r="B4863" s="39" t="s">
        <v>6421</v>
      </c>
      <c r="C4863" s="40">
        <v>4</v>
      </c>
      <c r="D4863" s="38" t="s">
        <v>266</v>
      </c>
    </row>
    <row r="4864" spans="1:4" x14ac:dyDescent="0.25">
      <c r="A4864" s="41">
        <v>337723</v>
      </c>
      <c r="B4864" s="39" t="s">
        <v>6422</v>
      </c>
      <c r="C4864" s="40">
        <v>4</v>
      </c>
      <c r="D4864" s="38" t="s">
        <v>266</v>
      </c>
    </row>
    <row r="4865" spans="1:4" x14ac:dyDescent="0.25">
      <c r="A4865" s="41">
        <v>337726</v>
      </c>
      <c r="B4865" s="39" t="s">
        <v>6423</v>
      </c>
      <c r="C4865" s="40">
        <v>4</v>
      </c>
      <c r="D4865" s="38" t="s">
        <v>266</v>
      </c>
    </row>
    <row r="4866" spans="1:4" x14ac:dyDescent="0.25">
      <c r="A4866" s="41">
        <v>337733</v>
      </c>
      <c r="B4866" s="39" t="s">
        <v>6424</v>
      </c>
      <c r="C4866" s="40">
        <v>4</v>
      </c>
      <c r="D4866" s="38" t="s">
        <v>266</v>
      </c>
    </row>
    <row r="4867" spans="1:4" x14ac:dyDescent="0.25">
      <c r="A4867" s="41">
        <v>337736</v>
      </c>
      <c r="B4867" s="39" t="s">
        <v>6425</v>
      </c>
      <c r="C4867" s="40">
        <v>4</v>
      </c>
      <c r="D4867" s="38" t="s">
        <v>266</v>
      </c>
    </row>
    <row r="4868" spans="1:4" x14ac:dyDescent="0.25">
      <c r="A4868" s="41">
        <v>337739</v>
      </c>
      <c r="B4868" s="39" t="s">
        <v>6426</v>
      </c>
      <c r="C4868" s="40">
        <v>4</v>
      </c>
      <c r="D4868" s="38" t="s">
        <v>266</v>
      </c>
    </row>
    <row r="4869" spans="1:4" x14ac:dyDescent="0.25">
      <c r="A4869" s="41">
        <v>337753</v>
      </c>
      <c r="B4869" s="39" t="s">
        <v>6427</v>
      </c>
      <c r="C4869" s="40">
        <v>4</v>
      </c>
      <c r="D4869" s="38" t="s">
        <v>266</v>
      </c>
    </row>
    <row r="4870" spans="1:4" x14ac:dyDescent="0.25">
      <c r="A4870" s="41">
        <v>337900</v>
      </c>
      <c r="B4870" s="39" t="s">
        <v>1679</v>
      </c>
      <c r="C4870" s="40">
        <v>3</v>
      </c>
      <c r="D4870" s="39" t="s">
        <v>1678</v>
      </c>
    </row>
    <row r="4871" spans="1:4" x14ac:dyDescent="0.25">
      <c r="A4871" s="41">
        <v>337913</v>
      </c>
      <c r="B4871" s="39" t="s">
        <v>6428</v>
      </c>
      <c r="C4871" s="40">
        <v>4</v>
      </c>
      <c r="D4871" s="38" t="s">
        <v>266</v>
      </c>
    </row>
    <row r="4872" spans="1:4" x14ac:dyDescent="0.25">
      <c r="A4872" s="42">
        <v>337913.13</v>
      </c>
      <c r="B4872" s="39" t="s">
        <v>6429</v>
      </c>
      <c r="C4872" s="40">
        <v>5</v>
      </c>
      <c r="D4872" s="38" t="s">
        <v>266</v>
      </c>
    </row>
    <row r="4873" spans="1:4" x14ac:dyDescent="0.25">
      <c r="A4873" s="41">
        <v>337916</v>
      </c>
      <c r="B4873" s="39" t="s">
        <v>6430</v>
      </c>
      <c r="C4873" s="40">
        <v>4</v>
      </c>
      <c r="D4873" s="38" t="s">
        <v>266</v>
      </c>
    </row>
    <row r="4874" spans="1:4" x14ac:dyDescent="0.25">
      <c r="A4874" s="42">
        <v>337916.13</v>
      </c>
      <c r="B4874" s="39" t="s">
        <v>6431</v>
      </c>
      <c r="C4874" s="40">
        <v>5</v>
      </c>
      <c r="D4874" s="38" t="s">
        <v>266</v>
      </c>
    </row>
    <row r="4875" spans="1:4" x14ac:dyDescent="0.25">
      <c r="A4875" s="42">
        <v>337916.15999999997</v>
      </c>
      <c r="B4875" s="39" t="s">
        <v>6432</v>
      </c>
      <c r="C4875" s="40">
        <v>5</v>
      </c>
      <c r="D4875" s="38" t="s">
        <v>266</v>
      </c>
    </row>
    <row r="4876" spans="1:4" x14ac:dyDescent="0.25">
      <c r="A4876" s="41">
        <v>337919</v>
      </c>
      <c r="B4876" s="39" t="s">
        <v>6433</v>
      </c>
      <c r="C4876" s="40">
        <v>4</v>
      </c>
      <c r="D4876" s="38" t="s">
        <v>266</v>
      </c>
    </row>
    <row r="4877" spans="1:4" x14ac:dyDescent="0.25">
      <c r="A4877" s="42">
        <v>337919.13</v>
      </c>
      <c r="B4877" s="39" t="s">
        <v>6434</v>
      </c>
      <c r="C4877" s="40">
        <v>5</v>
      </c>
      <c r="D4877" s="38" t="s">
        <v>266</v>
      </c>
    </row>
    <row r="4878" spans="1:4" x14ac:dyDescent="0.25">
      <c r="A4878" s="42">
        <v>337919.16</v>
      </c>
      <c r="B4878" s="39" t="s">
        <v>6435</v>
      </c>
      <c r="C4878" s="40">
        <v>5</v>
      </c>
      <c r="D4878" s="38" t="s">
        <v>266</v>
      </c>
    </row>
    <row r="4879" spans="1:4" x14ac:dyDescent="0.25">
      <c r="A4879" s="41">
        <v>337923</v>
      </c>
      <c r="B4879" s="39" t="s">
        <v>6436</v>
      </c>
      <c r="C4879" s="40">
        <v>4</v>
      </c>
      <c r="D4879" s="38" t="s">
        <v>266</v>
      </c>
    </row>
    <row r="4880" spans="1:4" x14ac:dyDescent="0.25">
      <c r="A4880" s="41">
        <v>337983</v>
      </c>
      <c r="B4880" s="39" t="s">
        <v>6437</v>
      </c>
      <c r="C4880" s="40">
        <v>4</v>
      </c>
      <c r="D4880" s="38" t="s">
        <v>266</v>
      </c>
    </row>
    <row r="4881" spans="1:4" x14ac:dyDescent="0.25">
      <c r="A4881" s="42">
        <v>337983.13</v>
      </c>
      <c r="B4881" s="39" t="s">
        <v>6438</v>
      </c>
      <c r="C4881" s="40">
        <v>5</v>
      </c>
      <c r="D4881" s="38" t="s">
        <v>266</v>
      </c>
    </row>
    <row r="4882" spans="1:4" x14ac:dyDescent="0.25">
      <c r="A4882" s="42">
        <v>337983.16</v>
      </c>
      <c r="B4882" s="39" t="s">
        <v>6439</v>
      </c>
      <c r="C4882" s="40">
        <v>5</v>
      </c>
      <c r="D4882" s="38" t="s">
        <v>266</v>
      </c>
    </row>
    <row r="4883" spans="1:4" x14ac:dyDescent="0.25">
      <c r="A4883" s="42">
        <v>337983.23</v>
      </c>
      <c r="B4883" s="39" t="s">
        <v>6440</v>
      </c>
      <c r="C4883" s="40">
        <v>5</v>
      </c>
      <c r="D4883" s="38" t="s">
        <v>266</v>
      </c>
    </row>
    <row r="4884" spans="1:4" x14ac:dyDescent="0.25">
      <c r="A4884" s="42">
        <v>337983.33</v>
      </c>
      <c r="B4884" s="39" t="s">
        <v>6441</v>
      </c>
      <c r="C4884" s="40">
        <v>5</v>
      </c>
      <c r="D4884" s="38" t="s">
        <v>266</v>
      </c>
    </row>
    <row r="4885" spans="1:4" x14ac:dyDescent="0.25">
      <c r="A4885" s="42">
        <v>337983.43</v>
      </c>
      <c r="B4885" s="39" t="s">
        <v>6442</v>
      </c>
      <c r="C4885" s="40">
        <v>5</v>
      </c>
      <c r="D4885" s="38" t="s">
        <v>266</v>
      </c>
    </row>
    <row r="4886" spans="1:4" x14ac:dyDescent="0.25">
      <c r="A4886" s="41">
        <v>337993</v>
      </c>
      <c r="B4886" s="39" t="s">
        <v>6443</v>
      </c>
      <c r="C4886" s="40">
        <v>4</v>
      </c>
      <c r="D4886" s="38" t="s">
        <v>266</v>
      </c>
    </row>
    <row r="4887" spans="1:4" x14ac:dyDescent="0.25">
      <c r="A4887" s="42">
        <v>337993.13</v>
      </c>
      <c r="B4887" s="39" t="s">
        <v>6444</v>
      </c>
      <c r="C4887" s="40">
        <v>5</v>
      </c>
      <c r="D4887" s="38" t="s">
        <v>266</v>
      </c>
    </row>
    <row r="4888" spans="1:4" x14ac:dyDescent="0.25">
      <c r="A4888" s="42">
        <v>337993.16</v>
      </c>
      <c r="B4888" s="39" t="s">
        <v>6445</v>
      </c>
      <c r="C4888" s="40">
        <v>5</v>
      </c>
      <c r="D4888" s="38" t="s">
        <v>266</v>
      </c>
    </row>
    <row r="4889" spans="1:4" x14ac:dyDescent="0.25">
      <c r="A4889" s="41">
        <v>338000</v>
      </c>
      <c r="B4889" s="39" t="s">
        <v>6446</v>
      </c>
      <c r="C4889" s="40">
        <v>3</v>
      </c>
      <c r="D4889" s="38" t="s">
        <v>1694</v>
      </c>
    </row>
    <row r="4890" spans="1:4" x14ac:dyDescent="0.25">
      <c r="A4890" s="41">
        <v>338100</v>
      </c>
      <c r="B4890" s="39" t="s">
        <v>6447</v>
      </c>
      <c r="C4890" s="40">
        <v>3</v>
      </c>
      <c r="D4890" s="38" t="s">
        <v>266</v>
      </c>
    </row>
    <row r="4891" spans="1:4" x14ac:dyDescent="0.25">
      <c r="A4891" s="41">
        <v>338113</v>
      </c>
      <c r="B4891" s="39" t="s">
        <v>6448</v>
      </c>
      <c r="C4891" s="40">
        <v>4</v>
      </c>
      <c r="D4891" s="38" t="s">
        <v>266</v>
      </c>
    </row>
    <row r="4892" spans="1:4" x14ac:dyDescent="0.25">
      <c r="A4892" s="41">
        <v>338116</v>
      </c>
      <c r="B4892" s="39" t="s">
        <v>6449</v>
      </c>
      <c r="C4892" s="40">
        <v>4</v>
      </c>
      <c r="D4892" s="38" t="s">
        <v>266</v>
      </c>
    </row>
    <row r="4893" spans="1:4" x14ac:dyDescent="0.25">
      <c r="A4893" s="41">
        <v>338119</v>
      </c>
      <c r="B4893" s="39" t="s">
        <v>6450</v>
      </c>
      <c r="C4893" s="40">
        <v>4</v>
      </c>
      <c r="D4893" s="38" t="s">
        <v>266</v>
      </c>
    </row>
    <row r="4894" spans="1:4" x14ac:dyDescent="0.25">
      <c r="A4894" s="41">
        <v>338123</v>
      </c>
      <c r="B4894" s="39" t="s">
        <v>6451</v>
      </c>
      <c r="C4894" s="40">
        <v>4</v>
      </c>
      <c r="D4894" s="38" t="s">
        <v>266</v>
      </c>
    </row>
    <row r="4895" spans="1:4" x14ac:dyDescent="0.25">
      <c r="A4895" s="41">
        <v>338126</v>
      </c>
      <c r="B4895" s="39" t="s">
        <v>6452</v>
      </c>
      <c r="C4895" s="40">
        <v>4</v>
      </c>
      <c r="D4895" s="38" t="s">
        <v>266</v>
      </c>
    </row>
    <row r="4896" spans="1:4" x14ac:dyDescent="0.25">
      <c r="A4896" s="41">
        <v>338129</v>
      </c>
      <c r="B4896" s="39" t="s">
        <v>6453</v>
      </c>
      <c r="C4896" s="40">
        <v>4</v>
      </c>
      <c r="D4896" s="38" t="s">
        <v>266</v>
      </c>
    </row>
    <row r="4897" spans="1:4" x14ac:dyDescent="0.25">
      <c r="A4897" s="41">
        <v>338133</v>
      </c>
      <c r="B4897" s="39" t="s">
        <v>6454</v>
      </c>
      <c r="C4897" s="40">
        <v>4</v>
      </c>
      <c r="D4897" s="38" t="s">
        <v>266</v>
      </c>
    </row>
    <row r="4898" spans="1:4" x14ac:dyDescent="0.25">
      <c r="A4898" s="41">
        <v>338200</v>
      </c>
      <c r="B4898" s="39" t="s">
        <v>6455</v>
      </c>
      <c r="C4898" s="40">
        <v>3</v>
      </c>
      <c r="D4898" s="38" t="s">
        <v>266</v>
      </c>
    </row>
    <row r="4899" spans="1:4" x14ac:dyDescent="0.25">
      <c r="A4899" s="41">
        <v>338213</v>
      </c>
      <c r="B4899" s="39" t="s">
        <v>6456</v>
      </c>
      <c r="C4899" s="40">
        <v>4</v>
      </c>
      <c r="D4899" s="38" t="s">
        <v>266</v>
      </c>
    </row>
    <row r="4900" spans="1:4" x14ac:dyDescent="0.25">
      <c r="A4900" s="42">
        <v>338213.13</v>
      </c>
      <c r="B4900" s="39" t="s">
        <v>6457</v>
      </c>
      <c r="C4900" s="40">
        <v>5</v>
      </c>
      <c r="D4900" s="38" t="s">
        <v>266</v>
      </c>
    </row>
    <row r="4901" spans="1:4" x14ac:dyDescent="0.25">
      <c r="A4901" s="41">
        <v>338223</v>
      </c>
      <c r="B4901" s="39" t="s">
        <v>6458</v>
      </c>
      <c r="C4901" s="40">
        <v>4</v>
      </c>
      <c r="D4901" s="38" t="s">
        <v>266</v>
      </c>
    </row>
    <row r="4902" spans="1:4" x14ac:dyDescent="0.25">
      <c r="A4902" s="42">
        <v>338223.13</v>
      </c>
      <c r="B4902" s="39" t="s">
        <v>6459</v>
      </c>
      <c r="C4902" s="40">
        <v>5</v>
      </c>
      <c r="D4902" s="38" t="s">
        <v>266</v>
      </c>
    </row>
    <row r="4903" spans="1:4" x14ac:dyDescent="0.25">
      <c r="A4903" s="41">
        <v>338233</v>
      </c>
      <c r="B4903" s="39" t="s">
        <v>6460</v>
      </c>
      <c r="C4903" s="40">
        <v>4</v>
      </c>
      <c r="D4903" s="38" t="s">
        <v>266</v>
      </c>
    </row>
    <row r="4904" spans="1:4" x14ac:dyDescent="0.25">
      <c r="A4904" s="42">
        <v>338233.13</v>
      </c>
      <c r="B4904" s="39" t="s">
        <v>6461</v>
      </c>
      <c r="C4904" s="40">
        <v>5</v>
      </c>
      <c r="D4904" s="38" t="s">
        <v>266</v>
      </c>
    </row>
    <row r="4905" spans="1:4" x14ac:dyDescent="0.25">
      <c r="A4905" s="41">
        <v>338243</v>
      </c>
      <c r="B4905" s="39" t="s">
        <v>6462</v>
      </c>
      <c r="C4905" s="40">
        <v>4</v>
      </c>
      <c r="D4905" s="38" t="s">
        <v>266</v>
      </c>
    </row>
    <row r="4906" spans="1:4" x14ac:dyDescent="0.25">
      <c r="A4906" s="41">
        <v>338246</v>
      </c>
      <c r="B4906" s="39" t="s">
        <v>6463</v>
      </c>
      <c r="C4906" s="40">
        <v>4</v>
      </c>
      <c r="D4906" s="38" t="s">
        <v>266</v>
      </c>
    </row>
    <row r="4907" spans="1:4" x14ac:dyDescent="0.25">
      <c r="A4907" s="41">
        <v>338253</v>
      </c>
      <c r="B4907" s="39" t="s">
        <v>6464</v>
      </c>
      <c r="C4907" s="40">
        <v>4</v>
      </c>
      <c r="D4907" s="38" t="s">
        <v>266</v>
      </c>
    </row>
    <row r="4908" spans="1:4" x14ac:dyDescent="0.25">
      <c r="A4908" s="41">
        <v>338300</v>
      </c>
      <c r="B4908" s="39" t="s">
        <v>1701</v>
      </c>
      <c r="C4908" s="40">
        <v>3</v>
      </c>
      <c r="D4908" s="39" t="s">
        <v>1700</v>
      </c>
    </row>
    <row r="4909" spans="1:4" x14ac:dyDescent="0.25">
      <c r="A4909" s="41">
        <v>338313</v>
      </c>
      <c r="B4909" s="39" t="s">
        <v>6465</v>
      </c>
      <c r="C4909" s="40">
        <v>4</v>
      </c>
      <c r="D4909" s="38" t="s">
        <v>266</v>
      </c>
    </row>
    <row r="4910" spans="1:4" x14ac:dyDescent="0.25">
      <c r="A4910" s="41">
        <v>338316</v>
      </c>
      <c r="B4910" s="39" t="s">
        <v>6466</v>
      </c>
      <c r="C4910" s="40">
        <v>4</v>
      </c>
      <c r="D4910" s="38" t="s">
        <v>266</v>
      </c>
    </row>
    <row r="4911" spans="1:4" x14ac:dyDescent="0.25">
      <c r="A4911" s="41">
        <v>338319</v>
      </c>
      <c r="B4911" s="39" t="s">
        <v>6467</v>
      </c>
      <c r="C4911" s="40">
        <v>4</v>
      </c>
      <c r="D4911" s="38" t="s">
        <v>266</v>
      </c>
    </row>
    <row r="4912" spans="1:4" x14ac:dyDescent="0.25">
      <c r="A4912" s="41">
        <v>338323</v>
      </c>
      <c r="B4912" s="39" t="s">
        <v>6468</v>
      </c>
      <c r="C4912" s="40">
        <v>4</v>
      </c>
      <c r="D4912" s="38" t="s">
        <v>266</v>
      </c>
    </row>
    <row r="4913" spans="1:4" x14ac:dyDescent="0.25">
      <c r="A4913" s="41">
        <v>340000</v>
      </c>
      <c r="B4913" s="39" t="s">
        <v>6469</v>
      </c>
      <c r="C4913" s="40">
        <v>2</v>
      </c>
      <c r="D4913" s="38" t="s">
        <v>266</v>
      </c>
    </row>
    <row r="4914" spans="1:4" x14ac:dyDescent="0.25">
      <c r="A4914" s="41">
        <v>340100</v>
      </c>
      <c r="B4914" s="39" t="s">
        <v>6470</v>
      </c>
      <c r="C4914" s="40">
        <v>3</v>
      </c>
      <c r="D4914" s="38" t="s">
        <v>266</v>
      </c>
    </row>
    <row r="4915" spans="1:4" x14ac:dyDescent="0.25">
      <c r="A4915" s="41">
        <v>340113</v>
      </c>
      <c r="B4915" s="39" t="s">
        <v>6471</v>
      </c>
      <c r="C4915" s="40">
        <v>4</v>
      </c>
      <c r="D4915" s="38" t="s">
        <v>266</v>
      </c>
    </row>
    <row r="4916" spans="1:4" x14ac:dyDescent="0.25">
      <c r="A4916" s="41">
        <v>340123</v>
      </c>
      <c r="B4916" s="39" t="s">
        <v>6472</v>
      </c>
      <c r="C4916" s="40">
        <v>4</v>
      </c>
      <c r="D4916" s="38" t="s">
        <v>266</v>
      </c>
    </row>
    <row r="4917" spans="1:4" x14ac:dyDescent="0.25">
      <c r="A4917" s="42">
        <v>340123.13</v>
      </c>
      <c r="B4917" s="39" t="s">
        <v>6473</v>
      </c>
      <c r="C4917" s="40">
        <v>5</v>
      </c>
      <c r="D4917" s="38" t="s">
        <v>266</v>
      </c>
    </row>
    <row r="4918" spans="1:4" x14ac:dyDescent="0.25">
      <c r="A4918" s="42">
        <v>340123.81</v>
      </c>
      <c r="B4918" s="39" t="s">
        <v>6474</v>
      </c>
      <c r="C4918" s="40">
        <v>5</v>
      </c>
      <c r="D4918" s="38" t="s">
        <v>266</v>
      </c>
    </row>
    <row r="4919" spans="1:4" x14ac:dyDescent="0.25">
      <c r="A4919" s="41">
        <v>340133</v>
      </c>
      <c r="B4919" s="39" t="s">
        <v>6475</v>
      </c>
      <c r="C4919" s="40">
        <v>4</v>
      </c>
      <c r="D4919" s="38" t="s">
        <v>266</v>
      </c>
    </row>
    <row r="4920" spans="1:4" x14ac:dyDescent="0.25">
      <c r="A4920" s="41">
        <v>340143</v>
      </c>
      <c r="B4920" s="39" t="s">
        <v>6476</v>
      </c>
      <c r="C4920" s="40">
        <v>4</v>
      </c>
      <c r="D4920" s="38" t="s">
        <v>266</v>
      </c>
    </row>
    <row r="4921" spans="1:4" x14ac:dyDescent="0.25">
      <c r="A4921" s="41">
        <v>340500</v>
      </c>
      <c r="B4921" s="39" t="s">
        <v>6477</v>
      </c>
      <c r="C4921" s="40">
        <v>3</v>
      </c>
      <c r="D4921" s="38" t="s">
        <v>266</v>
      </c>
    </row>
    <row r="4922" spans="1:4" x14ac:dyDescent="0.25">
      <c r="A4922" s="41">
        <v>340513</v>
      </c>
      <c r="B4922" s="39" t="s">
        <v>6478</v>
      </c>
      <c r="C4922" s="40">
        <v>4</v>
      </c>
      <c r="D4922" s="38" t="s">
        <v>266</v>
      </c>
    </row>
    <row r="4923" spans="1:4" x14ac:dyDescent="0.25">
      <c r="A4923" s="41">
        <v>340523</v>
      </c>
      <c r="B4923" s="39" t="s">
        <v>6479</v>
      </c>
      <c r="C4923" s="40">
        <v>4</v>
      </c>
      <c r="D4923" s="38" t="s">
        <v>266</v>
      </c>
    </row>
    <row r="4924" spans="1:4" x14ac:dyDescent="0.25">
      <c r="A4924" s="41">
        <v>340533</v>
      </c>
      <c r="B4924" s="39" t="s">
        <v>6480</v>
      </c>
      <c r="C4924" s="40">
        <v>4</v>
      </c>
      <c r="D4924" s="38" t="s">
        <v>266</v>
      </c>
    </row>
    <row r="4925" spans="1:4" x14ac:dyDescent="0.25">
      <c r="A4925" s="41">
        <v>340543</v>
      </c>
      <c r="B4925" s="39" t="s">
        <v>6481</v>
      </c>
      <c r="C4925" s="40">
        <v>4</v>
      </c>
      <c r="D4925" s="38" t="s">
        <v>266</v>
      </c>
    </row>
    <row r="4926" spans="1:4" x14ac:dyDescent="0.25">
      <c r="A4926" s="41">
        <v>340800</v>
      </c>
      <c r="B4926" s="39" t="s">
        <v>6482</v>
      </c>
      <c r="C4926" s="40">
        <v>3</v>
      </c>
      <c r="D4926" s="38" t="s">
        <v>266</v>
      </c>
    </row>
    <row r="4927" spans="1:4" x14ac:dyDescent="0.25">
      <c r="A4927" s="41">
        <v>340813</v>
      </c>
      <c r="B4927" s="39" t="s">
        <v>6483</v>
      </c>
      <c r="C4927" s="40">
        <v>4</v>
      </c>
      <c r="D4927" s="38" t="s">
        <v>266</v>
      </c>
    </row>
    <row r="4928" spans="1:4" x14ac:dyDescent="0.25">
      <c r="A4928" s="41">
        <v>340823</v>
      </c>
      <c r="B4928" s="39" t="s">
        <v>6484</v>
      </c>
      <c r="C4928" s="40">
        <v>4</v>
      </c>
      <c r="D4928" s="38" t="s">
        <v>266</v>
      </c>
    </row>
    <row r="4929" spans="1:4" x14ac:dyDescent="0.25">
      <c r="A4929" s="41">
        <v>340833</v>
      </c>
      <c r="B4929" s="39" t="s">
        <v>6485</v>
      </c>
      <c r="C4929" s="40">
        <v>4</v>
      </c>
      <c r="D4929" s="38" t="s">
        <v>266</v>
      </c>
    </row>
    <row r="4930" spans="1:4" x14ac:dyDescent="0.25">
      <c r="A4930" s="41">
        <v>340843</v>
      </c>
      <c r="B4930" s="39" t="s">
        <v>6486</v>
      </c>
      <c r="C4930" s="40">
        <v>4</v>
      </c>
      <c r="D4930" s="38" t="s">
        <v>266</v>
      </c>
    </row>
    <row r="4931" spans="1:4" x14ac:dyDescent="0.25">
      <c r="A4931" s="41">
        <v>341000</v>
      </c>
      <c r="B4931" s="39" t="s">
        <v>6487</v>
      </c>
      <c r="C4931" s="40">
        <v>3</v>
      </c>
      <c r="D4931" s="38" t="s">
        <v>266</v>
      </c>
    </row>
    <row r="4932" spans="1:4" x14ac:dyDescent="0.25">
      <c r="A4932" s="41">
        <v>341100</v>
      </c>
      <c r="B4932" s="39" t="s">
        <v>6488</v>
      </c>
      <c r="C4932" s="40">
        <v>3</v>
      </c>
      <c r="D4932" s="38" t="s">
        <v>266</v>
      </c>
    </row>
    <row r="4933" spans="1:4" x14ac:dyDescent="0.25">
      <c r="A4933" s="41">
        <v>341113</v>
      </c>
      <c r="B4933" s="39" t="s">
        <v>6489</v>
      </c>
      <c r="C4933" s="40">
        <v>4</v>
      </c>
      <c r="D4933" s="38" t="s">
        <v>266</v>
      </c>
    </row>
    <row r="4934" spans="1:4" x14ac:dyDescent="0.25">
      <c r="A4934" s="42">
        <v>341113.13</v>
      </c>
      <c r="B4934" s="39" t="s">
        <v>6490</v>
      </c>
      <c r="C4934" s="40">
        <v>5</v>
      </c>
      <c r="D4934" s="38" t="s">
        <v>266</v>
      </c>
    </row>
    <row r="4935" spans="1:4" x14ac:dyDescent="0.25">
      <c r="A4935" s="42">
        <v>341113.23</v>
      </c>
      <c r="B4935" s="39" t="s">
        <v>6491</v>
      </c>
      <c r="C4935" s="40">
        <v>5</v>
      </c>
      <c r="D4935" s="38" t="s">
        <v>266</v>
      </c>
    </row>
    <row r="4936" spans="1:4" x14ac:dyDescent="0.25">
      <c r="A4936" s="41">
        <v>341116</v>
      </c>
      <c r="B4936" s="39" t="s">
        <v>6492</v>
      </c>
      <c r="C4936" s="40">
        <v>4</v>
      </c>
      <c r="D4936" s="38" t="s">
        <v>266</v>
      </c>
    </row>
    <row r="4937" spans="1:4" x14ac:dyDescent="0.25">
      <c r="A4937" s="42">
        <v>341116.13</v>
      </c>
      <c r="B4937" s="39" t="s">
        <v>6493</v>
      </c>
      <c r="C4937" s="40">
        <v>5</v>
      </c>
      <c r="D4937" s="38" t="s">
        <v>266</v>
      </c>
    </row>
    <row r="4938" spans="1:4" x14ac:dyDescent="0.25">
      <c r="A4938" s="42">
        <v>341116.15999999997</v>
      </c>
      <c r="B4938" s="39" t="s">
        <v>6494</v>
      </c>
      <c r="C4938" s="40">
        <v>5</v>
      </c>
      <c r="D4938" s="38" t="s">
        <v>266</v>
      </c>
    </row>
    <row r="4939" spans="1:4" x14ac:dyDescent="0.25">
      <c r="A4939" s="42">
        <v>341116.19</v>
      </c>
      <c r="B4939" s="39" t="s">
        <v>6495</v>
      </c>
      <c r="C4939" s="40">
        <v>5</v>
      </c>
      <c r="D4939" s="38" t="s">
        <v>266</v>
      </c>
    </row>
    <row r="4940" spans="1:4" x14ac:dyDescent="0.25">
      <c r="A4940" s="41">
        <v>341119</v>
      </c>
      <c r="B4940" s="39" t="s">
        <v>6496</v>
      </c>
      <c r="C4940" s="40">
        <v>4</v>
      </c>
      <c r="D4940" s="38" t="s">
        <v>266</v>
      </c>
    </row>
    <row r="4941" spans="1:4" x14ac:dyDescent="0.25">
      <c r="A4941" s="41">
        <v>341123</v>
      </c>
      <c r="B4941" s="39" t="s">
        <v>6497</v>
      </c>
      <c r="C4941" s="40">
        <v>4</v>
      </c>
      <c r="D4941" s="38" t="s">
        <v>266</v>
      </c>
    </row>
    <row r="4942" spans="1:4" x14ac:dyDescent="0.25">
      <c r="A4942" s="42">
        <v>341123.13</v>
      </c>
      <c r="B4942" s="39" t="s">
        <v>6498</v>
      </c>
      <c r="C4942" s="40">
        <v>5</v>
      </c>
      <c r="D4942" s="38" t="s">
        <v>266</v>
      </c>
    </row>
    <row r="4943" spans="1:4" x14ac:dyDescent="0.25">
      <c r="A4943" s="42">
        <v>341123.16</v>
      </c>
      <c r="B4943" s="39" t="s">
        <v>6499</v>
      </c>
      <c r="C4943" s="40">
        <v>5</v>
      </c>
      <c r="D4943" s="38" t="s">
        <v>266</v>
      </c>
    </row>
    <row r="4944" spans="1:4" x14ac:dyDescent="0.25">
      <c r="A4944" s="42">
        <v>341123.23</v>
      </c>
      <c r="B4944" s="39" t="s">
        <v>6500</v>
      </c>
      <c r="C4944" s="40">
        <v>5</v>
      </c>
      <c r="D4944" s="38" t="s">
        <v>266</v>
      </c>
    </row>
    <row r="4945" spans="1:4" x14ac:dyDescent="0.25">
      <c r="A4945" s="42">
        <v>341123.26</v>
      </c>
      <c r="B4945" s="39" t="s">
        <v>6501</v>
      </c>
      <c r="C4945" s="40">
        <v>5</v>
      </c>
      <c r="D4945" s="38" t="s">
        <v>266</v>
      </c>
    </row>
    <row r="4946" spans="1:4" x14ac:dyDescent="0.25">
      <c r="A4946" s="41">
        <v>341126</v>
      </c>
      <c r="B4946" s="39" t="s">
        <v>6502</v>
      </c>
      <c r="C4946" s="40">
        <v>4</v>
      </c>
      <c r="D4946" s="38" t="s">
        <v>266</v>
      </c>
    </row>
    <row r="4947" spans="1:4" x14ac:dyDescent="0.25">
      <c r="A4947" s="42">
        <v>341126.13</v>
      </c>
      <c r="B4947" s="39" t="s">
        <v>6503</v>
      </c>
      <c r="C4947" s="40">
        <v>5</v>
      </c>
      <c r="D4947" s="38" t="s">
        <v>266</v>
      </c>
    </row>
    <row r="4948" spans="1:4" x14ac:dyDescent="0.25">
      <c r="A4948" s="42">
        <v>341126.16</v>
      </c>
      <c r="B4948" s="39" t="s">
        <v>6504</v>
      </c>
      <c r="C4948" s="40">
        <v>5</v>
      </c>
      <c r="D4948" s="38" t="s">
        <v>266</v>
      </c>
    </row>
    <row r="4949" spans="1:4" x14ac:dyDescent="0.25">
      <c r="A4949" s="41">
        <v>341129</v>
      </c>
      <c r="B4949" s="39" t="s">
        <v>6505</v>
      </c>
      <c r="C4949" s="40">
        <v>4</v>
      </c>
      <c r="D4949" s="38" t="s">
        <v>266</v>
      </c>
    </row>
    <row r="4950" spans="1:4" x14ac:dyDescent="0.25">
      <c r="A4950" s="41">
        <v>341133</v>
      </c>
      <c r="B4950" s="39" t="s">
        <v>6506</v>
      </c>
      <c r="C4950" s="40">
        <v>4</v>
      </c>
      <c r="D4950" s="38" t="s">
        <v>266</v>
      </c>
    </row>
    <row r="4951" spans="1:4" x14ac:dyDescent="0.25">
      <c r="A4951" s="42">
        <v>341133.13</v>
      </c>
      <c r="B4951" s="39" t="s">
        <v>6507</v>
      </c>
      <c r="C4951" s="40">
        <v>5</v>
      </c>
      <c r="D4951" s="38" t="s">
        <v>266</v>
      </c>
    </row>
    <row r="4952" spans="1:4" x14ac:dyDescent="0.25">
      <c r="A4952" s="42">
        <v>341133.16</v>
      </c>
      <c r="B4952" s="39" t="s">
        <v>6508</v>
      </c>
      <c r="C4952" s="40">
        <v>5</v>
      </c>
      <c r="D4952" s="38" t="s">
        <v>266</v>
      </c>
    </row>
    <row r="4953" spans="1:4" x14ac:dyDescent="0.25">
      <c r="A4953" s="42">
        <v>341133.19</v>
      </c>
      <c r="B4953" s="39" t="s">
        <v>6509</v>
      </c>
      <c r="C4953" s="40">
        <v>5</v>
      </c>
      <c r="D4953" s="38" t="s">
        <v>266</v>
      </c>
    </row>
    <row r="4954" spans="1:4" x14ac:dyDescent="0.25">
      <c r="A4954" s="41">
        <v>341136</v>
      </c>
      <c r="B4954" s="39" t="s">
        <v>6510</v>
      </c>
      <c r="C4954" s="40">
        <v>4</v>
      </c>
      <c r="D4954" s="38" t="s">
        <v>266</v>
      </c>
    </row>
    <row r="4955" spans="1:4" x14ac:dyDescent="0.25">
      <c r="A4955" s="42">
        <v>341136.13</v>
      </c>
      <c r="B4955" s="39" t="s">
        <v>6511</v>
      </c>
      <c r="C4955" s="40">
        <v>5</v>
      </c>
      <c r="D4955" s="38" t="s">
        <v>266</v>
      </c>
    </row>
    <row r="4956" spans="1:4" x14ac:dyDescent="0.25">
      <c r="A4956" s="41">
        <v>341139</v>
      </c>
      <c r="B4956" s="39" t="s">
        <v>6512</v>
      </c>
      <c r="C4956" s="40">
        <v>4</v>
      </c>
      <c r="D4956" s="38" t="s">
        <v>266</v>
      </c>
    </row>
    <row r="4957" spans="1:4" x14ac:dyDescent="0.25">
      <c r="A4957" s="42">
        <v>341139.13</v>
      </c>
      <c r="B4957" s="39" t="s">
        <v>6513</v>
      </c>
      <c r="C4957" s="40">
        <v>5</v>
      </c>
      <c r="D4957" s="38" t="s">
        <v>266</v>
      </c>
    </row>
    <row r="4958" spans="1:4" x14ac:dyDescent="0.25">
      <c r="A4958" s="41">
        <v>341193</v>
      </c>
      <c r="B4958" s="39" t="s">
        <v>6514</v>
      </c>
      <c r="C4958" s="40">
        <v>4</v>
      </c>
      <c r="D4958" s="38" t="s">
        <v>266</v>
      </c>
    </row>
    <row r="4959" spans="1:4" x14ac:dyDescent="0.25">
      <c r="A4959" s="41">
        <v>341200</v>
      </c>
      <c r="B4959" s="39" t="s">
        <v>6515</v>
      </c>
      <c r="C4959" s="40">
        <v>3</v>
      </c>
      <c r="D4959" s="38" t="s">
        <v>266</v>
      </c>
    </row>
    <row r="4960" spans="1:4" x14ac:dyDescent="0.25">
      <c r="A4960" s="41">
        <v>341213</v>
      </c>
      <c r="B4960" s="39" t="s">
        <v>6516</v>
      </c>
      <c r="C4960" s="40">
        <v>4</v>
      </c>
      <c r="D4960" s="38" t="s">
        <v>266</v>
      </c>
    </row>
    <row r="4961" spans="1:4" x14ac:dyDescent="0.25">
      <c r="A4961" s="41">
        <v>341216</v>
      </c>
      <c r="B4961" s="39" t="s">
        <v>6517</v>
      </c>
      <c r="C4961" s="40">
        <v>4</v>
      </c>
      <c r="D4961" s="38" t="s">
        <v>266</v>
      </c>
    </row>
    <row r="4962" spans="1:4" x14ac:dyDescent="0.25">
      <c r="A4962" s="41">
        <v>341219</v>
      </c>
      <c r="B4962" s="39" t="s">
        <v>6518</v>
      </c>
      <c r="C4962" s="40">
        <v>4</v>
      </c>
      <c r="D4962" s="38" t="s">
        <v>266</v>
      </c>
    </row>
    <row r="4963" spans="1:4" x14ac:dyDescent="0.25">
      <c r="A4963" s="41">
        <v>341223</v>
      </c>
      <c r="B4963" s="39" t="s">
        <v>6519</v>
      </c>
      <c r="C4963" s="40">
        <v>4</v>
      </c>
      <c r="D4963" s="38" t="s">
        <v>266</v>
      </c>
    </row>
    <row r="4964" spans="1:4" x14ac:dyDescent="0.25">
      <c r="A4964" s="41">
        <v>341263</v>
      </c>
      <c r="B4964" s="39" t="s">
        <v>6520</v>
      </c>
      <c r="C4964" s="40">
        <v>4</v>
      </c>
      <c r="D4964" s="38" t="s">
        <v>266</v>
      </c>
    </row>
    <row r="4965" spans="1:4" x14ac:dyDescent="0.25">
      <c r="A4965" s="41">
        <v>341300</v>
      </c>
      <c r="B4965" s="39" t="s">
        <v>6521</v>
      </c>
      <c r="C4965" s="40">
        <v>3</v>
      </c>
      <c r="D4965" s="38" t="s">
        <v>266</v>
      </c>
    </row>
    <row r="4966" spans="1:4" x14ac:dyDescent="0.25">
      <c r="A4966" s="41">
        <v>341313</v>
      </c>
      <c r="B4966" s="39" t="s">
        <v>6522</v>
      </c>
      <c r="C4966" s="40">
        <v>4</v>
      </c>
      <c r="D4966" s="38" t="s">
        <v>266</v>
      </c>
    </row>
    <row r="4967" spans="1:4" x14ac:dyDescent="0.25">
      <c r="A4967" s="41">
        <v>341400</v>
      </c>
      <c r="B4967" s="39" t="s">
        <v>6523</v>
      </c>
      <c r="C4967" s="40">
        <v>3</v>
      </c>
      <c r="D4967" s="38" t="s">
        <v>266</v>
      </c>
    </row>
    <row r="4968" spans="1:4" x14ac:dyDescent="0.25">
      <c r="A4968" s="41">
        <v>341413</v>
      </c>
      <c r="B4968" s="39" t="s">
        <v>6524</v>
      </c>
      <c r="C4968" s="40">
        <v>4</v>
      </c>
      <c r="D4968" s="38" t="s">
        <v>266</v>
      </c>
    </row>
    <row r="4969" spans="1:4" x14ac:dyDescent="0.25">
      <c r="A4969" s="41">
        <v>341419</v>
      </c>
      <c r="B4969" s="39" t="s">
        <v>6525</v>
      </c>
      <c r="C4969" s="40">
        <v>4</v>
      </c>
      <c r="D4969" s="38" t="s">
        <v>266</v>
      </c>
    </row>
    <row r="4970" spans="1:4" x14ac:dyDescent="0.25">
      <c r="A4970" s="41">
        <v>341426</v>
      </c>
      <c r="B4970" s="39" t="s">
        <v>6526</v>
      </c>
      <c r="C4970" s="40">
        <v>4</v>
      </c>
      <c r="D4970" s="38" t="s">
        <v>266</v>
      </c>
    </row>
    <row r="4971" spans="1:4" x14ac:dyDescent="0.25">
      <c r="A4971" s="41">
        <v>341433</v>
      </c>
      <c r="B4971" s="39" t="s">
        <v>6527</v>
      </c>
      <c r="C4971" s="40">
        <v>4</v>
      </c>
      <c r="D4971" s="38" t="s">
        <v>266</v>
      </c>
    </row>
    <row r="4972" spans="1:4" x14ac:dyDescent="0.25">
      <c r="A4972" s="41">
        <v>341439</v>
      </c>
      <c r="B4972" s="39" t="s">
        <v>6528</v>
      </c>
      <c r="C4972" s="40">
        <v>4</v>
      </c>
      <c r="D4972" s="38" t="s">
        <v>266</v>
      </c>
    </row>
    <row r="4973" spans="1:4" x14ac:dyDescent="0.25">
      <c r="A4973" s="41">
        <v>341446</v>
      </c>
      <c r="B4973" s="39" t="s">
        <v>6529</v>
      </c>
      <c r="C4973" s="40">
        <v>4</v>
      </c>
      <c r="D4973" s="38" t="s">
        <v>266</v>
      </c>
    </row>
    <row r="4974" spans="1:4" x14ac:dyDescent="0.25">
      <c r="A4974" s="41">
        <v>341453</v>
      </c>
      <c r="B4974" s="39" t="s">
        <v>6530</v>
      </c>
      <c r="C4974" s="40">
        <v>4</v>
      </c>
      <c r="D4974" s="38" t="s">
        <v>266</v>
      </c>
    </row>
    <row r="4975" spans="1:4" x14ac:dyDescent="0.25">
      <c r="A4975" s="41">
        <v>342000</v>
      </c>
      <c r="B4975" s="39" t="s">
        <v>6531</v>
      </c>
      <c r="C4975" s="40">
        <v>3</v>
      </c>
      <c r="D4975" s="38" t="s">
        <v>266</v>
      </c>
    </row>
    <row r="4976" spans="1:4" x14ac:dyDescent="0.25">
      <c r="A4976" s="41">
        <v>342100</v>
      </c>
      <c r="B4976" s="39" t="s">
        <v>6532</v>
      </c>
      <c r="C4976" s="40">
        <v>3</v>
      </c>
      <c r="D4976" s="38" t="s">
        <v>266</v>
      </c>
    </row>
    <row r="4977" spans="1:4" x14ac:dyDescent="0.25">
      <c r="A4977" s="41">
        <v>342113</v>
      </c>
      <c r="B4977" s="39" t="s">
        <v>6533</v>
      </c>
      <c r="C4977" s="40">
        <v>4</v>
      </c>
      <c r="D4977" s="38" t="s">
        <v>266</v>
      </c>
    </row>
    <row r="4978" spans="1:4" x14ac:dyDescent="0.25">
      <c r="A4978" s="41">
        <v>342116</v>
      </c>
      <c r="B4978" s="39" t="s">
        <v>6534</v>
      </c>
      <c r="C4978" s="40">
        <v>4</v>
      </c>
      <c r="D4978" s="38" t="s">
        <v>266</v>
      </c>
    </row>
    <row r="4979" spans="1:4" x14ac:dyDescent="0.25">
      <c r="A4979" s="42">
        <v>342116.13</v>
      </c>
      <c r="B4979" s="39" t="s">
        <v>6535</v>
      </c>
      <c r="C4979" s="40">
        <v>5</v>
      </c>
      <c r="D4979" s="38" t="s">
        <v>266</v>
      </c>
    </row>
    <row r="4980" spans="1:4" x14ac:dyDescent="0.25">
      <c r="A4980" s="42">
        <v>342116.16</v>
      </c>
      <c r="B4980" s="39" t="s">
        <v>6536</v>
      </c>
      <c r="C4980" s="40">
        <v>5</v>
      </c>
      <c r="D4980" s="38" t="s">
        <v>266</v>
      </c>
    </row>
    <row r="4981" spans="1:4" x14ac:dyDescent="0.25">
      <c r="A4981" s="41">
        <v>342119</v>
      </c>
      <c r="B4981" s="39" t="s">
        <v>6537</v>
      </c>
      <c r="C4981" s="40">
        <v>4</v>
      </c>
      <c r="D4981" s="38" t="s">
        <v>266</v>
      </c>
    </row>
    <row r="4982" spans="1:4" x14ac:dyDescent="0.25">
      <c r="A4982" s="42">
        <v>342119.13</v>
      </c>
      <c r="B4982" s="39" t="s">
        <v>6538</v>
      </c>
      <c r="C4982" s="40">
        <v>5</v>
      </c>
      <c r="D4982" s="38" t="s">
        <v>266</v>
      </c>
    </row>
    <row r="4983" spans="1:4" x14ac:dyDescent="0.25">
      <c r="A4983" s="42">
        <v>342119.16</v>
      </c>
      <c r="B4983" s="39" t="s">
        <v>6539</v>
      </c>
      <c r="C4983" s="40">
        <v>5</v>
      </c>
      <c r="D4983" s="38" t="s">
        <v>266</v>
      </c>
    </row>
    <row r="4984" spans="1:4" x14ac:dyDescent="0.25">
      <c r="A4984" s="42">
        <v>342119.23</v>
      </c>
      <c r="B4984" s="39" t="s">
        <v>6540</v>
      </c>
      <c r="C4984" s="40">
        <v>5</v>
      </c>
      <c r="D4984" s="38" t="s">
        <v>266</v>
      </c>
    </row>
    <row r="4985" spans="1:4" x14ac:dyDescent="0.25">
      <c r="A4985" s="41">
        <v>342123</v>
      </c>
      <c r="B4985" s="39" t="s">
        <v>6541</v>
      </c>
      <c r="C4985" s="40">
        <v>4</v>
      </c>
      <c r="D4985" s="38" t="s">
        <v>266</v>
      </c>
    </row>
    <row r="4986" spans="1:4" x14ac:dyDescent="0.25">
      <c r="A4986" s="41">
        <v>342300</v>
      </c>
      <c r="B4986" s="39" t="s">
        <v>6542</v>
      </c>
      <c r="C4986" s="40">
        <v>3</v>
      </c>
      <c r="D4986" s="38" t="s">
        <v>266</v>
      </c>
    </row>
    <row r="4987" spans="1:4" x14ac:dyDescent="0.25">
      <c r="A4987" s="41">
        <v>342313</v>
      </c>
      <c r="B4987" s="39" t="s">
        <v>6543</v>
      </c>
      <c r="C4987" s="40">
        <v>4</v>
      </c>
      <c r="D4987" s="38" t="s">
        <v>266</v>
      </c>
    </row>
    <row r="4988" spans="1:4" x14ac:dyDescent="0.25">
      <c r="A4988" s="41">
        <v>342316</v>
      </c>
      <c r="B4988" s="39" t="s">
        <v>6544</v>
      </c>
      <c r="C4988" s="40">
        <v>4</v>
      </c>
      <c r="D4988" s="38" t="s">
        <v>266</v>
      </c>
    </row>
    <row r="4989" spans="1:4" x14ac:dyDescent="0.25">
      <c r="A4989" s="41">
        <v>342323</v>
      </c>
      <c r="B4989" s="39" t="s">
        <v>6545</v>
      </c>
      <c r="C4989" s="40">
        <v>4</v>
      </c>
      <c r="D4989" s="38" t="s">
        <v>266</v>
      </c>
    </row>
    <row r="4990" spans="1:4" x14ac:dyDescent="0.25">
      <c r="A4990" s="41">
        <v>342400</v>
      </c>
      <c r="B4990" s="39" t="s">
        <v>6546</v>
      </c>
      <c r="C4990" s="40">
        <v>3</v>
      </c>
      <c r="D4990" s="38" t="s">
        <v>266</v>
      </c>
    </row>
    <row r="4991" spans="1:4" x14ac:dyDescent="0.25">
      <c r="A4991" s="41">
        <v>342413</v>
      </c>
      <c r="B4991" s="39" t="s">
        <v>6547</v>
      </c>
      <c r="C4991" s="40">
        <v>4</v>
      </c>
      <c r="D4991" s="38" t="s">
        <v>266</v>
      </c>
    </row>
    <row r="4992" spans="1:4" x14ac:dyDescent="0.25">
      <c r="A4992" s="41">
        <v>342416</v>
      </c>
      <c r="B4992" s="39" t="s">
        <v>6548</v>
      </c>
      <c r="C4992" s="40">
        <v>4</v>
      </c>
      <c r="D4992" s="38" t="s">
        <v>266</v>
      </c>
    </row>
    <row r="4993" spans="1:4" x14ac:dyDescent="0.25">
      <c r="A4993" s="41">
        <v>342419</v>
      </c>
      <c r="B4993" s="39" t="s">
        <v>6549</v>
      </c>
      <c r="C4993" s="40">
        <v>4</v>
      </c>
      <c r="D4993" s="38" t="s">
        <v>266</v>
      </c>
    </row>
    <row r="4994" spans="1:4" x14ac:dyDescent="0.25">
      <c r="A4994" s="41">
        <v>344000</v>
      </c>
      <c r="B4994" s="39" t="s">
        <v>6550</v>
      </c>
      <c r="C4994" s="40">
        <v>3</v>
      </c>
      <c r="D4994" s="38" t="s">
        <v>266</v>
      </c>
    </row>
    <row r="4995" spans="1:4" x14ac:dyDescent="0.25">
      <c r="A4995" s="41">
        <v>344100</v>
      </c>
      <c r="B4995" s="39" t="s">
        <v>6551</v>
      </c>
      <c r="C4995" s="40">
        <v>3</v>
      </c>
      <c r="D4995" s="38" t="s">
        <v>266</v>
      </c>
    </row>
    <row r="4996" spans="1:4" x14ac:dyDescent="0.25">
      <c r="A4996" s="41">
        <v>344113</v>
      </c>
      <c r="B4996" s="39" t="s">
        <v>6552</v>
      </c>
      <c r="C4996" s="40">
        <v>4</v>
      </c>
      <c r="D4996" s="38" t="s">
        <v>266</v>
      </c>
    </row>
    <row r="4997" spans="1:4" x14ac:dyDescent="0.25">
      <c r="A4997" s="41">
        <v>344116</v>
      </c>
      <c r="B4997" s="39" t="s">
        <v>6553</v>
      </c>
      <c r="C4997" s="40">
        <v>4</v>
      </c>
      <c r="D4997" s="38" t="s">
        <v>266</v>
      </c>
    </row>
    <row r="4998" spans="1:4" x14ac:dyDescent="0.25">
      <c r="A4998" s="41">
        <v>344123</v>
      </c>
      <c r="B4998" s="39" t="s">
        <v>6554</v>
      </c>
      <c r="C4998" s="40">
        <v>4</v>
      </c>
      <c r="D4998" s="38" t="s">
        <v>266</v>
      </c>
    </row>
    <row r="4999" spans="1:4" x14ac:dyDescent="0.25">
      <c r="A4999" s="41">
        <v>344200</v>
      </c>
      <c r="B4999" s="39" t="s">
        <v>6555</v>
      </c>
      <c r="C4999" s="40">
        <v>3</v>
      </c>
      <c r="D4999" s="38" t="s">
        <v>266</v>
      </c>
    </row>
    <row r="5000" spans="1:4" x14ac:dyDescent="0.25">
      <c r="A5000" s="41">
        <v>344213</v>
      </c>
      <c r="B5000" s="39" t="s">
        <v>6556</v>
      </c>
      <c r="C5000" s="40">
        <v>4</v>
      </c>
      <c r="D5000" s="38" t="s">
        <v>266</v>
      </c>
    </row>
    <row r="5001" spans="1:4" x14ac:dyDescent="0.25">
      <c r="A5001" s="42">
        <v>344213.13</v>
      </c>
      <c r="B5001" s="39" t="s">
        <v>6557</v>
      </c>
      <c r="C5001" s="40">
        <v>5</v>
      </c>
      <c r="D5001" s="38" t="s">
        <v>266</v>
      </c>
    </row>
    <row r="5002" spans="1:4" x14ac:dyDescent="0.25">
      <c r="A5002" s="42">
        <v>344213.16</v>
      </c>
      <c r="B5002" s="39" t="s">
        <v>6558</v>
      </c>
      <c r="C5002" s="40">
        <v>5</v>
      </c>
      <c r="D5002" s="38" t="s">
        <v>266</v>
      </c>
    </row>
    <row r="5003" spans="1:4" x14ac:dyDescent="0.25">
      <c r="A5003" s="41">
        <v>344216</v>
      </c>
      <c r="B5003" s="39" t="s">
        <v>6559</v>
      </c>
      <c r="C5003" s="40">
        <v>4</v>
      </c>
      <c r="D5003" s="38" t="s">
        <v>266</v>
      </c>
    </row>
    <row r="5004" spans="1:4" x14ac:dyDescent="0.25">
      <c r="A5004" s="41">
        <v>344219</v>
      </c>
      <c r="B5004" s="39" t="s">
        <v>6560</v>
      </c>
      <c r="C5004" s="40">
        <v>4</v>
      </c>
      <c r="D5004" s="38" t="s">
        <v>266</v>
      </c>
    </row>
    <row r="5005" spans="1:4" x14ac:dyDescent="0.25">
      <c r="A5005" s="41">
        <v>344223</v>
      </c>
      <c r="B5005" s="39" t="s">
        <v>6561</v>
      </c>
      <c r="C5005" s="40">
        <v>4</v>
      </c>
      <c r="D5005" s="38" t="s">
        <v>266</v>
      </c>
    </row>
    <row r="5006" spans="1:4" x14ac:dyDescent="0.25">
      <c r="A5006" s="42">
        <v>344223.13</v>
      </c>
      <c r="B5006" s="39" t="s">
        <v>6562</v>
      </c>
      <c r="C5006" s="40">
        <v>5</v>
      </c>
      <c r="D5006" s="38" t="s">
        <v>266</v>
      </c>
    </row>
    <row r="5007" spans="1:4" x14ac:dyDescent="0.25">
      <c r="A5007" s="42">
        <v>344223.16</v>
      </c>
      <c r="B5007" s="39" t="s">
        <v>6563</v>
      </c>
      <c r="C5007" s="40">
        <v>5</v>
      </c>
      <c r="D5007" s="38" t="s">
        <v>266</v>
      </c>
    </row>
    <row r="5008" spans="1:4" x14ac:dyDescent="0.25">
      <c r="A5008" s="42">
        <v>344223.19</v>
      </c>
      <c r="B5008" s="39" t="s">
        <v>6564</v>
      </c>
      <c r="C5008" s="40">
        <v>5</v>
      </c>
      <c r="D5008" s="38" t="s">
        <v>266</v>
      </c>
    </row>
    <row r="5009" spans="1:4" x14ac:dyDescent="0.25">
      <c r="A5009" s="42">
        <v>344223.23</v>
      </c>
      <c r="B5009" s="39" t="s">
        <v>6565</v>
      </c>
      <c r="C5009" s="40">
        <v>5</v>
      </c>
      <c r="D5009" s="38" t="s">
        <v>266</v>
      </c>
    </row>
    <row r="5010" spans="1:4" x14ac:dyDescent="0.25">
      <c r="A5010" s="41">
        <v>344226</v>
      </c>
      <c r="B5010" s="39" t="s">
        <v>6566</v>
      </c>
      <c r="C5010" s="40">
        <v>4</v>
      </c>
      <c r="D5010" s="38" t="s">
        <v>266</v>
      </c>
    </row>
    <row r="5011" spans="1:4" x14ac:dyDescent="0.25">
      <c r="A5011" s="41">
        <v>344229</v>
      </c>
      <c r="B5011" s="39" t="s">
        <v>6567</v>
      </c>
      <c r="C5011" s="40">
        <v>4</v>
      </c>
      <c r="D5011" s="38" t="s">
        <v>266</v>
      </c>
    </row>
    <row r="5012" spans="1:4" x14ac:dyDescent="0.25">
      <c r="A5012" s="41">
        <v>344233</v>
      </c>
      <c r="B5012" s="39" t="s">
        <v>6568</v>
      </c>
      <c r="C5012" s="40">
        <v>4</v>
      </c>
      <c r="D5012" s="38" t="s">
        <v>266</v>
      </c>
    </row>
    <row r="5013" spans="1:4" x14ac:dyDescent="0.25">
      <c r="A5013" s="41">
        <v>344236</v>
      </c>
      <c r="B5013" s="39" t="s">
        <v>6569</v>
      </c>
      <c r="C5013" s="40">
        <v>4</v>
      </c>
      <c r="D5013" s="38" t="s">
        <v>266</v>
      </c>
    </row>
    <row r="5014" spans="1:4" x14ac:dyDescent="0.25">
      <c r="A5014" s="41">
        <v>344300</v>
      </c>
      <c r="B5014" s="39" t="s">
        <v>1555</v>
      </c>
      <c r="C5014" s="40">
        <v>3</v>
      </c>
      <c r="D5014" s="39" t="s">
        <v>1554</v>
      </c>
    </row>
    <row r="5015" spans="1:4" x14ac:dyDescent="0.25">
      <c r="A5015" s="41">
        <v>344313</v>
      </c>
      <c r="B5015" s="39" t="s">
        <v>6570</v>
      </c>
      <c r="C5015" s="40">
        <v>4</v>
      </c>
      <c r="D5015" s="38" t="s">
        <v>266</v>
      </c>
    </row>
    <row r="5016" spans="1:4" x14ac:dyDescent="0.25">
      <c r="A5016" s="42">
        <v>344313.13</v>
      </c>
      <c r="B5016" s="39" t="s">
        <v>6571</v>
      </c>
      <c r="C5016" s="40">
        <v>5</v>
      </c>
      <c r="D5016" s="38" t="s">
        <v>266</v>
      </c>
    </row>
    <row r="5017" spans="1:4" x14ac:dyDescent="0.25">
      <c r="A5017" s="42">
        <v>344313.16</v>
      </c>
      <c r="B5017" s="39" t="s">
        <v>6572</v>
      </c>
      <c r="C5017" s="40">
        <v>5</v>
      </c>
      <c r="D5017" s="38" t="s">
        <v>266</v>
      </c>
    </row>
    <row r="5018" spans="1:4" x14ac:dyDescent="0.25">
      <c r="A5018" s="41">
        <v>344316</v>
      </c>
      <c r="B5018" s="39" t="s">
        <v>6573</v>
      </c>
      <c r="C5018" s="40">
        <v>4</v>
      </c>
      <c r="D5018" s="38" t="s">
        <v>266</v>
      </c>
    </row>
    <row r="5019" spans="1:4" x14ac:dyDescent="0.25">
      <c r="A5019" s="42">
        <v>344316.13</v>
      </c>
      <c r="B5019" s="39" t="s">
        <v>6574</v>
      </c>
      <c r="C5019" s="40">
        <v>5</v>
      </c>
      <c r="D5019" s="38" t="s">
        <v>266</v>
      </c>
    </row>
    <row r="5020" spans="1:4" x14ac:dyDescent="0.25">
      <c r="A5020" s="42">
        <v>344316.15999999997</v>
      </c>
      <c r="B5020" s="39" t="s">
        <v>6575</v>
      </c>
      <c r="C5020" s="40">
        <v>5</v>
      </c>
      <c r="D5020" s="38" t="s">
        <v>266</v>
      </c>
    </row>
    <row r="5021" spans="1:4" x14ac:dyDescent="0.25">
      <c r="A5021" s="42">
        <v>344316.19</v>
      </c>
      <c r="B5021" s="39" t="s">
        <v>6576</v>
      </c>
      <c r="C5021" s="40">
        <v>5</v>
      </c>
      <c r="D5021" s="38" t="s">
        <v>266</v>
      </c>
    </row>
    <row r="5022" spans="1:4" x14ac:dyDescent="0.25">
      <c r="A5022" s="42">
        <v>344316.23</v>
      </c>
      <c r="B5022" s="39" t="s">
        <v>6577</v>
      </c>
      <c r="C5022" s="40">
        <v>5</v>
      </c>
      <c r="D5022" s="38" t="s">
        <v>266</v>
      </c>
    </row>
    <row r="5023" spans="1:4" x14ac:dyDescent="0.25">
      <c r="A5023" s="42">
        <v>344316.26</v>
      </c>
      <c r="B5023" s="39" t="s">
        <v>6578</v>
      </c>
      <c r="C5023" s="40">
        <v>5</v>
      </c>
      <c r="D5023" s="38" t="s">
        <v>266</v>
      </c>
    </row>
    <row r="5024" spans="1:4" x14ac:dyDescent="0.25">
      <c r="A5024" s="42">
        <v>344316.29</v>
      </c>
      <c r="B5024" s="39" t="s">
        <v>6579</v>
      </c>
      <c r="C5024" s="40">
        <v>5</v>
      </c>
      <c r="D5024" s="38" t="s">
        <v>266</v>
      </c>
    </row>
    <row r="5025" spans="1:4" x14ac:dyDescent="0.25">
      <c r="A5025" s="42">
        <v>344316.33</v>
      </c>
      <c r="B5025" s="39" t="s">
        <v>6580</v>
      </c>
      <c r="C5025" s="40">
        <v>5</v>
      </c>
      <c r="D5025" s="38" t="s">
        <v>266</v>
      </c>
    </row>
    <row r="5026" spans="1:4" x14ac:dyDescent="0.25">
      <c r="A5026" s="42">
        <v>344316.36</v>
      </c>
      <c r="B5026" s="39" t="s">
        <v>6581</v>
      </c>
      <c r="C5026" s="40">
        <v>5</v>
      </c>
      <c r="D5026" s="38" t="s">
        <v>266</v>
      </c>
    </row>
    <row r="5027" spans="1:4" x14ac:dyDescent="0.25">
      <c r="A5027" s="41">
        <v>344319</v>
      </c>
      <c r="B5027" s="39" t="s">
        <v>6582</v>
      </c>
      <c r="C5027" s="40">
        <v>4</v>
      </c>
      <c r="D5027" s="38" t="s">
        <v>266</v>
      </c>
    </row>
    <row r="5028" spans="1:4" x14ac:dyDescent="0.25">
      <c r="A5028" s="41">
        <v>344323</v>
      </c>
      <c r="B5028" s="39" t="s">
        <v>6583</v>
      </c>
      <c r="C5028" s="40">
        <v>4</v>
      </c>
      <c r="D5028" s="38" t="s">
        <v>266</v>
      </c>
    </row>
    <row r="5029" spans="1:4" x14ac:dyDescent="0.25">
      <c r="A5029" s="42">
        <v>344323.13</v>
      </c>
      <c r="B5029" s="39" t="s">
        <v>6584</v>
      </c>
      <c r="C5029" s="40">
        <v>5</v>
      </c>
      <c r="D5029" s="38" t="s">
        <v>266</v>
      </c>
    </row>
    <row r="5030" spans="1:4" x14ac:dyDescent="0.25">
      <c r="A5030" s="42">
        <v>344323.16</v>
      </c>
      <c r="B5030" s="39" t="s">
        <v>6585</v>
      </c>
      <c r="C5030" s="40">
        <v>5</v>
      </c>
      <c r="D5030" s="38" t="s">
        <v>266</v>
      </c>
    </row>
    <row r="5031" spans="1:4" x14ac:dyDescent="0.25">
      <c r="A5031" s="41">
        <v>344326</v>
      </c>
      <c r="B5031" s="39" t="s">
        <v>6586</v>
      </c>
      <c r="C5031" s="40">
        <v>4</v>
      </c>
      <c r="D5031" s="38" t="s">
        <v>266</v>
      </c>
    </row>
    <row r="5032" spans="1:4" x14ac:dyDescent="0.25">
      <c r="A5032" s="42">
        <v>344326.13</v>
      </c>
      <c r="B5032" s="39" t="s">
        <v>6587</v>
      </c>
      <c r="C5032" s="40">
        <v>5</v>
      </c>
      <c r="D5032" s="38" t="s">
        <v>266</v>
      </c>
    </row>
    <row r="5033" spans="1:4" x14ac:dyDescent="0.25">
      <c r="A5033" s="42">
        <v>344326.16</v>
      </c>
      <c r="B5033" s="39" t="s">
        <v>6588</v>
      </c>
      <c r="C5033" s="40">
        <v>5</v>
      </c>
      <c r="D5033" s="38" t="s">
        <v>266</v>
      </c>
    </row>
    <row r="5034" spans="1:4" x14ac:dyDescent="0.25">
      <c r="A5034" s="42">
        <v>344326.19</v>
      </c>
      <c r="B5034" s="39" t="s">
        <v>6589</v>
      </c>
      <c r="C5034" s="40">
        <v>5</v>
      </c>
      <c r="D5034" s="38" t="s">
        <v>266</v>
      </c>
    </row>
    <row r="5035" spans="1:4" x14ac:dyDescent="0.25">
      <c r="A5035" s="41">
        <v>344800</v>
      </c>
      <c r="B5035" s="39" t="s">
        <v>6590</v>
      </c>
      <c r="C5035" s="40">
        <v>3</v>
      </c>
      <c r="D5035" s="38" t="s">
        <v>266</v>
      </c>
    </row>
    <row r="5036" spans="1:4" x14ac:dyDescent="0.25">
      <c r="A5036" s="41">
        <v>344813</v>
      </c>
      <c r="B5036" s="39" t="s">
        <v>6591</v>
      </c>
      <c r="C5036" s="40">
        <v>4</v>
      </c>
      <c r="D5036" s="38" t="s">
        <v>266</v>
      </c>
    </row>
    <row r="5037" spans="1:4" x14ac:dyDescent="0.25">
      <c r="A5037" s="41">
        <v>344816</v>
      </c>
      <c r="B5037" s="39" t="s">
        <v>6592</v>
      </c>
      <c r="C5037" s="40">
        <v>4</v>
      </c>
      <c r="D5037" s="38" t="s">
        <v>266</v>
      </c>
    </row>
    <row r="5038" spans="1:4" x14ac:dyDescent="0.25">
      <c r="A5038" s="41">
        <v>345000</v>
      </c>
      <c r="B5038" s="39" t="s">
        <v>6593</v>
      </c>
      <c r="C5038" s="40">
        <v>3</v>
      </c>
      <c r="D5038" s="38" t="s">
        <v>266</v>
      </c>
    </row>
    <row r="5039" spans="1:4" x14ac:dyDescent="0.25">
      <c r="A5039" s="41">
        <v>345200</v>
      </c>
      <c r="B5039" s="39" t="s">
        <v>1517</v>
      </c>
      <c r="C5039" s="40">
        <v>3</v>
      </c>
      <c r="D5039" s="39" t="s">
        <v>1516</v>
      </c>
    </row>
    <row r="5040" spans="1:4" x14ac:dyDescent="0.25">
      <c r="A5040" s="41">
        <v>345216</v>
      </c>
      <c r="B5040" s="39" t="s">
        <v>6594</v>
      </c>
      <c r="C5040" s="40">
        <v>4</v>
      </c>
      <c r="D5040" s="38" t="s">
        <v>266</v>
      </c>
    </row>
    <row r="5041" spans="1:4" x14ac:dyDescent="0.25">
      <c r="A5041" s="42">
        <v>345216.13</v>
      </c>
      <c r="B5041" s="39" t="s">
        <v>6595</v>
      </c>
      <c r="C5041" s="40">
        <v>5</v>
      </c>
      <c r="D5041" s="38" t="s">
        <v>266</v>
      </c>
    </row>
    <row r="5042" spans="1:4" x14ac:dyDescent="0.25">
      <c r="A5042" s="41">
        <v>345226</v>
      </c>
      <c r="B5042" s="39" t="s">
        <v>6596</v>
      </c>
      <c r="C5042" s="40">
        <v>4</v>
      </c>
      <c r="D5042" s="38" t="s">
        <v>266</v>
      </c>
    </row>
    <row r="5043" spans="1:4" x14ac:dyDescent="0.25">
      <c r="A5043" s="42">
        <v>345226.13</v>
      </c>
      <c r="B5043" s="39" t="s">
        <v>6597</v>
      </c>
      <c r="C5043" s="40">
        <v>5</v>
      </c>
      <c r="D5043" s="38" t="s">
        <v>266</v>
      </c>
    </row>
    <row r="5044" spans="1:4" x14ac:dyDescent="0.25">
      <c r="A5044" s="42">
        <v>345226.16</v>
      </c>
      <c r="B5044" s="39" t="s">
        <v>6598</v>
      </c>
      <c r="C5044" s="40">
        <v>5</v>
      </c>
      <c r="D5044" s="38" t="s">
        <v>266</v>
      </c>
    </row>
    <row r="5045" spans="1:4" x14ac:dyDescent="0.25">
      <c r="A5045" s="41">
        <v>345233</v>
      </c>
      <c r="B5045" s="39" t="s">
        <v>6599</v>
      </c>
      <c r="C5045" s="40">
        <v>4</v>
      </c>
      <c r="D5045" s="38" t="s">
        <v>266</v>
      </c>
    </row>
    <row r="5046" spans="1:4" x14ac:dyDescent="0.25">
      <c r="A5046" s="41">
        <v>345400</v>
      </c>
      <c r="B5046" s="39" t="s">
        <v>6600</v>
      </c>
      <c r="C5046" s="40">
        <v>3</v>
      </c>
      <c r="D5046" s="38" t="s">
        <v>266</v>
      </c>
    </row>
    <row r="5047" spans="1:4" x14ac:dyDescent="0.25">
      <c r="A5047" s="41">
        <v>345416</v>
      </c>
      <c r="B5047" s="39" t="s">
        <v>6601</v>
      </c>
      <c r="C5047" s="40">
        <v>4</v>
      </c>
      <c r="D5047" s="38" t="s">
        <v>266</v>
      </c>
    </row>
    <row r="5048" spans="1:4" x14ac:dyDescent="0.25">
      <c r="A5048" s="42">
        <v>345416.13</v>
      </c>
      <c r="B5048" s="39" t="s">
        <v>6602</v>
      </c>
      <c r="C5048" s="40">
        <v>5</v>
      </c>
      <c r="D5048" s="38" t="s">
        <v>266</v>
      </c>
    </row>
    <row r="5049" spans="1:4" x14ac:dyDescent="0.25">
      <c r="A5049" s="42">
        <v>345416.16</v>
      </c>
      <c r="B5049" s="39" t="s">
        <v>6603</v>
      </c>
      <c r="C5049" s="40">
        <v>5</v>
      </c>
      <c r="D5049" s="38" t="s">
        <v>266</v>
      </c>
    </row>
    <row r="5050" spans="1:4" x14ac:dyDescent="0.25">
      <c r="A5050" s="42">
        <v>345416.23</v>
      </c>
      <c r="B5050" s="39" t="s">
        <v>6604</v>
      </c>
      <c r="C5050" s="40">
        <v>5</v>
      </c>
      <c r="D5050" s="38" t="s">
        <v>266</v>
      </c>
    </row>
    <row r="5051" spans="1:4" x14ac:dyDescent="0.25">
      <c r="A5051" s="41">
        <v>345426</v>
      </c>
      <c r="B5051" s="39" t="s">
        <v>6605</v>
      </c>
      <c r="C5051" s="40">
        <v>4</v>
      </c>
      <c r="D5051" s="38" t="s">
        <v>266</v>
      </c>
    </row>
    <row r="5052" spans="1:4" x14ac:dyDescent="0.25">
      <c r="A5052" s="42">
        <v>345426.13</v>
      </c>
      <c r="B5052" s="39" t="s">
        <v>6606</v>
      </c>
      <c r="C5052" s="40">
        <v>5</v>
      </c>
      <c r="D5052" s="38" t="s">
        <v>266</v>
      </c>
    </row>
    <row r="5053" spans="1:4" x14ac:dyDescent="0.25">
      <c r="A5053" s="42">
        <v>345426.16</v>
      </c>
      <c r="B5053" s="39" t="s">
        <v>6607</v>
      </c>
      <c r="C5053" s="40">
        <v>5</v>
      </c>
      <c r="D5053" s="38" t="s">
        <v>266</v>
      </c>
    </row>
    <row r="5054" spans="1:4" x14ac:dyDescent="0.25">
      <c r="A5054" s="41">
        <v>345433</v>
      </c>
      <c r="B5054" s="39" t="s">
        <v>6608</v>
      </c>
      <c r="C5054" s="40">
        <v>4</v>
      </c>
      <c r="D5054" s="38" t="s">
        <v>266</v>
      </c>
    </row>
    <row r="5055" spans="1:4" x14ac:dyDescent="0.25">
      <c r="A5055" s="41">
        <v>347000</v>
      </c>
      <c r="B5055" s="39" t="s">
        <v>6609</v>
      </c>
      <c r="C5055" s="40">
        <v>3</v>
      </c>
      <c r="D5055" s="38" t="s">
        <v>266</v>
      </c>
    </row>
    <row r="5056" spans="1:4" x14ac:dyDescent="0.25">
      <c r="A5056" s="41">
        <v>347100</v>
      </c>
      <c r="B5056" s="39" t="s">
        <v>6610</v>
      </c>
      <c r="C5056" s="40">
        <v>3</v>
      </c>
      <c r="D5056" s="38" t="s">
        <v>266</v>
      </c>
    </row>
    <row r="5057" spans="1:4" x14ac:dyDescent="0.25">
      <c r="A5057" s="41">
        <v>347113</v>
      </c>
      <c r="B5057" s="39" t="s">
        <v>6611</v>
      </c>
      <c r="C5057" s="40">
        <v>4</v>
      </c>
      <c r="D5057" s="38" t="s">
        <v>266</v>
      </c>
    </row>
    <row r="5058" spans="1:4" x14ac:dyDescent="0.25">
      <c r="A5058" s="42">
        <v>347113.13</v>
      </c>
      <c r="B5058" s="39" t="s">
        <v>6612</v>
      </c>
      <c r="C5058" s="40">
        <v>5</v>
      </c>
      <c r="D5058" s="38" t="s">
        <v>266</v>
      </c>
    </row>
    <row r="5059" spans="1:4" x14ac:dyDescent="0.25">
      <c r="A5059" s="42">
        <v>347113.16</v>
      </c>
      <c r="B5059" s="39" t="s">
        <v>6613</v>
      </c>
      <c r="C5059" s="40">
        <v>5</v>
      </c>
      <c r="D5059" s="38" t="s">
        <v>266</v>
      </c>
    </row>
    <row r="5060" spans="1:4" x14ac:dyDescent="0.25">
      <c r="A5060" s="42">
        <v>347113.19</v>
      </c>
      <c r="B5060" s="39" t="s">
        <v>6614</v>
      </c>
      <c r="C5060" s="40">
        <v>5</v>
      </c>
      <c r="D5060" s="38" t="s">
        <v>266</v>
      </c>
    </row>
    <row r="5061" spans="1:4" x14ac:dyDescent="0.25">
      <c r="A5061" s="42">
        <v>347113.26</v>
      </c>
      <c r="B5061" s="39" t="s">
        <v>6615</v>
      </c>
      <c r="C5061" s="40">
        <v>5</v>
      </c>
      <c r="D5061" s="38" t="s">
        <v>266</v>
      </c>
    </row>
    <row r="5062" spans="1:4" x14ac:dyDescent="0.25">
      <c r="A5062" s="42">
        <v>347113.29</v>
      </c>
      <c r="B5062" s="39" t="s">
        <v>6616</v>
      </c>
      <c r="C5062" s="40">
        <v>5</v>
      </c>
      <c r="D5062" s="38" t="s">
        <v>266</v>
      </c>
    </row>
    <row r="5063" spans="1:4" x14ac:dyDescent="0.25">
      <c r="A5063" s="41">
        <v>347116</v>
      </c>
      <c r="B5063" s="39" t="s">
        <v>6617</v>
      </c>
      <c r="C5063" s="40">
        <v>4</v>
      </c>
      <c r="D5063" s="38" t="s">
        <v>266</v>
      </c>
    </row>
    <row r="5064" spans="1:4" x14ac:dyDescent="0.25">
      <c r="A5064" s="41">
        <v>347119</v>
      </c>
      <c r="B5064" s="39" t="s">
        <v>6618</v>
      </c>
      <c r="C5064" s="40">
        <v>4</v>
      </c>
      <c r="D5064" s="38" t="s">
        <v>266</v>
      </c>
    </row>
    <row r="5065" spans="1:4" x14ac:dyDescent="0.25">
      <c r="A5065" s="42">
        <v>347119.13</v>
      </c>
      <c r="B5065" s="39" t="s">
        <v>6619</v>
      </c>
      <c r="C5065" s="40">
        <v>5</v>
      </c>
      <c r="D5065" s="38" t="s">
        <v>266</v>
      </c>
    </row>
    <row r="5066" spans="1:4" x14ac:dyDescent="0.25">
      <c r="A5066" s="42">
        <v>347119.16</v>
      </c>
      <c r="B5066" s="39" t="s">
        <v>6620</v>
      </c>
      <c r="C5066" s="40">
        <v>5</v>
      </c>
      <c r="D5066" s="38" t="s">
        <v>266</v>
      </c>
    </row>
    <row r="5067" spans="1:4" x14ac:dyDescent="0.25">
      <c r="A5067" s="41">
        <v>347200</v>
      </c>
      <c r="B5067" s="39" t="s">
        <v>6621</v>
      </c>
      <c r="C5067" s="40">
        <v>3</v>
      </c>
      <c r="D5067" s="38" t="s">
        <v>266</v>
      </c>
    </row>
    <row r="5068" spans="1:4" x14ac:dyDescent="0.25">
      <c r="A5068" s="41">
        <v>347213</v>
      </c>
      <c r="B5068" s="39" t="s">
        <v>6622</v>
      </c>
      <c r="C5068" s="40">
        <v>4</v>
      </c>
      <c r="D5068" s="38" t="s">
        <v>266</v>
      </c>
    </row>
    <row r="5069" spans="1:4" x14ac:dyDescent="0.25">
      <c r="A5069" s="41">
        <v>347216</v>
      </c>
      <c r="B5069" s="39" t="s">
        <v>6623</v>
      </c>
      <c r="C5069" s="40">
        <v>4</v>
      </c>
      <c r="D5069" s="38" t="s">
        <v>266</v>
      </c>
    </row>
    <row r="5070" spans="1:4" x14ac:dyDescent="0.25">
      <c r="A5070" s="41">
        <v>347300</v>
      </c>
      <c r="B5070" s="39" t="s">
        <v>6624</v>
      </c>
      <c r="C5070" s="40">
        <v>3</v>
      </c>
      <c r="D5070" s="38" t="s">
        <v>266</v>
      </c>
    </row>
    <row r="5071" spans="1:4" x14ac:dyDescent="0.25">
      <c r="A5071" s="41">
        <v>347313</v>
      </c>
      <c r="B5071" s="39" t="s">
        <v>6625</v>
      </c>
      <c r="C5071" s="40">
        <v>4</v>
      </c>
      <c r="D5071" s="38" t="s">
        <v>266</v>
      </c>
    </row>
    <row r="5072" spans="1:4" x14ac:dyDescent="0.25">
      <c r="A5072" s="41">
        <v>347316</v>
      </c>
      <c r="B5072" s="39" t="s">
        <v>6626</v>
      </c>
      <c r="C5072" s="40">
        <v>4</v>
      </c>
      <c r="D5072" s="38" t="s">
        <v>266</v>
      </c>
    </row>
    <row r="5073" spans="1:4" x14ac:dyDescent="0.25">
      <c r="A5073" s="42">
        <v>347316.13</v>
      </c>
      <c r="B5073" s="39" t="s">
        <v>6627</v>
      </c>
      <c r="C5073" s="40">
        <v>5</v>
      </c>
      <c r="D5073" s="38" t="s">
        <v>266</v>
      </c>
    </row>
    <row r="5074" spans="1:4" x14ac:dyDescent="0.25">
      <c r="A5074" s="41">
        <v>347319</v>
      </c>
      <c r="B5074" s="39" t="s">
        <v>6628</v>
      </c>
      <c r="C5074" s="40">
        <v>4</v>
      </c>
      <c r="D5074" s="38" t="s">
        <v>266</v>
      </c>
    </row>
    <row r="5075" spans="1:4" x14ac:dyDescent="0.25">
      <c r="A5075" s="41">
        <v>347323</v>
      </c>
      <c r="B5075" s="39" t="s">
        <v>6629</v>
      </c>
      <c r="C5075" s="40">
        <v>4</v>
      </c>
      <c r="D5075" s="38" t="s">
        <v>266</v>
      </c>
    </row>
    <row r="5076" spans="1:4" x14ac:dyDescent="0.25">
      <c r="A5076" s="41">
        <v>347326</v>
      </c>
      <c r="B5076" s="39" t="s">
        <v>6630</v>
      </c>
      <c r="C5076" s="40">
        <v>4</v>
      </c>
      <c r="D5076" s="38" t="s">
        <v>266</v>
      </c>
    </row>
    <row r="5077" spans="1:4" x14ac:dyDescent="0.25">
      <c r="A5077" s="41">
        <v>347500</v>
      </c>
      <c r="B5077" s="39" t="s">
        <v>6631</v>
      </c>
      <c r="C5077" s="40">
        <v>3</v>
      </c>
      <c r="D5077" s="38" t="s">
        <v>266</v>
      </c>
    </row>
    <row r="5078" spans="1:4" x14ac:dyDescent="0.25">
      <c r="A5078" s="41">
        <v>347513</v>
      </c>
      <c r="B5078" s="39" t="s">
        <v>6632</v>
      </c>
      <c r="C5078" s="40">
        <v>4</v>
      </c>
      <c r="D5078" s="38" t="s">
        <v>266</v>
      </c>
    </row>
    <row r="5079" spans="1:4" x14ac:dyDescent="0.25">
      <c r="A5079" s="42">
        <v>347513.13</v>
      </c>
      <c r="B5079" s="39" t="s">
        <v>6633</v>
      </c>
      <c r="C5079" s="40">
        <v>5</v>
      </c>
      <c r="D5079" s="38" t="s">
        <v>266</v>
      </c>
    </row>
    <row r="5080" spans="1:4" x14ac:dyDescent="0.25">
      <c r="A5080" s="41">
        <v>347600</v>
      </c>
      <c r="B5080" s="39" t="s">
        <v>6634</v>
      </c>
      <c r="C5080" s="40">
        <v>3</v>
      </c>
      <c r="D5080" s="38" t="s">
        <v>266</v>
      </c>
    </row>
    <row r="5081" spans="1:4" x14ac:dyDescent="0.25">
      <c r="A5081" s="41">
        <v>347613</v>
      </c>
      <c r="B5081" s="39" t="s">
        <v>6635</v>
      </c>
      <c r="C5081" s="40">
        <v>4</v>
      </c>
      <c r="D5081" s="38" t="s">
        <v>266</v>
      </c>
    </row>
    <row r="5082" spans="1:4" x14ac:dyDescent="0.25">
      <c r="A5082" s="41">
        <v>347700</v>
      </c>
      <c r="B5082" s="39" t="s">
        <v>6636</v>
      </c>
      <c r="C5082" s="40">
        <v>3</v>
      </c>
      <c r="D5082" s="38" t="s">
        <v>266</v>
      </c>
    </row>
    <row r="5083" spans="1:4" x14ac:dyDescent="0.25">
      <c r="A5083" s="41">
        <v>347713</v>
      </c>
      <c r="B5083" s="39" t="s">
        <v>886</v>
      </c>
      <c r="C5083" s="40">
        <v>4</v>
      </c>
      <c r="D5083" s="39" t="s">
        <v>885</v>
      </c>
    </row>
    <row r="5084" spans="1:4" x14ac:dyDescent="0.25">
      <c r="A5084" s="42">
        <v>347713.13</v>
      </c>
      <c r="B5084" s="39" t="s">
        <v>6637</v>
      </c>
      <c r="C5084" s="40">
        <v>5</v>
      </c>
      <c r="D5084" s="38" t="s">
        <v>266</v>
      </c>
    </row>
    <row r="5085" spans="1:4" x14ac:dyDescent="0.25">
      <c r="A5085" s="42">
        <v>347713.16</v>
      </c>
      <c r="B5085" s="39" t="s">
        <v>6638</v>
      </c>
      <c r="C5085" s="40">
        <v>5</v>
      </c>
      <c r="D5085" s="38" t="s">
        <v>266</v>
      </c>
    </row>
    <row r="5086" spans="1:4" x14ac:dyDescent="0.25">
      <c r="A5086" s="42">
        <v>347713.23</v>
      </c>
      <c r="B5086" s="39" t="s">
        <v>6639</v>
      </c>
      <c r="C5086" s="40">
        <v>5</v>
      </c>
      <c r="D5086" s="38" t="s">
        <v>266</v>
      </c>
    </row>
    <row r="5087" spans="1:4" x14ac:dyDescent="0.25">
      <c r="A5087" s="41">
        <v>347716</v>
      </c>
      <c r="B5087" s="39" t="s">
        <v>900</v>
      </c>
      <c r="C5087" s="40">
        <v>4</v>
      </c>
      <c r="D5087" s="38" t="s">
        <v>899</v>
      </c>
    </row>
    <row r="5088" spans="1:4" x14ac:dyDescent="0.25">
      <c r="A5088" s="42">
        <v>347716.13</v>
      </c>
      <c r="B5088" s="39" t="s">
        <v>6640</v>
      </c>
      <c r="C5088" s="40">
        <v>5</v>
      </c>
      <c r="D5088" s="38" t="s">
        <v>266</v>
      </c>
    </row>
    <row r="5089" spans="1:4" x14ac:dyDescent="0.25">
      <c r="A5089" s="42">
        <v>347716.16</v>
      </c>
      <c r="B5089" s="39" t="s">
        <v>6641</v>
      </c>
      <c r="C5089" s="40">
        <v>5</v>
      </c>
      <c r="D5089" s="38" t="s">
        <v>266</v>
      </c>
    </row>
    <row r="5090" spans="1:4" x14ac:dyDescent="0.25">
      <c r="A5090" s="42">
        <v>347716.19</v>
      </c>
      <c r="B5090" s="39" t="s">
        <v>6642</v>
      </c>
      <c r="C5090" s="40">
        <v>5</v>
      </c>
      <c r="D5090" s="38" t="s">
        <v>266</v>
      </c>
    </row>
    <row r="5091" spans="1:4" x14ac:dyDescent="0.25">
      <c r="A5091" s="41">
        <v>348000</v>
      </c>
      <c r="B5091" s="39" t="s">
        <v>6643</v>
      </c>
      <c r="C5091" s="40">
        <v>3</v>
      </c>
      <c r="D5091" s="38" t="s">
        <v>266</v>
      </c>
    </row>
    <row r="5092" spans="1:4" x14ac:dyDescent="0.25">
      <c r="A5092" s="41">
        <v>348100</v>
      </c>
      <c r="B5092" s="39" t="s">
        <v>6644</v>
      </c>
      <c r="C5092" s="40">
        <v>3</v>
      </c>
      <c r="D5092" s="38" t="s">
        <v>266</v>
      </c>
    </row>
    <row r="5093" spans="1:4" x14ac:dyDescent="0.25">
      <c r="A5093" s="41">
        <v>348113</v>
      </c>
      <c r="B5093" s="39" t="s">
        <v>6645</v>
      </c>
      <c r="C5093" s="40">
        <v>4</v>
      </c>
      <c r="D5093" s="38" t="s">
        <v>266</v>
      </c>
    </row>
    <row r="5094" spans="1:4" x14ac:dyDescent="0.25">
      <c r="A5094" s="41">
        <v>348116</v>
      </c>
      <c r="B5094" s="39" t="s">
        <v>6646</v>
      </c>
      <c r="C5094" s="40">
        <v>4</v>
      </c>
      <c r="D5094" s="38" t="s">
        <v>266</v>
      </c>
    </row>
    <row r="5095" spans="1:4" x14ac:dyDescent="0.25">
      <c r="A5095" s="41">
        <v>348119</v>
      </c>
      <c r="B5095" s="39" t="s">
        <v>6647</v>
      </c>
      <c r="C5095" s="40">
        <v>4</v>
      </c>
      <c r="D5095" s="38" t="s">
        <v>266</v>
      </c>
    </row>
    <row r="5096" spans="1:4" x14ac:dyDescent="0.25">
      <c r="A5096" s="41">
        <v>348123</v>
      </c>
      <c r="B5096" s="39" t="s">
        <v>6648</v>
      </c>
      <c r="C5096" s="40">
        <v>4</v>
      </c>
      <c r="D5096" s="38" t="s">
        <v>266</v>
      </c>
    </row>
    <row r="5097" spans="1:4" x14ac:dyDescent="0.25">
      <c r="A5097" s="41">
        <v>348126</v>
      </c>
      <c r="B5097" s="39" t="s">
        <v>6649</v>
      </c>
      <c r="C5097" s="40">
        <v>4</v>
      </c>
      <c r="D5097" s="38" t="s">
        <v>266</v>
      </c>
    </row>
    <row r="5098" spans="1:4" x14ac:dyDescent="0.25">
      <c r="A5098" s="41">
        <v>348129</v>
      </c>
      <c r="B5098" s="39" t="s">
        <v>6650</v>
      </c>
      <c r="C5098" s="40">
        <v>4</v>
      </c>
      <c r="D5098" s="38" t="s">
        <v>266</v>
      </c>
    </row>
    <row r="5099" spans="1:4" x14ac:dyDescent="0.25">
      <c r="A5099" s="41">
        <v>348132</v>
      </c>
      <c r="B5099" s="39" t="s">
        <v>6651</v>
      </c>
      <c r="C5099" s="40">
        <v>4</v>
      </c>
      <c r="D5099" s="38" t="s">
        <v>266</v>
      </c>
    </row>
    <row r="5100" spans="1:4" x14ac:dyDescent="0.25">
      <c r="A5100" s="41">
        <v>348200</v>
      </c>
      <c r="B5100" s="39" t="s">
        <v>6652</v>
      </c>
      <c r="C5100" s="40">
        <v>3</v>
      </c>
      <c r="D5100" s="38" t="s">
        <v>266</v>
      </c>
    </row>
    <row r="5101" spans="1:4" x14ac:dyDescent="0.25">
      <c r="A5101" s="41">
        <v>348213</v>
      </c>
      <c r="B5101" s="39" t="s">
        <v>6653</v>
      </c>
      <c r="C5101" s="40">
        <v>4</v>
      </c>
      <c r="D5101" s="38" t="s">
        <v>266</v>
      </c>
    </row>
    <row r="5102" spans="1:4" x14ac:dyDescent="0.25">
      <c r="A5102" s="42">
        <v>348213.13</v>
      </c>
      <c r="B5102" s="39" t="s">
        <v>6654</v>
      </c>
      <c r="C5102" s="40">
        <v>5</v>
      </c>
      <c r="D5102" s="38" t="s">
        <v>266</v>
      </c>
    </row>
    <row r="5103" spans="1:4" x14ac:dyDescent="0.25">
      <c r="A5103" s="42">
        <v>348213.16</v>
      </c>
      <c r="B5103" s="39" t="s">
        <v>6655</v>
      </c>
      <c r="C5103" s="40">
        <v>5</v>
      </c>
      <c r="D5103" s="38" t="s">
        <v>266</v>
      </c>
    </row>
    <row r="5104" spans="1:4" x14ac:dyDescent="0.25">
      <c r="A5104" s="41">
        <v>348219</v>
      </c>
      <c r="B5104" s="39" t="s">
        <v>6656</v>
      </c>
      <c r="C5104" s="40">
        <v>4</v>
      </c>
      <c r="D5104" s="38" t="s">
        <v>266</v>
      </c>
    </row>
    <row r="5105" spans="1:4" x14ac:dyDescent="0.25">
      <c r="A5105" s="42">
        <v>348219.13</v>
      </c>
      <c r="B5105" s="39" t="s">
        <v>6657</v>
      </c>
      <c r="C5105" s="40">
        <v>5</v>
      </c>
      <c r="D5105" s="38" t="s">
        <v>266</v>
      </c>
    </row>
    <row r="5106" spans="1:4" x14ac:dyDescent="0.25">
      <c r="A5106" s="41">
        <v>350000</v>
      </c>
      <c r="B5106" s="39" t="s">
        <v>6658</v>
      </c>
      <c r="C5106" s="40">
        <v>2</v>
      </c>
      <c r="D5106" s="38" t="s">
        <v>266</v>
      </c>
    </row>
    <row r="5107" spans="1:4" x14ac:dyDescent="0.25">
      <c r="A5107" s="41">
        <v>350100</v>
      </c>
      <c r="B5107" s="39" t="s">
        <v>6659</v>
      </c>
      <c r="C5107" s="40">
        <v>3</v>
      </c>
      <c r="D5107" s="38" t="s">
        <v>266</v>
      </c>
    </row>
    <row r="5108" spans="1:4" x14ac:dyDescent="0.25">
      <c r="A5108" s="41">
        <v>350130</v>
      </c>
      <c r="B5108" s="39" t="s">
        <v>6660</v>
      </c>
      <c r="C5108" s="40">
        <v>4</v>
      </c>
      <c r="D5108" s="38" t="s">
        <v>266</v>
      </c>
    </row>
    <row r="5109" spans="1:4" x14ac:dyDescent="0.25">
      <c r="A5109" s="41">
        <v>350140</v>
      </c>
      <c r="B5109" s="39" t="s">
        <v>6661</v>
      </c>
      <c r="C5109" s="40">
        <v>4</v>
      </c>
      <c r="D5109" s="38" t="s">
        <v>266</v>
      </c>
    </row>
    <row r="5110" spans="1:4" x14ac:dyDescent="0.25">
      <c r="A5110" s="42">
        <v>350140.51</v>
      </c>
      <c r="B5110" s="39" t="s">
        <v>6662</v>
      </c>
      <c r="C5110" s="40">
        <v>5</v>
      </c>
      <c r="D5110" s="38" t="s">
        <v>266</v>
      </c>
    </row>
    <row r="5111" spans="1:4" x14ac:dyDescent="0.25">
      <c r="A5111" s="42">
        <v>350140.92</v>
      </c>
      <c r="B5111" s="39" t="s">
        <v>6663</v>
      </c>
      <c r="C5111" s="40">
        <v>5</v>
      </c>
      <c r="D5111" s="38" t="s">
        <v>266</v>
      </c>
    </row>
    <row r="5112" spans="1:4" x14ac:dyDescent="0.25">
      <c r="A5112" s="41">
        <v>350150</v>
      </c>
      <c r="B5112" s="39" t="s">
        <v>6664</v>
      </c>
      <c r="C5112" s="40">
        <v>4</v>
      </c>
      <c r="D5112" s="38" t="s">
        <v>266</v>
      </c>
    </row>
    <row r="5113" spans="1:4" x14ac:dyDescent="0.25">
      <c r="A5113" s="42">
        <v>350150.51</v>
      </c>
      <c r="B5113" s="39" t="s">
        <v>6665</v>
      </c>
      <c r="C5113" s="40">
        <v>5</v>
      </c>
      <c r="D5113" s="38" t="s">
        <v>266</v>
      </c>
    </row>
    <row r="5114" spans="1:4" x14ac:dyDescent="0.25">
      <c r="A5114" s="42">
        <v>350150.71</v>
      </c>
      <c r="B5114" s="39" t="s">
        <v>6666</v>
      </c>
      <c r="C5114" s="40">
        <v>5</v>
      </c>
      <c r="D5114" s="38" t="s">
        <v>266</v>
      </c>
    </row>
    <row r="5115" spans="1:4" x14ac:dyDescent="0.25">
      <c r="A5115" s="41">
        <v>350170</v>
      </c>
      <c r="B5115" s="39" t="s">
        <v>6667</v>
      </c>
      <c r="C5115" s="40">
        <v>4</v>
      </c>
      <c r="D5115" s="38" t="s">
        <v>266</v>
      </c>
    </row>
    <row r="5116" spans="1:4" x14ac:dyDescent="0.25">
      <c r="A5116" s="41">
        <v>350500</v>
      </c>
      <c r="B5116" s="39" t="s">
        <v>6668</v>
      </c>
      <c r="C5116" s="40">
        <v>3</v>
      </c>
      <c r="D5116" s="38" t="s">
        <v>266</v>
      </c>
    </row>
    <row r="5117" spans="1:4" x14ac:dyDescent="0.25">
      <c r="A5117" s="41">
        <v>350530</v>
      </c>
      <c r="B5117" s="39" t="s">
        <v>6669</v>
      </c>
      <c r="C5117" s="40">
        <v>4</v>
      </c>
      <c r="D5117" s="38" t="s">
        <v>266</v>
      </c>
    </row>
    <row r="5118" spans="1:4" x14ac:dyDescent="0.25">
      <c r="A5118" s="41">
        <v>350540</v>
      </c>
      <c r="B5118" s="39" t="s">
        <v>6670</v>
      </c>
      <c r="C5118" s="40">
        <v>4</v>
      </c>
      <c r="D5118" s="38" t="s">
        <v>266</v>
      </c>
    </row>
    <row r="5119" spans="1:4" x14ac:dyDescent="0.25">
      <c r="A5119" s="41">
        <v>350550</v>
      </c>
      <c r="B5119" s="39" t="s">
        <v>6671</v>
      </c>
      <c r="C5119" s="40">
        <v>4</v>
      </c>
      <c r="D5119" s="38" t="s">
        <v>266</v>
      </c>
    </row>
    <row r="5120" spans="1:4" x14ac:dyDescent="0.25">
      <c r="A5120" s="41">
        <v>350570</v>
      </c>
      <c r="B5120" s="39" t="s">
        <v>6672</v>
      </c>
      <c r="C5120" s="40">
        <v>4</v>
      </c>
      <c r="D5120" s="38" t="s">
        <v>266</v>
      </c>
    </row>
    <row r="5121" spans="1:4" x14ac:dyDescent="0.25">
      <c r="A5121" s="41">
        <v>350800</v>
      </c>
      <c r="B5121" s="39" t="s">
        <v>6673</v>
      </c>
      <c r="C5121" s="40">
        <v>3</v>
      </c>
      <c r="D5121" s="38" t="s">
        <v>266</v>
      </c>
    </row>
    <row r="5122" spans="1:4" x14ac:dyDescent="0.25">
      <c r="A5122" s="41">
        <v>350830</v>
      </c>
      <c r="B5122" s="39" t="s">
        <v>6674</v>
      </c>
      <c r="C5122" s="40">
        <v>4</v>
      </c>
      <c r="D5122" s="38" t="s">
        <v>266</v>
      </c>
    </row>
    <row r="5123" spans="1:4" x14ac:dyDescent="0.25">
      <c r="A5123" s="41">
        <v>350840</v>
      </c>
      <c r="B5123" s="39" t="s">
        <v>6675</v>
      </c>
      <c r="C5123" s="40">
        <v>4</v>
      </c>
      <c r="D5123" s="38" t="s">
        <v>266</v>
      </c>
    </row>
    <row r="5124" spans="1:4" x14ac:dyDescent="0.25">
      <c r="A5124" s="41">
        <v>350850</v>
      </c>
      <c r="B5124" s="39" t="s">
        <v>6676</v>
      </c>
      <c r="C5124" s="40">
        <v>4</v>
      </c>
      <c r="D5124" s="38" t="s">
        <v>266</v>
      </c>
    </row>
    <row r="5125" spans="1:4" x14ac:dyDescent="0.25">
      <c r="A5125" s="41">
        <v>350870</v>
      </c>
      <c r="B5125" s="39" t="s">
        <v>6677</v>
      </c>
      <c r="C5125" s="40">
        <v>4</v>
      </c>
      <c r="D5125" s="38" t="s">
        <v>266</v>
      </c>
    </row>
    <row r="5126" spans="1:4" x14ac:dyDescent="0.25">
      <c r="A5126" s="41">
        <v>351000</v>
      </c>
      <c r="B5126" s="39" t="s">
        <v>6678</v>
      </c>
      <c r="C5126" s="40">
        <v>3</v>
      </c>
      <c r="D5126" s="38" t="s">
        <v>266</v>
      </c>
    </row>
    <row r="5127" spans="1:4" x14ac:dyDescent="0.25">
      <c r="A5127" s="41">
        <v>351100</v>
      </c>
      <c r="B5127" s="39" t="s">
        <v>6679</v>
      </c>
      <c r="C5127" s="40">
        <v>3</v>
      </c>
      <c r="D5127" s="38" t="s">
        <v>266</v>
      </c>
    </row>
    <row r="5128" spans="1:4" x14ac:dyDescent="0.25">
      <c r="A5128" s="41">
        <v>351113</v>
      </c>
      <c r="B5128" s="39" t="s">
        <v>6680</v>
      </c>
      <c r="C5128" s="40">
        <v>4</v>
      </c>
      <c r="D5128" s="38" t="s">
        <v>266</v>
      </c>
    </row>
    <row r="5129" spans="1:4" x14ac:dyDescent="0.25">
      <c r="A5129" s="41">
        <v>351153</v>
      </c>
      <c r="B5129" s="39" t="s">
        <v>6681</v>
      </c>
      <c r="C5129" s="40">
        <v>4</v>
      </c>
      <c r="D5129" s="38" t="s">
        <v>266</v>
      </c>
    </row>
    <row r="5130" spans="1:4" x14ac:dyDescent="0.25">
      <c r="A5130" s="41">
        <v>351200</v>
      </c>
      <c r="B5130" s="39" t="s">
        <v>6682</v>
      </c>
      <c r="C5130" s="40">
        <v>3</v>
      </c>
      <c r="D5130" s="38" t="s">
        <v>266</v>
      </c>
    </row>
    <row r="5131" spans="1:4" x14ac:dyDescent="0.25">
      <c r="A5131" s="41">
        <v>351213</v>
      </c>
      <c r="B5131" s="39" t="s">
        <v>6683</v>
      </c>
      <c r="C5131" s="40">
        <v>4</v>
      </c>
      <c r="D5131" s="38" t="s">
        <v>266</v>
      </c>
    </row>
    <row r="5132" spans="1:4" x14ac:dyDescent="0.25">
      <c r="A5132" s="42">
        <v>351213.13</v>
      </c>
      <c r="B5132" s="39" t="s">
        <v>6684</v>
      </c>
      <c r="C5132" s="40">
        <v>5</v>
      </c>
      <c r="D5132" s="38" t="s">
        <v>266</v>
      </c>
    </row>
    <row r="5133" spans="1:4" x14ac:dyDescent="0.25">
      <c r="A5133" s="41">
        <v>351233</v>
      </c>
      <c r="B5133" s="39" t="s">
        <v>6685</v>
      </c>
      <c r="C5133" s="40">
        <v>4</v>
      </c>
      <c r="D5133" s="38" t="s">
        <v>266</v>
      </c>
    </row>
    <row r="5134" spans="1:4" x14ac:dyDescent="0.25">
      <c r="A5134" s="41">
        <v>351253</v>
      </c>
      <c r="B5134" s="39" t="s">
        <v>6686</v>
      </c>
      <c r="C5134" s="40">
        <v>4</v>
      </c>
      <c r="D5134" s="38" t="s">
        <v>266</v>
      </c>
    </row>
    <row r="5135" spans="1:4" x14ac:dyDescent="0.25">
      <c r="A5135" s="41">
        <v>351300</v>
      </c>
      <c r="B5135" s="39" t="s">
        <v>6687</v>
      </c>
      <c r="C5135" s="40">
        <v>3</v>
      </c>
      <c r="D5135" s="38" t="s">
        <v>266</v>
      </c>
    </row>
    <row r="5136" spans="1:4" x14ac:dyDescent="0.25">
      <c r="A5136" s="41">
        <v>351313</v>
      </c>
      <c r="B5136" s="39" t="s">
        <v>6688</v>
      </c>
      <c r="C5136" s="40">
        <v>4</v>
      </c>
      <c r="D5136" s="38" t="s">
        <v>266</v>
      </c>
    </row>
    <row r="5137" spans="1:4" x14ac:dyDescent="0.25">
      <c r="A5137" s="41">
        <v>351353</v>
      </c>
      <c r="B5137" s="39" t="s">
        <v>6689</v>
      </c>
      <c r="C5137" s="40">
        <v>4</v>
      </c>
      <c r="D5137" s="38" t="s">
        <v>266</v>
      </c>
    </row>
    <row r="5138" spans="1:4" x14ac:dyDescent="0.25">
      <c r="A5138" s="41">
        <v>352000</v>
      </c>
      <c r="B5138" s="39" t="s">
        <v>6690</v>
      </c>
      <c r="C5138" s="40">
        <v>3</v>
      </c>
      <c r="D5138" s="38" t="s">
        <v>266</v>
      </c>
    </row>
    <row r="5139" spans="1:4" x14ac:dyDescent="0.25">
      <c r="A5139" s="41">
        <v>352013</v>
      </c>
      <c r="B5139" s="39" t="s">
        <v>6691</v>
      </c>
      <c r="C5139" s="40">
        <v>4</v>
      </c>
      <c r="D5139" s="38" t="s">
        <v>266</v>
      </c>
    </row>
    <row r="5140" spans="1:4" x14ac:dyDescent="0.25">
      <c r="A5140" s="42">
        <v>352013.13</v>
      </c>
      <c r="B5140" s="39" t="s">
        <v>6692</v>
      </c>
      <c r="C5140" s="40">
        <v>5</v>
      </c>
      <c r="D5140" s="38" t="s">
        <v>266</v>
      </c>
    </row>
    <row r="5141" spans="1:4" x14ac:dyDescent="0.25">
      <c r="A5141" s="42">
        <v>352013.16</v>
      </c>
      <c r="B5141" s="39" t="s">
        <v>6693</v>
      </c>
      <c r="C5141" s="40">
        <v>5</v>
      </c>
      <c r="D5141" s="38" t="s">
        <v>266</v>
      </c>
    </row>
    <row r="5142" spans="1:4" x14ac:dyDescent="0.25">
      <c r="A5142" s="42">
        <v>352013.19</v>
      </c>
      <c r="B5142" s="39" t="s">
        <v>6694</v>
      </c>
      <c r="C5142" s="40">
        <v>5</v>
      </c>
      <c r="D5142" s="38" t="s">
        <v>266</v>
      </c>
    </row>
    <row r="5143" spans="1:4" x14ac:dyDescent="0.25">
      <c r="A5143" s="42">
        <v>352013.23</v>
      </c>
      <c r="B5143" s="39" t="s">
        <v>6695</v>
      </c>
      <c r="C5143" s="40">
        <v>5</v>
      </c>
      <c r="D5143" s="38" t="s">
        <v>266</v>
      </c>
    </row>
    <row r="5144" spans="1:4" x14ac:dyDescent="0.25">
      <c r="A5144" s="42">
        <v>352013.26</v>
      </c>
      <c r="B5144" s="39" t="s">
        <v>6696</v>
      </c>
      <c r="C5144" s="40">
        <v>5</v>
      </c>
      <c r="D5144" s="38" t="s">
        <v>266</v>
      </c>
    </row>
    <row r="5145" spans="1:4" x14ac:dyDescent="0.25">
      <c r="A5145" s="41">
        <v>352016</v>
      </c>
      <c r="B5145" s="39" t="s">
        <v>6697</v>
      </c>
      <c r="C5145" s="40">
        <v>4</v>
      </c>
      <c r="D5145" s="38" t="s">
        <v>266</v>
      </c>
    </row>
    <row r="5146" spans="1:4" x14ac:dyDescent="0.25">
      <c r="A5146" s="42">
        <v>352016.13</v>
      </c>
      <c r="B5146" s="39" t="s">
        <v>6698</v>
      </c>
      <c r="C5146" s="40">
        <v>5</v>
      </c>
      <c r="D5146" s="38" t="s">
        <v>266</v>
      </c>
    </row>
    <row r="5147" spans="1:4" x14ac:dyDescent="0.25">
      <c r="A5147" s="42">
        <v>352016.19</v>
      </c>
      <c r="B5147" s="39" t="s">
        <v>6699</v>
      </c>
      <c r="C5147" s="40">
        <v>5</v>
      </c>
      <c r="D5147" s="38" t="s">
        <v>266</v>
      </c>
    </row>
    <row r="5148" spans="1:4" x14ac:dyDescent="0.25">
      <c r="A5148" s="42">
        <v>352016.26</v>
      </c>
      <c r="B5148" s="39" t="s">
        <v>6700</v>
      </c>
      <c r="C5148" s="40">
        <v>5</v>
      </c>
      <c r="D5148" s="38" t="s">
        <v>266</v>
      </c>
    </row>
    <row r="5149" spans="1:4" x14ac:dyDescent="0.25">
      <c r="A5149" s="42">
        <v>352016.33</v>
      </c>
      <c r="B5149" s="39" t="s">
        <v>6701</v>
      </c>
      <c r="C5149" s="40">
        <v>5</v>
      </c>
      <c r="D5149" s="38" t="s">
        <v>266</v>
      </c>
    </row>
    <row r="5150" spans="1:4" x14ac:dyDescent="0.25">
      <c r="A5150" s="42">
        <v>352016.39</v>
      </c>
      <c r="B5150" s="39" t="s">
        <v>6702</v>
      </c>
      <c r="C5150" s="40">
        <v>5</v>
      </c>
      <c r="D5150" s="38" t="s">
        <v>266</v>
      </c>
    </row>
    <row r="5151" spans="1:4" x14ac:dyDescent="0.25">
      <c r="A5151" s="42">
        <v>352016.46</v>
      </c>
      <c r="B5151" s="39" t="s">
        <v>6703</v>
      </c>
      <c r="C5151" s="40">
        <v>5</v>
      </c>
      <c r="D5151" s="38" t="s">
        <v>266</v>
      </c>
    </row>
    <row r="5152" spans="1:4" x14ac:dyDescent="0.25">
      <c r="A5152" s="42">
        <v>352016.53</v>
      </c>
      <c r="B5152" s="39" t="s">
        <v>6704</v>
      </c>
      <c r="C5152" s="40">
        <v>5</v>
      </c>
      <c r="D5152" s="38" t="s">
        <v>266</v>
      </c>
    </row>
    <row r="5153" spans="1:4" x14ac:dyDescent="0.25">
      <c r="A5153" s="42">
        <v>352016.59</v>
      </c>
      <c r="B5153" s="39" t="s">
        <v>6705</v>
      </c>
      <c r="C5153" s="40">
        <v>5</v>
      </c>
      <c r="D5153" s="38" t="s">
        <v>266</v>
      </c>
    </row>
    <row r="5154" spans="1:4" x14ac:dyDescent="0.25">
      <c r="A5154" s="41">
        <v>352019</v>
      </c>
      <c r="B5154" s="39" t="s">
        <v>6706</v>
      </c>
      <c r="C5154" s="40">
        <v>4</v>
      </c>
      <c r="D5154" s="38" t="s">
        <v>266</v>
      </c>
    </row>
    <row r="5155" spans="1:4" x14ac:dyDescent="0.25">
      <c r="A5155" s="42">
        <v>352019.13</v>
      </c>
      <c r="B5155" s="39" t="s">
        <v>6707</v>
      </c>
      <c r="C5155" s="40">
        <v>5</v>
      </c>
      <c r="D5155" s="38" t="s">
        <v>266</v>
      </c>
    </row>
    <row r="5156" spans="1:4" x14ac:dyDescent="0.25">
      <c r="A5156" s="42">
        <v>352019.23</v>
      </c>
      <c r="B5156" s="39" t="s">
        <v>6708</v>
      </c>
      <c r="C5156" s="40">
        <v>5</v>
      </c>
      <c r="D5156" s="38" t="s">
        <v>266</v>
      </c>
    </row>
    <row r="5157" spans="1:4" x14ac:dyDescent="0.25">
      <c r="A5157" s="41">
        <v>352023</v>
      </c>
      <c r="B5157" s="39" t="s">
        <v>6709</v>
      </c>
      <c r="C5157" s="40">
        <v>4</v>
      </c>
      <c r="D5157" s="38" t="s">
        <v>266</v>
      </c>
    </row>
    <row r="5158" spans="1:4" x14ac:dyDescent="0.25">
      <c r="A5158" s="42">
        <v>352023.13</v>
      </c>
      <c r="B5158" s="39" t="s">
        <v>6710</v>
      </c>
      <c r="C5158" s="40">
        <v>5</v>
      </c>
      <c r="D5158" s="38" t="s">
        <v>266</v>
      </c>
    </row>
    <row r="5159" spans="1:4" x14ac:dyDescent="0.25">
      <c r="A5159" s="42">
        <v>352023.23</v>
      </c>
      <c r="B5159" s="39" t="s">
        <v>6711</v>
      </c>
      <c r="C5159" s="40">
        <v>5</v>
      </c>
      <c r="D5159" s="38" t="s">
        <v>266</v>
      </c>
    </row>
    <row r="5160" spans="1:4" x14ac:dyDescent="0.25">
      <c r="A5160" s="42">
        <v>352023.33</v>
      </c>
      <c r="B5160" s="39" t="s">
        <v>6712</v>
      </c>
      <c r="C5160" s="40">
        <v>5</v>
      </c>
      <c r="D5160" s="38" t="s">
        <v>266</v>
      </c>
    </row>
    <row r="5161" spans="1:4" x14ac:dyDescent="0.25">
      <c r="A5161" s="41">
        <v>353000</v>
      </c>
      <c r="B5161" s="39" t="s">
        <v>6713</v>
      </c>
      <c r="C5161" s="40">
        <v>3</v>
      </c>
      <c r="D5161" s="38" t="s">
        <v>266</v>
      </c>
    </row>
    <row r="5162" spans="1:4" x14ac:dyDescent="0.25">
      <c r="A5162" s="41">
        <v>353100</v>
      </c>
      <c r="B5162" s="39" t="s">
        <v>6714</v>
      </c>
      <c r="C5162" s="40">
        <v>3</v>
      </c>
      <c r="D5162" s="38" t="s">
        <v>266</v>
      </c>
    </row>
    <row r="5163" spans="1:4" x14ac:dyDescent="0.25">
      <c r="A5163" s="41">
        <v>353116</v>
      </c>
      <c r="B5163" s="39" t="s">
        <v>6715</v>
      </c>
      <c r="C5163" s="40">
        <v>4</v>
      </c>
      <c r="D5163" s="38" t="s">
        <v>266</v>
      </c>
    </row>
    <row r="5164" spans="1:4" x14ac:dyDescent="0.25">
      <c r="A5164" s="42">
        <v>353116.13</v>
      </c>
      <c r="B5164" s="39" t="s">
        <v>6716</v>
      </c>
      <c r="C5164" s="40">
        <v>5</v>
      </c>
      <c r="D5164" s="38" t="s">
        <v>266</v>
      </c>
    </row>
    <row r="5165" spans="1:4" x14ac:dyDescent="0.25">
      <c r="A5165" s="42">
        <v>353116.15999999997</v>
      </c>
      <c r="B5165" s="39" t="s">
        <v>6717</v>
      </c>
      <c r="C5165" s="40">
        <v>5</v>
      </c>
      <c r="D5165" s="38" t="s">
        <v>266</v>
      </c>
    </row>
    <row r="5166" spans="1:4" x14ac:dyDescent="0.25">
      <c r="A5166" s="42">
        <v>353116.19</v>
      </c>
      <c r="B5166" s="39" t="s">
        <v>6718</v>
      </c>
      <c r="C5166" s="40">
        <v>5</v>
      </c>
      <c r="D5166" s="38" t="s">
        <v>266</v>
      </c>
    </row>
    <row r="5167" spans="1:4" x14ac:dyDescent="0.25">
      <c r="A5167" s="42">
        <v>353116.23</v>
      </c>
      <c r="B5167" s="39" t="s">
        <v>6719</v>
      </c>
      <c r="C5167" s="40">
        <v>5</v>
      </c>
      <c r="D5167" s="38" t="s">
        <v>266</v>
      </c>
    </row>
    <row r="5168" spans="1:4" x14ac:dyDescent="0.25">
      <c r="A5168" s="42">
        <v>353116.4</v>
      </c>
      <c r="B5168" s="39" t="s">
        <v>6720</v>
      </c>
      <c r="C5168" s="40">
        <v>5</v>
      </c>
      <c r="D5168" s="38" t="s">
        <v>266</v>
      </c>
    </row>
    <row r="5169" spans="1:4" x14ac:dyDescent="0.25">
      <c r="A5169" s="41">
        <v>353119</v>
      </c>
      <c r="B5169" s="39" t="s">
        <v>6721</v>
      </c>
      <c r="C5169" s="40">
        <v>4</v>
      </c>
      <c r="D5169" s="38" t="s">
        <v>266</v>
      </c>
    </row>
    <row r="5170" spans="1:4" x14ac:dyDescent="0.25">
      <c r="A5170" s="42">
        <v>353119.13</v>
      </c>
      <c r="B5170" s="39" t="s">
        <v>6722</v>
      </c>
      <c r="C5170" s="40">
        <v>5</v>
      </c>
      <c r="D5170" s="38" t="s">
        <v>266</v>
      </c>
    </row>
    <row r="5171" spans="1:4" x14ac:dyDescent="0.25">
      <c r="A5171" s="42">
        <v>353119.16</v>
      </c>
      <c r="B5171" s="39" t="s">
        <v>6723</v>
      </c>
      <c r="C5171" s="40">
        <v>5</v>
      </c>
      <c r="D5171" s="38" t="s">
        <v>266</v>
      </c>
    </row>
    <row r="5172" spans="1:4" x14ac:dyDescent="0.25">
      <c r="A5172" s="42">
        <v>353119.36</v>
      </c>
      <c r="B5172" s="39" t="s">
        <v>6724</v>
      </c>
      <c r="C5172" s="40">
        <v>5</v>
      </c>
      <c r="D5172" s="38" t="s">
        <v>266</v>
      </c>
    </row>
    <row r="5173" spans="1:4" x14ac:dyDescent="0.25">
      <c r="A5173" s="42">
        <v>353119.4</v>
      </c>
      <c r="B5173" s="39" t="s">
        <v>6725</v>
      </c>
      <c r="C5173" s="40">
        <v>5</v>
      </c>
      <c r="D5173" s="38" t="s">
        <v>266</v>
      </c>
    </row>
    <row r="5174" spans="1:4" x14ac:dyDescent="0.25">
      <c r="A5174" s="41">
        <v>353123</v>
      </c>
      <c r="B5174" s="39" t="s">
        <v>6726</v>
      </c>
      <c r="C5174" s="40">
        <v>4</v>
      </c>
      <c r="D5174" s="38" t="s">
        <v>266</v>
      </c>
    </row>
    <row r="5175" spans="1:4" x14ac:dyDescent="0.25">
      <c r="A5175" s="42">
        <v>353123.13</v>
      </c>
      <c r="B5175" s="39" t="s">
        <v>6727</v>
      </c>
      <c r="C5175" s="40">
        <v>5</v>
      </c>
      <c r="D5175" s="38" t="s">
        <v>266</v>
      </c>
    </row>
    <row r="5176" spans="1:4" x14ac:dyDescent="0.25">
      <c r="A5176" s="42">
        <v>353123.16</v>
      </c>
      <c r="B5176" s="39" t="s">
        <v>6728</v>
      </c>
      <c r="C5176" s="40">
        <v>5</v>
      </c>
      <c r="D5176" s="38" t="s">
        <v>266</v>
      </c>
    </row>
    <row r="5177" spans="1:4" x14ac:dyDescent="0.25">
      <c r="A5177" s="41">
        <v>353126</v>
      </c>
      <c r="B5177" s="39" t="s">
        <v>6729</v>
      </c>
      <c r="C5177" s="40">
        <v>4</v>
      </c>
      <c r="D5177" s="38" t="s">
        <v>266</v>
      </c>
    </row>
    <row r="5178" spans="1:4" x14ac:dyDescent="0.25">
      <c r="A5178" s="42">
        <v>353126.13</v>
      </c>
      <c r="B5178" s="39" t="s">
        <v>6730</v>
      </c>
      <c r="C5178" s="40">
        <v>5</v>
      </c>
      <c r="D5178" s="38" t="s">
        <v>266</v>
      </c>
    </row>
    <row r="5179" spans="1:4" x14ac:dyDescent="0.25">
      <c r="A5179" s="42">
        <v>353126.16</v>
      </c>
      <c r="B5179" s="39" t="s">
        <v>6731</v>
      </c>
      <c r="C5179" s="40">
        <v>5</v>
      </c>
      <c r="D5179" s="38" t="s">
        <v>266</v>
      </c>
    </row>
    <row r="5180" spans="1:4" x14ac:dyDescent="0.25">
      <c r="A5180" s="42">
        <v>353126.36</v>
      </c>
      <c r="B5180" s="39" t="s">
        <v>6732</v>
      </c>
      <c r="C5180" s="40">
        <v>5</v>
      </c>
      <c r="D5180" s="38" t="s">
        <v>266</v>
      </c>
    </row>
    <row r="5181" spans="1:4" x14ac:dyDescent="0.25">
      <c r="A5181" s="42">
        <v>353126.40000000002</v>
      </c>
      <c r="B5181" s="39" t="s">
        <v>6733</v>
      </c>
      <c r="C5181" s="40">
        <v>5</v>
      </c>
      <c r="D5181" s="38" t="s">
        <v>266</v>
      </c>
    </row>
    <row r="5182" spans="1:4" x14ac:dyDescent="0.25">
      <c r="A5182" s="41">
        <v>353129</v>
      </c>
      <c r="B5182" s="39" t="s">
        <v>6734</v>
      </c>
      <c r="C5182" s="40">
        <v>4</v>
      </c>
      <c r="D5182" s="38" t="s">
        <v>266</v>
      </c>
    </row>
    <row r="5183" spans="1:4" x14ac:dyDescent="0.25">
      <c r="A5183" s="42">
        <v>353129.13</v>
      </c>
      <c r="B5183" s="39" t="s">
        <v>6735</v>
      </c>
      <c r="C5183" s="40">
        <v>5</v>
      </c>
      <c r="D5183" s="38" t="s">
        <v>266</v>
      </c>
    </row>
    <row r="5184" spans="1:4" x14ac:dyDescent="0.25">
      <c r="A5184" s="42">
        <v>353129.16</v>
      </c>
      <c r="B5184" s="39" t="s">
        <v>6736</v>
      </c>
      <c r="C5184" s="40">
        <v>5</v>
      </c>
      <c r="D5184" s="38" t="s">
        <v>266</v>
      </c>
    </row>
    <row r="5185" spans="1:4" x14ac:dyDescent="0.25">
      <c r="A5185" s="42">
        <v>353129.26</v>
      </c>
      <c r="B5185" s="39" t="s">
        <v>6737</v>
      </c>
      <c r="C5185" s="40">
        <v>5</v>
      </c>
      <c r="D5185" s="38" t="s">
        <v>266</v>
      </c>
    </row>
    <row r="5186" spans="1:4" x14ac:dyDescent="0.25">
      <c r="A5186" s="42">
        <v>353129.36</v>
      </c>
      <c r="B5186" s="39" t="s">
        <v>6738</v>
      </c>
      <c r="C5186" s="40">
        <v>5</v>
      </c>
      <c r="D5186" s="38" t="s">
        <v>266</v>
      </c>
    </row>
    <row r="5187" spans="1:4" x14ac:dyDescent="0.25">
      <c r="A5187" s="42">
        <v>353129.4</v>
      </c>
      <c r="B5187" s="39" t="s">
        <v>6739</v>
      </c>
      <c r="C5187" s="40">
        <v>5</v>
      </c>
      <c r="D5187" s="38" t="s">
        <v>266</v>
      </c>
    </row>
    <row r="5188" spans="1:4" x14ac:dyDescent="0.25">
      <c r="A5188" s="41">
        <v>353200</v>
      </c>
      <c r="B5188" s="39" t="s">
        <v>6740</v>
      </c>
      <c r="C5188" s="40">
        <v>3</v>
      </c>
      <c r="D5188" s="38" t="s">
        <v>266</v>
      </c>
    </row>
    <row r="5189" spans="1:4" x14ac:dyDescent="0.25">
      <c r="A5189" s="41">
        <v>353213</v>
      </c>
      <c r="B5189" s="39" t="s">
        <v>6741</v>
      </c>
      <c r="C5189" s="40">
        <v>4</v>
      </c>
      <c r="D5189" s="38" t="s">
        <v>266</v>
      </c>
    </row>
    <row r="5190" spans="1:4" x14ac:dyDescent="0.25">
      <c r="A5190" s="42">
        <v>353213.13</v>
      </c>
      <c r="B5190" s="39" t="s">
        <v>6742</v>
      </c>
      <c r="C5190" s="40">
        <v>5</v>
      </c>
      <c r="D5190" s="38" t="s">
        <v>266</v>
      </c>
    </row>
    <row r="5191" spans="1:4" x14ac:dyDescent="0.25">
      <c r="A5191" s="42">
        <v>353213.19</v>
      </c>
      <c r="B5191" s="39" t="s">
        <v>6743</v>
      </c>
      <c r="C5191" s="40">
        <v>5</v>
      </c>
      <c r="D5191" s="38" t="s">
        <v>266</v>
      </c>
    </row>
    <row r="5192" spans="1:4" x14ac:dyDescent="0.25">
      <c r="A5192" s="42">
        <v>353213.33</v>
      </c>
      <c r="B5192" s="39" t="s">
        <v>6744</v>
      </c>
      <c r="C5192" s="40">
        <v>5</v>
      </c>
      <c r="D5192" s="38" t="s">
        <v>266</v>
      </c>
    </row>
    <row r="5193" spans="1:4" x14ac:dyDescent="0.25">
      <c r="A5193" s="41">
        <v>353216</v>
      </c>
      <c r="B5193" s="39" t="s">
        <v>6745</v>
      </c>
      <c r="C5193" s="40">
        <v>4</v>
      </c>
      <c r="D5193" s="38" t="s">
        <v>266</v>
      </c>
    </row>
    <row r="5194" spans="1:4" x14ac:dyDescent="0.25">
      <c r="A5194" s="42">
        <v>353216.13</v>
      </c>
      <c r="B5194" s="39" t="s">
        <v>6746</v>
      </c>
      <c r="C5194" s="40">
        <v>5</v>
      </c>
      <c r="D5194" s="38" t="s">
        <v>266</v>
      </c>
    </row>
    <row r="5195" spans="1:4" x14ac:dyDescent="0.25">
      <c r="A5195" s="42">
        <v>353216.19</v>
      </c>
      <c r="B5195" s="39" t="s">
        <v>6747</v>
      </c>
      <c r="C5195" s="40">
        <v>5</v>
      </c>
      <c r="D5195" s="38" t="s">
        <v>266</v>
      </c>
    </row>
    <row r="5196" spans="1:4" x14ac:dyDescent="0.25">
      <c r="A5196" s="41">
        <v>354000</v>
      </c>
      <c r="B5196" s="39" t="s">
        <v>6748</v>
      </c>
      <c r="C5196" s="40">
        <v>3</v>
      </c>
      <c r="D5196" s="38" t="s">
        <v>266</v>
      </c>
    </row>
    <row r="5197" spans="1:4" x14ac:dyDescent="0.25">
      <c r="A5197" s="41">
        <v>354100</v>
      </c>
      <c r="B5197" s="39" t="s">
        <v>6749</v>
      </c>
      <c r="C5197" s="40">
        <v>3</v>
      </c>
      <c r="D5197" s="38" t="s">
        <v>266</v>
      </c>
    </row>
    <row r="5198" spans="1:4" x14ac:dyDescent="0.25">
      <c r="A5198" s="41">
        <v>354113</v>
      </c>
      <c r="B5198" s="39" t="s">
        <v>6750</v>
      </c>
      <c r="C5198" s="40">
        <v>4</v>
      </c>
      <c r="D5198" s="38" t="s">
        <v>266</v>
      </c>
    </row>
    <row r="5199" spans="1:4" x14ac:dyDescent="0.25">
      <c r="A5199" s="42">
        <v>354113.13</v>
      </c>
      <c r="B5199" s="39" t="s">
        <v>6751</v>
      </c>
      <c r="C5199" s="40">
        <v>5</v>
      </c>
      <c r="D5199" s="38" t="s">
        <v>266</v>
      </c>
    </row>
    <row r="5200" spans="1:4" x14ac:dyDescent="0.25">
      <c r="A5200" s="42">
        <v>354113.16</v>
      </c>
      <c r="B5200" s="39" t="s">
        <v>6752</v>
      </c>
      <c r="C5200" s="40">
        <v>5</v>
      </c>
      <c r="D5200" s="38" t="s">
        <v>266</v>
      </c>
    </row>
    <row r="5201" spans="1:4" x14ac:dyDescent="0.25">
      <c r="A5201" s="41">
        <v>354116</v>
      </c>
      <c r="B5201" s="39" t="s">
        <v>6753</v>
      </c>
      <c r="C5201" s="40">
        <v>4</v>
      </c>
      <c r="D5201" s="38" t="s">
        <v>266</v>
      </c>
    </row>
    <row r="5202" spans="1:4" x14ac:dyDescent="0.25">
      <c r="A5202" s="41">
        <v>354119</v>
      </c>
      <c r="B5202" s="39" t="s">
        <v>6754</v>
      </c>
      <c r="C5202" s="40">
        <v>4</v>
      </c>
      <c r="D5202" s="38" t="s">
        <v>266</v>
      </c>
    </row>
    <row r="5203" spans="1:4" x14ac:dyDescent="0.25">
      <c r="A5203" s="41">
        <v>354200</v>
      </c>
      <c r="B5203" s="39" t="s">
        <v>6755</v>
      </c>
      <c r="C5203" s="40">
        <v>3</v>
      </c>
      <c r="D5203" s="38" t="s">
        <v>266</v>
      </c>
    </row>
    <row r="5204" spans="1:4" x14ac:dyDescent="0.25">
      <c r="A5204" s="41">
        <v>354213</v>
      </c>
      <c r="B5204" s="39" t="s">
        <v>6756</v>
      </c>
      <c r="C5204" s="40">
        <v>4</v>
      </c>
      <c r="D5204" s="38" t="s">
        <v>266</v>
      </c>
    </row>
    <row r="5205" spans="1:4" x14ac:dyDescent="0.25">
      <c r="A5205" s="42">
        <v>354213.19</v>
      </c>
      <c r="B5205" s="39" t="s">
        <v>6757</v>
      </c>
      <c r="C5205" s="40">
        <v>5</v>
      </c>
      <c r="D5205" s="38" t="s">
        <v>266</v>
      </c>
    </row>
    <row r="5206" spans="1:4" x14ac:dyDescent="0.25">
      <c r="A5206" s="42">
        <v>354213.23</v>
      </c>
      <c r="B5206" s="39" t="s">
        <v>6758</v>
      </c>
      <c r="C5206" s="40">
        <v>5</v>
      </c>
      <c r="D5206" s="38" t="s">
        <v>266</v>
      </c>
    </row>
    <row r="5207" spans="1:4" x14ac:dyDescent="0.25">
      <c r="A5207" s="42">
        <v>354213.26</v>
      </c>
      <c r="B5207" s="39" t="s">
        <v>6759</v>
      </c>
      <c r="C5207" s="40">
        <v>5</v>
      </c>
      <c r="D5207" s="38" t="s">
        <v>266</v>
      </c>
    </row>
    <row r="5208" spans="1:4" x14ac:dyDescent="0.25">
      <c r="A5208" s="41">
        <v>354229</v>
      </c>
      <c r="B5208" s="39" t="s">
        <v>6760</v>
      </c>
      <c r="C5208" s="40">
        <v>4</v>
      </c>
      <c r="D5208" s="38" t="s">
        <v>266</v>
      </c>
    </row>
    <row r="5209" spans="1:4" x14ac:dyDescent="0.25">
      <c r="A5209" s="41">
        <v>354234</v>
      </c>
      <c r="B5209" s="39" t="s">
        <v>6761</v>
      </c>
      <c r="C5209" s="40">
        <v>4</v>
      </c>
      <c r="D5209" s="38" t="s">
        <v>266</v>
      </c>
    </row>
    <row r="5210" spans="1:4" x14ac:dyDescent="0.25">
      <c r="A5210" s="41">
        <v>354235</v>
      </c>
      <c r="B5210" s="39" t="s">
        <v>6762</v>
      </c>
      <c r="C5210" s="40">
        <v>4</v>
      </c>
      <c r="D5210" s="38" t="s">
        <v>266</v>
      </c>
    </row>
    <row r="5211" spans="1:4" x14ac:dyDescent="0.25">
      <c r="A5211" s="41">
        <v>354236</v>
      </c>
      <c r="B5211" s="39" t="s">
        <v>6763</v>
      </c>
      <c r="C5211" s="40">
        <v>4</v>
      </c>
      <c r="D5211" s="38" t="s">
        <v>266</v>
      </c>
    </row>
    <row r="5212" spans="1:4" x14ac:dyDescent="0.25">
      <c r="A5212" s="41">
        <v>354237</v>
      </c>
      <c r="B5212" s="39" t="s">
        <v>6764</v>
      </c>
      <c r="C5212" s="40">
        <v>4</v>
      </c>
      <c r="D5212" s="38" t="s">
        <v>266</v>
      </c>
    </row>
    <row r="5213" spans="1:4" x14ac:dyDescent="0.25">
      <c r="A5213" s="41">
        <v>354253</v>
      </c>
      <c r="B5213" s="39" t="s">
        <v>6765</v>
      </c>
      <c r="C5213" s="40">
        <v>4</v>
      </c>
      <c r="D5213" s="38" t="s">
        <v>266</v>
      </c>
    </row>
    <row r="5214" spans="1:4" x14ac:dyDescent="0.25">
      <c r="A5214" s="42">
        <v>354253.16</v>
      </c>
      <c r="B5214" s="39" t="s">
        <v>6766</v>
      </c>
      <c r="C5214" s="40">
        <v>5</v>
      </c>
      <c r="D5214" s="38" t="s">
        <v>266</v>
      </c>
    </row>
    <row r="5215" spans="1:4" x14ac:dyDescent="0.25">
      <c r="A5215" s="42">
        <v>354253.19</v>
      </c>
      <c r="B5215" s="39" t="s">
        <v>6767</v>
      </c>
      <c r="C5215" s="40">
        <v>5</v>
      </c>
      <c r="D5215" s="38" t="s">
        <v>266</v>
      </c>
    </row>
    <row r="5216" spans="1:4" x14ac:dyDescent="0.25">
      <c r="A5216" s="42">
        <v>354253.4</v>
      </c>
      <c r="B5216" s="39" t="s">
        <v>6768</v>
      </c>
      <c r="C5216" s="40">
        <v>5</v>
      </c>
      <c r="D5216" s="38" t="s">
        <v>266</v>
      </c>
    </row>
    <row r="5217" spans="1:4" x14ac:dyDescent="0.25">
      <c r="A5217" s="41">
        <v>354300</v>
      </c>
      <c r="B5217" s="39" t="s">
        <v>6769</v>
      </c>
      <c r="C5217" s="40">
        <v>3</v>
      </c>
      <c r="D5217" s="38" t="s">
        <v>266</v>
      </c>
    </row>
    <row r="5218" spans="1:4" x14ac:dyDescent="0.25">
      <c r="A5218" s="41">
        <v>354329</v>
      </c>
      <c r="B5218" s="39" t="s">
        <v>6770</v>
      </c>
      <c r="C5218" s="40">
        <v>4</v>
      </c>
      <c r="D5218" s="38" t="s">
        <v>266</v>
      </c>
    </row>
    <row r="5219" spans="1:4" x14ac:dyDescent="0.25">
      <c r="A5219" s="41">
        <v>354334</v>
      </c>
      <c r="B5219" s="39" t="s">
        <v>6771</v>
      </c>
      <c r="C5219" s="40">
        <v>4</v>
      </c>
      <c r="D5219" s="38" t="s">
        <v>266</v>
      </c>
    </row>
    <row r="5220" spans="1:4" x14ac:dyDescent="0.25">
      <c r="A5220" s="41">
        <v>354335</v>
      </c>
      <c r="B5220" s="39" t="s">
        <v>6772</v>
      </c>
      <c r="C5220" s="40">
        <v>4</v>
      </c>
      <c r="D5220" s="38" t="s">
        <v>266</v>
      </c>
    </row>
    <row r="5221" spans="1:4" x14ac:dyDescent="0.25">
      <c r="A5221" s="41">
        <v>354336</v>
      </c>
      <c r="B5221" s="39" t="s">
        <v>6773</v>
      </c>
      <c r="C5221" s="40">
        <v>4</v>
      </c>
      <c r="D5221" s="38" t="s">
        <v>266</v>
      </c>
    </row>
    <row r="5222" spans="1:4" x14ac:dyDescent="0.25">
      <c r="A5222" s="41">
        <v>354337</v>
      </c>
      <c r="B5222" s="39" t="s">
        <v>6774</v>
      </c>
      <c r="C5222" s="40">
        <v>4</v>
      </c>
      <c r="D5222" s="38" t="s">
        <v>266</v>
      </c>
    </row>
    <row r="5223" spans="1:4" x14ac:dyDescent="0.25">
      <c r="A5223" s="41">
        <v>354353</v>
      </c>
      <c r="B5223" s="39" t="s">
        <v>6775</v>
      </c>
      <c r="C5223" s="40">
        <v>4</v>
      </c>
      <c r="D5223" s="38" t="s">
        <v>266</v>
      </c>
    </row>
    <row r="5224" spans="1:4" x14ac:dyDescent="0.25">
      <c r="A5224" s="42">
        <v>354353.13</v>
      </c>
      <c r="B5224" s="39" t="s">
        <v>6776</v>
      </c>
      <c r="C5224" s="40">
        <v>5</v>
      </c>
      <c r="D5224" s="38" t="s">
        <v>266</v>
      </c>
    </row>
    <row r="5225" spans="1:4" x14ac:dyDescent="0.25">
      <c r="A5225" s="42">
        <v>354353.16</v>
      </c>
      <c r="B5225" s="39" t="s">
        <v>6777</v>
      </c>
      <c r="C5225" s="40">
        <v>5</v>
      </c>
      <c r="D5225" s="38" t="s">
        <v>266</v>
      </c>
    </row>
    <row r="5226" spans="1:4" x14ac:dyDescent="0.25">
      <c r="A5226" s="42">
        <v>354353.4</v>
      </c>
      <c r="B5226" s="39" t="s">
        <v>6778</v>
      </c>
      <c r="C5226" s="40">
        <v>5</v>
      </c>
      <c r="D5226" s="38" t="s">
        <v>266</v>
      </c>
    </row>
    <row r="5227" spans="1:4" x14ac:dyDescent="0.25">
      <c r="A5227" s="41">
        <v>354900</v>
      </c>
      <c r="B5227" s="39" t="s">
        <v>6779</v>
      </c>
      <c r="C5227" s="40">
        <v>3</v>
      </c>
      <c r="D5227" s="38" t="s">
        <v>266</v>
      </c>
    </row>
    <row r="5228" spans="1:4" x14ac:dyDescent="0.25">
      <c r="A5228" s="41">
        <v>354913</v>
      </c>
      <c r="B5228" s="39" t="s">
        <v>6780</v>
      </c>
      <c r="C5228" s="40">
        <v>4</v>
      </c>
      <c r="D5228" s="38" t="s">
        <v>266</v>
      </c>
    </row>
    <row r="5229" spans="1:4" x14ac:dyDescent="0.25">
      <c r="A5229" s="42">
        <v>354913.13</v>
      </c>
      <c r="B5229" s="39" t="s">
        <v>6781</v>
      </c>
      <c r="C5229" s="40">
        <v>5</v>
      </c>
      <c r="D5229" s="38" t="s">
        <v>266</v>
      </c>
    </row>
    <row r="5230" spans="1:4" x14ac:dyDescent="0.25">
      <c r="A5230" s="42">
        <v>354913.16</v>
      </c>
      <c r="B5230" s="39" t="s">
        <v>6782</v>
      </c>
      <c r="C5230" s="40">
        <v>5</v>
      </c>
      <c r="D5230" s="38" t="s">
        <v>266</v>
      </c>
    </row>
    <row r="5231" spans="1:4" x14ac:dyDescent="0.25">
      <c r="A5231" s="41">
        <v>354923</v>
      </c>
      <c r="B5231" s="39" t="s">
        <v>6783</v>
      </c>
      <c r="C5231" s="40">
        <v>4</v>
      </c>
      <c r="D5231" s="38" t="s">
        <v>266</v>
      </c>
    </row>
    <row r="5232" spans="1:4" x14ac:dyDescent="0.25">
      <c r="A5232" s="42">
        <v>354923.13</v>
      </c>
      <c r="B5232" s="39" t="s">
        <v>6784</v>
      </c>
      <c r="C5232" s="40">
        <v>5</v>
      </c>
      <c r="D5232" s="38" t="s">
        <v>266</v>
      </c>
    </row>
    <row r="5233" spans="1:4" x14ac:dyDescent="0.25">
      <c r="A5233" s="42">
        <v>354923.23</v>
      </c>
      <c r="B5233" s="39" t="s">
        <v>6785</v>
      </c>
      <c r="C5233" s="40">
        <v>5</v>
      </c>
      <c r="D5233" s="38" t="s">
        <v>266</v>
      </c>
    </row>
    <row r="5234" spans="1:4" x14ac:dyDescent="0.25">
      <c r="A5234" s="41">
        <v>354926</v>
      </c>
      <c r="B5234" s="39" t="s">
        <v>6786</v>
      </c>
      <c r="C5234" s="40">
        <v>4</v>
      </c>
      <c r="D5234" s="38" t="s">
        <v>266</v>
      </c>
    </row>
    <row r="5235" spans="1:4" x14ac:dyDescent="0.25">
      <c r="A5235" s="41">
        <v>355000</v>
      </c>
      <c r="B5235" s="39" t="s">
        <v>6787</v>
      </c>
      <c r="C5235" s="40">
        <v>3</v>
      </c>
      <c r="D5235" s="38" t="s">
        <v>266</v>
      </c>
    </row>
    <row r="5236" spans="1:4" x14ac:dyDescent="0.25">
      <c r="A5236" s="41">
        <v>355100</v>
      </c>
      <c r="B5236" s="39" t="s">
        <v>6788</v>
      </c>
      <c r="C5236" s="40">
        <v>3</v>
      </c>
      <c r="D5236" s="38" t="s">
        <v>266</v>
      </c>
    </row>
    <row r="5237" spans="1:4" x14ac:dyDescent="0.25">
      <c r="A5237" s="41">
        <v>355113</v>
      </c>
      <c r="B5237" s="39" t="s">
        <v>6789</v>
      </c>
      <c r="C5237" s="40">
        <v>4</v>
      </c>
      <c r="D5237" s="38" t="s">
        <v>266</v>
      </c>
    </row>
    <row r="5238" spans="1:4" x14ac:dyDescent="0.25">
      <c r="A5238" s="42">
        <v>355113.23</v>
      </c>
      <c r="B5238" s="39" t="s">
        <v>6790</v>
      </c>
      <c r="C5238" s="40">
        <v>5</v>
      </c>
      <c r="D5238" s="38" t="s">
        <v>266</v>
      </c>
    </row>
    <row r="5239" spans="1:4" x14ac:dyDescent="0.25">
      <c r="A5239" s="42">
        <v>355113.26</v>
      </c>
      <c r="B5239" s="39" t="s">
        <v>6791</v>
      </c>
      <c r="C5239" s="40">
        <v>5</v>
      </c>
      <c r="D5239" s="38" t="s">
        <v>266</v>
      </c>
    </row>
    <row r="5240" spans="1:4" x14ac:dyDescent="0.25">
      <c r="A5240" s="41">
        <v>355123</v>
      </c>
      <c r="B5240" s="39" t="s">
        <v>6792</v>
      </c>
      <c r="C5240" s="40">
        <v>4</v>
      </c>
      <c r="D5240" s="38" t="s">
        <v>266</v>
      </c>
    </row>
    <row r="5241" spans="1:4" x14ac:dyDescent="0.25">
      <c r="A5241" s="41">
        <v>355200</v>
      </c>
      <c r="B5241" s="39" t="s">
        <v>6793</v>
      </c>
      <c r="C5241" s="40">
        <v>3</v>
      </c>
      <c r="D5241" s="38" t="s">
        <v>266</v>
      </c>
    </row>
    <row r="5242" spans="1:4" x14ac:dyDescent="0.25">
      <c r="A5242" s="41">
        <v>355213</v>
      </c>
      <c r="B5242" s="39" t="s">
        <v>6794</v>
      </c>
      <c r="C5242" s="40">
        <v>4</v>
      </c>
      <c r="D5242" s="38" t="s">
        <v>266</v>
      </c>
    </row>
    <row r="5243" spans="1:4" x14ac:dyDescent="0.25">
      <c r="A5243" s="41">
        <v>355223</v>
      </c>
      <c r="B5243" s="39" t="s">
        <v>6795</v>
      </c>
      <c r="C5243" s="40">
        <v>4</v>
      </c>
      <c r="D5243" s="38" t="s">
        <v>266</v>
      </c>
    </row>
    <row r="5244" spans="1:4" x14ac:dyDescent="0.25">
      <c r="A5244" s="41">
        <v>355233</v>
      </c>
      <c r="B5244" s="39" t="s">
        <v>6796</v>
      </c>
      <c r="C5244" s="40">
        <v>4</v>
      </c>
      <c r="D5244" s="38" t="s">
        <v>266</v>
      </c>
    </row>
    <row r="5245" spans="1:4" x14ac:dyDescent="0.25">
      <c r="A5245" s="41">
        <v>355300</v>
      </c>
      <c r="B5245" s="39" t="s">
        <v>6797</v>
      </c>
      <c r="C5245" s="40">
        <v>3</v>
      </c>
      <c r="D5245" s="38" t="s">
        <v>266</v>
      </c>
    </row>
    <row r="5246" spans="1:4" x14ac:dyDescent="0.25">
      <c r="A5246" s="41">
        <v>355323</v>
      </c>
      <c r="B5246" s="39" t="s">
        <v>6798</v>
      </c>
      <c r="C5246" s="40">
        <v>4</v>
      </c>
      <c r="D5246" s="38" t="s">
        <v>266</v>
      </c>
    </row>
    <row r="5247" spans="1:4" x14ac:dyDescent="0.25">
      <c r="A5247" s="41">
        <v>355333</v>
      </c>
      <c r="B5247" s="39" t="s">
        <v>6799</v>
      </c>
      <c r="C5247" s="40">
        <v>4</v>
      </c>
      <c r="D5247" s="38" t="s">
        <v>266</v>
      </c>
    </row>
    <row r="5248" spans="1:4" x14ac:dyDescent="0.25">
      <c r="A5248" s="41">
        <v>355343</v>
      </c>
      <c r="B5248" s="39" t="s">
        <v>6800</v>
      </c>
      <c r="C5248" s="40">
        <v>4</v>
      </c>
      <c r="D5248" s="38" t="s">
        <v>266</v>
      </c>
    </row>
    <row r="5249" spans="1:4" x14ac:dyDescent="0.25">
      <c r="A5249" s="41">
        <v>355353</v>
      </c>
      <c r="B5249" s="39" t="s">
        <v>6801</v>
      </c>
      <c r="C5249" s="40">
        <v>4</v>
      </c>
      <c r="D5249" s="38" t="s">
        <v>266</v>
      </c>
    </row>
    <row r="5250" spans="1:4" x14ac:dyDescent="0.25">
      <c r="A5250" s="41">
        <v>355363</v>
      </c>
      <c r="B5250" s="39" t="s">
        <v>6802</v>
      </c>
      <c r="C5250" s="40">
        <v>4</v>
      </c>
      <c r="D5250" s="38" t="s">
        <v>266</v>
      </c>
    </row>
    <row r="5251" spans="1:4" x14ac:dyDescent="0.25">
      <c r="A5251" s="41">
        <v>355900</v>
      </c>
      <c r="B5251" s="39" t="s">
        <v>6803</v>
      </c>
      <c r="C5251" s="40">
        <v>3</v>
      </c>
      <c r="D5251" s="38" t="s">
        <v>266</v>
      </c>
    </row>
    <row r="5252" spans="1:4" x14ac:dyDescent="0.25">
      <c r="A5252" s="41">
        <v>355913</v>
      </c>
      <c r="B5252" s="39" t="s">
        <v>6804</v>
      </c>
      <c r="C5252" s="40">
        <v>4</v>
      </c>
      <c r="D5252" s="38" t="s">
        <v>266</v>
      </c>
    </row>
    <row r="5253" spans="1:4" x14ac:dyDescent="0.25">
      <c r="A5253" s="42">
        <v>355913.13</v>
      </c>
      <c r="B5253" s="39" t="s">
        <v>6805</v>
      </c>
      <c r="C5253" s="40">
        <v>5</v>
      </c>
      <c r="D5253" s="38" t="s">
        <v>266</v>
      </c>
    </row>
    <row r="5254" spans="1:4" x14ac:dyDescent="0.25">
      <c r="A5254" s="42">
        <v>355913.16</v>
      </c>
      <c r="B5254" s="39" t="s">
        <v>6806</v>
      </c>
      <c r="C5254" s="40">
        <v>5</v>
      </c>
      <c r="D5254" s="38" t="s">
        <v>266</v>
      </c>
    </row>
    <row r="5255" spans="1:4" x14ac:dyDescent="0.25">
      <c r="A5255" s="42">
        <v>355913.19</v>
      </c>
      <c r="B5255" s="39" t="s">
        <v>6807</v>
      </c>
      <c r="C5255" s="40">
        <v>5</v>
      </c>
      <c r="D5255" s="38" t="s">
        <v>266</v>
      </c>
    </row>
    <row r="5256" spans="1:4" x14ac:dyDescent="0.25">
      <c r="A5256" s="41">
        <v>355923</v>
      </c>
      <c r="B5256" s="39" t="s">
        <v>6808</v>
      </c>
      <c r="C5256" s="40">
        <v>4</v>
      </c>
      <c r="D5256" s="38" t="s">
        <v>266</v>
      </c>
    </row>
    <row r="5257" spans="1:4" x14ac:dyDescent="0.25">
      <c r="A5257" s="42">
        <v>355923.13</v>
      </c>
      <c r="B5257" s="39" t="s">
        <v>6809</v>
      </c>
      <c r="C5257" s="40">
        <v>5</v>
      </c>
      <c r="D5257" s="38" t="s">
        <v>266</v>
      </c>
    </row>
    <row r="5258" spans="1:4" x14ac:dyDescent="0.25">
      <c r="A5258" s="42">
        <v>355923.16</v>
      </c>
      <c r="B5258" s="39" t="s">
        <v>6810</v>
      </c>
      <c r="C5258" s="40">
        <v>5</v>
      </c>
      <c r="D5258" s="38" t="s">
        <v>266</v>
      </c>
    </row>
    <row r="5259" spans="1:4" x14ac:dyDescent="0.25">
      <c r="A5259" s="42">
        <v>355923.19</v>
      </c>
      <c r="B5259" s="39" t="s">
        <v>6811</v>
      </c>
      <c r="C5259" s="40">
        <v>5</v>
      </c>
      <c r="D5259" s="38" t="s">
        <v>266</v>
      </c>
    </row>
    <row r="5260" spans="1:4" x14ac:dyDescent="0.25">
      <c r="A5260" s="41">
        <v>355929</v>
      </c>
      <c r="B5260" s="39" t="s">
        <v>6812</v>
      </c>
      <c r="C5260" s="40">
        <v>4</v>
      </c>
      <c r="D5260" s="38" t="s">
        <v>266</v>
      </c>
    </row>
    <row r="5261" spans="1:4" x14ac:dyDescent="0.25">
      <c r="A5261" s="42">
        <v>355929.13</v>
      </c>
      <c r="B5261" s="39" t="s">
        <v>6813</v>
      </c>
      <c r="C5261" s="40">
        <v>5</v>
      </c>
      <c r="D5261" s="38" t="s">
        <v>266</v>
      </c>
    </row>
    <row r="5262" spans="1:4" x14ac:dyDescent="0.25">
      <c r="A5262" s="42">
        <v>355929.16</v>
      </c>
      <c r="B5262" s="39" t="s">
        <v>6814</v>
      </c>
      <c r="C5262" s="40">
        <v>5</v>
      </c>
      <c r="D5262" s="38" t="s">
        <v>266</v>
      </c>
    </row>
    <row r="5263" spans="1:4" x14ac:dyDescent="0.25">
      <c r="A5263" s="42">
        <v>355929.19</v>
      </c>
      <c r="B5263" s="39" t="s">
        <v>6815</v>
      </c>
      <c r="C5263" s="40">
        <v>5</v>
      </c>
      <c r="D5263" s="38" t="s">
        <v>266</v>
      </c>
    </row>
    <row r="5264" spans="1:4" x14ac:dyDescent="0.25">
      <c r="A5264" s="41">
        <v>355933</v>
      </c>
      <c r="B5264" s="39" t="s">
        <v>6816</v>
      </c>
      <c r="C5264" s="40">
        <v>4</v>
      </c>
      <c r="D5264" s="38" t="s">
        <v>266</v>
      </c>
    </row>
    <row r="5265" spans="1:4" x14ac:dyDescent="0.25">
      <c r="A5265" s="42">
        <v>355933.13</v>
      </c>
      <c r="B5265" s="39" t="s">
        <v>6817</v>
      </c>
      <c r="C5265" s="40">
        <v>5</v>
      </c>
      <c r="D5265" s="38" t="s">
        <v>266</v>
      </c>
    </row>
    <row r="5266" spans="1:4" x14ac:dyDescent="0.25">
      <c r="A5266" s="42">
        <v>355933.16</v>
      </c>
      <c r="B5266" s="39" t="s">
        <v>6818</v>
      </c>
      <c r="C5266" s="40">
        <v>5</v>
      </c>
      <c r="D5266" s="38" t="s">
        <v>266</v>
      </c>
    </row>
    <row r="5267" spans="1:4" x14ac:dyDescent="0.25">
      <c r="A5267" s="42">
        <v>355933.19</v>
      </c>
      <c r="B5267" s="39" t="s">
        <v>6819</v>
      </c>
      <c r="C5267" s="40">
        <v>5</v>
      </c>
      <c r="D5267" s="38" t="s">
        <v>266</v>
      </c>
    </row>
    <row r="5268" spans="1:4" x14ac:dyDescent="0.25">
      <c r="A5268" s="42">
        <v>355933.23</v>
      </c>
      <c r="B5268" s="39" t="s">
        <v>6820</v>
      </c>
      <c r="C5268" s="40">
        <v>5</v>
      </c>
      <c r="D5268" s="38" t="s">
        <v>266</v>
      </c>
    </row>
    <row r="5269" spans="1:4" x14ac:dyDescent="0.25">
      <c r="A5269" s="41">
        <v>355993</v>
      </c>
      <c r="B5269" s="39" t="s">
        <v>6821</v>
      </c>
      <c r="C5269" s="40">
        <v>4</v>
      </c>
      <c r="D5269" s="38" t="s">
        <v>266</v>
      </c>
    </row>
    <row r="5270" spans="1:4" x14ac:dyDescent="0.25">
      <c r="A5270" s="42">
        <v>355993.13</v>
      </c>
      <c r="B5270" s="39" t="s">
        <v>6822</v>
      </c>
      <c r="C5270" s="40">
        <v>5</v>
      </c>
      <c r="D5270" s="38" t="s">
        <v>266</v>
      </c>
    </row>
    <row r="5271" spans="1:4" x14ac:dyDescent="0.25">
      <c r="A5271" s="42">
        <v>355993.16</v>
      </c>
      <c r="B5271" s="39" t="s">
        <v>6823</v>
      </c>
      <c r="C5271" s="40">
        <v>5</v>
      </c>
      <c r="D5271" s="38" t="s">
        <v>266</v>
      </c>
    </row>
    <row r="5272" spans="1:4" x14ac:dyDescent="0.25">
      <c r="A5272" s="42">
        <v>355993.19</v>
      </c>
      <c r="B5272" s="39" t="s">
        <v>6824</v>
      </c>
      <c r="C5272" s="40">
        <v>5</v>
      </c>
      <c r="D5272" s="38" t="s">
        <v>266</v>
      </c>
    </row>
    <row r="5273" spans="1:4" x14ac:dyDescent="0.25">
      <c r="A5273" s="41">
        <v>357000</v>
      </c>
      <c r="B5273" s="39" t="s">
        <v>6825</v>
      </c>
      <c r="C5273" s="40">
        <v>3</v>
      </c>
      <c r="D5273" s="38" t="s">
        <v>266</v>
      </c>
    </row>
    <row r="5274" spans="1:4" x14ac:dyDescent="0.25">
      <c r="A5274" s="41">
        <v>357100</v>
      </c>
      <c r="B5274" s="39" t="s">
        <v>6826</v>
      </c>
      <c r="C5274" s="40">
        <v>3</v>
      </c>
      <c r="D5274" s="38" t="s">
        <v>266</v>
      </c>
    </row>
    <row r="5275" spans="1:4" x14ac:dyDescent="0.25">
      <c r="A5275" s="41">
        <v>357113</v>
      </c>
      <c r="B5275" s="39" t="s">
        <v>6827</v>
      </c>
      <c r="C5275" s="40">
        <v>4</v>
      </c>
      <c r="D5275" s="38" t="s">
        <v>266</v>
      </c>
    </row>
    <row r="5276" spans="1:4" x14ac:dyDescent="0.25">
      <c r="A5276" s="41">
        <v>357116</v>
      </c>
      <c r="B5276" s="39" t="s">
        <v>6828</v>
      </c>
      <c r="C5276" s="40">
        <v>4</v>
      </c>
      <c r="D5276" s="38" t="s">
        <v>266</v>
      </c>
    </row>
    <row r="5277" spans="1:4" x14ac:dyDescent="0.25">
      <c r="A5277" s="41">
        <v>357119</v>
      </c>
      <c r="B5277" s="39" t="s">
        <v>6829</v>
      </c>
      <c r="C5277" s="40">
        <v>4</v>
      </c>
      <c r="D5277" s="38" t="s">
        <v>266</v>
      </c>
    </row>
    <row r="5278" spans="1:4" x14ac:dyDescent="0.25">
      <c r="A5278" s="41">
        <v>357200</v>
      </c>
      <c r="B5278" s="39" t="s">
        <v>6830</v>
      </c>
      <c r="C5278" s="40">
        <v>3</v>
      </c>
      <c r="D5278" s="38" t="s">
        <v>266</v>
      </c>
    </row>
    <row r="5279" spans="1:4" x14ac:dyDescent="0.25">
      <c r="A5279" s="41">
        <v>357213</v>
      </c>
      <c r="B5279" s="39" t="s">
        <v>6831</v>
      </c>
      <c r="C5279" s="40">
        <v>4</v>
      </c>
      <c r="D5279" s="38" t="s">
        <v>266</v>
      </c>
    </row>
    <row r="5280" spans="1:4" x14ac:dyDescent="0.25">
      <c r="A5280" s="41">
        <v>357300</v>
      </c>
      <c r="B5280" s="39" t="s">
        <v>6832</v>
      </c>
      <c r="C5280" s="40">
        <v>3</v>
      </c>
      <c r="D5280" s="38" t="s">
        <v>266</v>
      </c>
    </row>
    <row r="5281" spans="1:4" x14ac:dyDescent="0.25">
      <c r="A5281" s="41">
        <v>357313</v>
      </c>
      <c r="B5281" s="39" t="s">
        <v>6833</v>
      </c>
      <c r="C5281" s="40">
        <v>4</v>
      </c>
      <c r="D5281" s="38" t="s">
        <v>1500</v>
      </c>
    </row>
    <row r="5282" spans="1:4" x14ac:dyDescent="0.25">
      <c r="A5282" s="41">
        <v>357316</v>
      </c>
      <c r="B5282" s="39" t="s">
        <v>6834</v>
      </c>
      <c r="C5282" s="40">
        <v>4</v>
      </c>
      <c r="D5282" s="38" t="s">
        <v>266</v>
      </c>
    </row>
    <row r="5283" spans="1:4" x14ac:dyDescent="0.25">
      <c r="A5283" s="41">
        <v>357400</v>
      </c>
      <c r="B5283" s="39" t="s">
        <v>6835</v>
      </c>
      <c r="C5283" s="40">
        <v>3</v>
      </c>
      <c r="D5283" s="38" t="s">
        <v>266</v>
      </c>
    </row>
    <row r="5284" spans="1:4" x14ac:dyDescent="0.25">
      <c r="A5284" s="41">
        <v>357413</v>
      </c>
      <c r="B5284" s="39" t="s">
        <v>6836</v>
      </c>
      <c r="C5284" s="40">
        <v>4</v>
      </c>
      <c r="D5284" s="38" t="s">
        <v>266</v>
      </c>
    </row>
    <row r="5285" spans="1:4" x14ac:dyDescent="0.25">
      <c r="A5285" s="41">
        <v>357900</v>
      </c>
      <c r="B5285" s="39" t="s">
        <v>6837</v>
      </c>
      <c r="C5285" s="40">
        <v>3</v>
      </c>
      <c r="D5285" s="38" t="s">
        <v>266</v>
      </c>
    </row>
    <row r="5286" spans="1:4" x14ac:dyDescent="0.25">
      <c r="A5286" s="41">
        <v>357913</v>
      </c>
      <c r="B5286" s="39" t="s">
        <v>6838</v>
      </c>
      <c r="C5286" s="40">
        <v>4</v>
      </c>
      <c r="D5286" s="38" t="s">
        <v>266</v>
      </c>
    </row>
    <row r="5287" spans="1:4" x14ac:dyDescent="0.25">
      <c r="A5287" s="42">
        <v>357913.13</v>
      </c>
      <c r="B5287" s="39" t="s">
        <v>6839</v>
      </c>
      <c r="C5287" s="40">
        <v>5</v>
      </c>
      <c r="D5287" s="38" t="s">
        <v>266</v>
      </c>
    </row>
    <row r="5288" spans="1:4" x14ac:dyDescent="0.25">
      <c r="A5288" s="41">
        <v>400000</v>
      </c>
      <c r="B5288" s="39" t="s">
        <v>6840</v>
      </c>
      <c r="C5288" s="40">
        <v>2</v>
      </c>
      <c r="D5288" s="38" t="s">
        <v>266</v>
      </c>
    </row>
    <row r="5289" spans="1:4" x14ac:dyDescent="0.25">
      <c r="A5289" s="41">
        <v>400100</v>
      </c>
      <c r="B5289" s="39" t="s">
        <v>6841</v>
      </c>
      <c r="C5289" s="40">
        <v>3</v>
      </c>
      <c r="D5289" s="38" t="s">
        <v>266</v>
      </c>
    </row>
    <row r="5290" spans="1:4" x14ac:dyDescent="0.25">
      <c r="A5290" s="41">
        <v>400110</v>
      </c>
      <c r="B5290" s="39" t="s">
        <v>6842</v>
      </c>
      <c r="C5290" s="40">
        <v>4</v>
      </c>
      <c r="D5290" s="38" t="s">
        <v>266</v>
      </c>
    </row>
    <row r="5291" spans="1:4" x14ac:dyDescent="0.25">
      <c r="A5291" s="41">
        <v>400120</v>
      </c>
      <c r="B5291" s="39" t="s">
        <v>6843</v>
      </c>
      <c r="C5291" s="40">
        <v>4</v>
      </c>
      <c r="D5291" s="38" t="s">
        <v>266</v>
      </c>
    </row>
    <row r="5292" spans="1:4" x14ac:dyDescent="0.25">
      <c r="A5292" s="41">
        <v>400130</v>
      </c>
      <c r="B5292" s="39" t="s">
        <v>6844</v>
      </c>
      <c r="C5292" s="40">
        <v>4</v>
      </c>
      <c r="D5292" s="38" t="s">
        <v>266</v>
      </c>
    </row>
    <row r="5293" spans="1:4" x14ac:dyDescent="0.25">
      <c r="A5293" s="41">
        <v>400140</v>
      </c>
      <c r="B5293" s="39" t="s">
        <v>6845</v>
      </c>
      <c r="C5293" s="40">
        <v>4</v>
      </c>
      <c r="D5293" s="38" t="s">
        <v>266</v>
      </c>
    </row>
    <row r="5294" spans="1:4" x14ac:dyDescent="0.25">
      <c r="A5294" s="41">
        <v>400500</v>
      </c>
      <c r="B5294" s="39" t="s">
        <v>6846</v>
      </c>
      <c r="C5294" s="40">
        <v>3</v>
      </c>
      <c r="D5294" s="38" t="s">
        <v>266</v>
      </c>
    </row>
    <row r="5295" spans="1:4" x14ac:dyDescent="0.25">
      <c r="A5295" s="41">
        <v>400513</v>
      </c>
      <c r="B5295" s="39" t="s">
        <v>6847</v>
      </c>
      <c r="C5295" s="40">
        <v>4</v>
      </c>
      <c r="D5295" s="38" t="s">
        <v>266</v>
      </c>
    </row>
    <row r="5296" spans="1:4" x14ac:dyDescent="0.25">
      <c r="A5296" s="42">
        <v>400513.13</v>
      </c>
      <c r="B5296" s="39" t="s">
        <v>6848</v>
      </c>
      <c r="C5296" s="40">
        <v>5</v>
      </c>
      <c r="D5296" s="38" t="s">
        <v>266</v>
      </c>
    </row>
    <row r="5297" spans="1:4" x14ac:dyDescent="0.25">
      <c r="A5297" s="42">
        <v>400513.16</v>
      </c>
      <c r="B5297" s="39" t="s">
        <v>6849</v>
      </c>
      <c r="C5297" s="40">
        <v>5</v>
      </c>
      <c r="D5297" s="38" t="s">
        <v>266</v>
      </c>
    </row>
    <row r="5298" spans="1:4" x14ac:dyDescent="0.25">
      <c r="A5298" s="42">
        <v>400513.19</v>
      </c>
      <c r="B5298" s="39" t="s">
        <v>6850</v>
      </c>
      <c r="C5298" s="40">
        <v>5</v>
      </c>
      <c r="D5298" s="38" t="s">
        <v>266</v>
      </c>
    </row>
    <row r="5299" spans="1:4" x14ac:dyDescent="0.25">
      <c r="A5299" s="42">
        <v>400513.23</v>
      </c>
      <c r="B5299" s="39" t="s">
        <v>6851</v>
      </c>
      <c r="C5299" s="40">
        <v>5</v>
      </c>
      <c r="D5299" s="38" t="s">
        <v>266</v>
      </c>
    </row>
    <row r="5300" spans="1:4" x14ac:dyDescent="0.25">
      <c r="A5300" s="42">
        <v>400513.33</v>
      </c>
      <c r="B5300" s="39" t="s">
        <v>6852</v>
      </c>
      <c r="C5300" s="40">
        <v>5</v>
      </c>
      <c r="D5300" s="38" t="s">
        <v>266</v>
      </c>
    </row>
    <row r="5301" spans="1:4" x14ac:dyDescent="0.25">
      <c r="A5301" s="42">
        <v>400513.43</v>
      </c>
      <c r="B5301" s="39" t="s">
        <v>6853</v>
      </c>
      <c r="C5301" s="40">
        <v>5</v>
      </c>
      <c r="D5301" s="38" t="s">
        <v>266</v>
      </c>
    </row>
    <row r="5302" spans="1:4" x14ac:dyDescent="0.25">
      <c r="A5302" s="42">
        <v>400513.53</v>
      </c>
      <c r="B5302" s="39" t="s">
        <v>6854</v>
      </c>
      <c r="C5302" s="40">
        <v>5</v>
      </c>
      <c r="D5302" s="38" t="s">
        <v>266</v>
      </c>
    </row>
    <row r="5303" spans="1:4" x14ac:dyDescent="0.25">
      <c r="A5303" s="42">
        <v>400513.63</v>
      </c>
      <c r="B5303" s="39" t="s">
        <v>6855</v>
      </c>
      <c r="C5303" s="40">
        <v>5</v>
      </c>
      <c r="D5303" s="38" t="s">
        <v>266</v>
      </c>
    </row>
    <row r="5304" spans="1:4" x14ac:dyDescent="0.25">
      <c r="A5304" s="42">
        <v>400513.73</v>
      </c>
      <c r="B5304" s="39" t="s">
        <v>6856</v>
      </c>
      <c r="C5304" s="40">
        <v>5</v>
      </c>
      <c r="D5304" s="38" t="s">
        <v>266</v>
      </c>
    </row>
    <row r="5305" spans="1:4" x14ac:dyDescent="0.25">
      <c r="A5305" s="42">
        <v>400513.76</v>
      </c>
      <c r="B5305" s="39" t="s">
        <v>6857</v>
      </c>
      <c r="C5305" s="40">
        <v>5</v>
      </c>
      <c r="D5305" s="38" t="s">
        <v>266</v>
      </c>
    </row>
    <row r="5306" spans="1:4" x14ac:dyDescent="0.25">
      <c r="A5306" s="42">
        <v>400513.93</v>
      </c>
      <c r="B5306" s="39" t="s">
        <v>6858</v>
      </c>
      <c r="C5306" s="40">
        <v>5</v>
      </c>
      <c r="D5306" s="38" t="s">
        <v>266</v>
      </c>
    </row>
    <row r="5307" spans="1:4" x14ac:dyDescent="0.25">
      <c r="A5307" s="41">
        <v>400523</v>
      </c>
      <c r="B5307" s="39" t="s">
        <v>6859</v>
      </c>
      <c r="C5307" s="40">
        <v>4</v>
      </c>
      <c r="D5307" s="38" t="s">
        <v>266</v>
      </c>
    </row>
    <row r="5308" spans="1:4" x14ac:dyDescent="0.25">
      <c r="A5308" s="42">
        <v>400523.13</v>
      </c>
      <c r="B5308" s="39" t="s">
        <v>6860</v>
      </c>
      <c r="C5308" s="40">
        <v>5</v>
      </c>
      <c r="D5308" s="38" t="s">
        <v>266</v>
      </c>
    </row>
    <row r="5309" spans="1:4" x14ac:dyDescent="0.25">
      <c r="A5309" s="42">
        <v>400523.16</v>
      </c>
      <c r="B5309" s="39" t="s">
        <v>6861</v>
      </c>
      <c r="C5309" s="40">
        <v>5</v>
      </c>
      <c r="D5309" s="38" t="s">
        <v>266</v>
      </c>
    </row>
    <row r="5310" spans="1:4" x14ac:dyDescent="0.25">
      <c r="A5310" s="42">
        <v>400523.19</v>
      </c>
      <c r="B5310" s="39" t="s">
        <v>6862</v>
      </c>
      <c r="C5310" s="40">
        <v>5</v>
      </c>
      <c r="D5310" s="38" t="s">
        <v>266</v>
      </c>
    </row>
    <row r="5311" spans="1:4" x14ac:dyDescent="0.25">
      <c r="A5311" s="42">
        <v>400523.33</v>
      </c>
      <c r="B5311" s="39" t="s">
        <v>6863</v>
      </c>
      <c r="C5311" s="40">
        <v>5</v>
      </c>
      <c r="D5311" s="38" t="s">
        <v>266</v>
      </c>
    </row>
    <row r="5312" spans="1:4" x14ac:dyDescent="0.25">
      <c r="A5312" s="42">
        <v>400523.43</v>
      </c>
      <c r="B5312" s="39" t="s">
        <v>6864</v>
      </c>
      <c r="C5312" s="40">
        <v>5</v>
      </c>
      <c r="D5312" s="38" t="s">
        <v>266</v>
      </c>
    </row>
    <row r="5313" spans="1:4" x14ac:dyDescent="0.25">
      <c r="A5313" s="42">
        <v>400523.73</v>
      </c>
      <c r="B5313" s="39" t="s">
        <v>6865</v>
      </c>
      <c r="C5313" s="40">
        <v>5</v>
      </c>
      <c r="D5313" s="38" t="s">
        <v>266</v>
      </c>
    </row>
    <row r="5314" spans="1:4" x14ac:dyDescent="0.25">
      <c r="A5314" s="42">
        <v>400523.93</v>
      </c>
      <c r="B5314" s="39" t="s">
        <v>6866</v>
      </c>
      <c r="C5314" s="40">
        <v>5</v>
      </c>
      <c r="D5314" s="38" t="s">
        <v>266</v>
      </c>
    </row>
    <row r="5315" spans="1:4" x14ac:dyDescent="0.25">
      <c r="A5315" s="41">
        <v>401000</v>
      </c>
      <c r="B5315" s="39" t="s">
        <v>6867</v>
      </c>
      <c r="C5315" s="40">
        <v>3</v>
      </c>
      <c r="D5315" s="38" t="s">
        <v>266</v>
      </c>
    </row>
    <row r="5316" spans="1:4" x14ac:dyDescent="0.25">
      <c r="A5316" s="41">
        <v>401100</v>
      </c>
      <c r="B5316" s="39" t="s">
        <v>6868</v>
      </c>
      <c r="C5316" s="40">
        <v>3</v>
      </c>
      <c r="D5316" s="38" t="s">
        <v>266</v>
      </c>
    </row>
    <row r="5317" spans="1:4" x14ac:dyDescent="0.25">
      <c r="A5317" s="41">
        <v>401113</v>
      </c>
      <c r="B5317" s="39" t="s">
        <v>6869</v>
      </c>
      <c r="C5317" s="40">
        <v>4</v>
      </c>
      <c r="D5317" s="38" t="s">
        <v>266</v>
      </c>
    </row>
    <row r="5318" spans="1:4" x14ac:dyDescent="0.25">
      <c r="A5318" s="41">
        <v>401116</v>
      </c>
      <c r="B5318" s="39" t="s">
        <v>6870</v>
      </c>
      <c r="C5318" s="40">
        <v>4</v>
      </c>
      <c r="D5318" s="38" t="s">
        <v>266</v>
      </c>
    </row>
    <row r="5319" spans="1:4" x14ac:dyDescent="0.25">
      <c r="A5319" s="41">
        <v>401119</v>
      </c>
      <c r="B5319" s="39" t="s">
        <v>6871</v>
      </c>
      <c r="C5319" s="40">
        <v>4</v>
      </c>
      <c r="D5319" s="38" t="s">
        <v>266</v>
      </c>
    </row>
    <row r="5320" spans="1:4" x14ac:dyDescent="0.25">
      <c r="A5320" s="41">
        <v>401123</v>
      </c>
      <c r="B5320" s="39" t="s">
        <v>6872</v>
      </c>
      <c r="C5320" s="40">
        <v>4</v>
      </c>
      <c r="D5320" s="38" t="s">
        <v>266</v>
      </c>
    </row>
    <row r="5321" spans="1:4" x14ac:dyDescent="0.25">
      <c r="A5321" s="41">
        <v>401200</v>
      </c>
      <c r="B5321" s="39" t="s">
        <v>6873</v>
      </c>
      <c r="C5321" s="40">
        <v>3</v>
      </c>
      <c r="D5321" s="38" t="s">
        <v>266</v>
      </c>
    </row>
    <row r="5322" spans="1:4" x14ac:dyDescent="0.25">
      <c r="A5322" s="41">
        <v>401213</v>
      </c>
      <c r="B5322" s="39" t="s">
        <v>6874</v>
      </c>
      <c r="C5322" s="40">
        <v>4</v>
      </c>
      <c r="D5322" s="38" t="s">
        <v>266</v>
      </c>
    </row>
    <row r="5323" spans="1:4" x14ac:dyDescent="0.25">
      <c r="A5323" s="41">
        <v>401216</v>
      </c>
      <c r="B5323" s="39" t="s">
        <v>6875</v>
      </c>
      <c r="C5323" s="40">
        <v>4</v>
      </c>
      <c r="D5323" s="38" t="s">
        <v>266</v>
      </c>
    </row>
    <row r="5324" spans="1:4" x14ac:dyDescent="0.25">
      <c r="A5324" s="41">
        <v>401300</v>
      </c>
      <c r="B5324" s="39" t="s">
        <v>6876</v>
      </c>
      <c r="C5324" s="40">
        <v>3</v>
      </c>
      <c r="D5324" s="38" t="s">
        <v>266</v>
      </c>
    </row>
    <row r="5325" spans="1:4" x14ac:dyDescent="0.25">
      <c r="A5325" s="41">
        <v>401313</v>
      </c>
      <c r="B5325" s="39" t="s">
        <v>6877</v>
      </c>
      <c r="C5325" s="40">
        <v>4</v>
      </c>
      <c r="D5325" s="38" t="s">
        <v>266</v>
      </c>
    </row>
    <row r="5326" spans="1:4" x14ac:dyDescent="0.25">
      <c r="A5326" s="41">
        <v>401316</v>
      </c>
      <c r="B5326" s="39" t="s">
        <v>6878</v>
      </c>
      <c r="C5326" s="40">
        <v>4</v>
      </c>
      <c r="D5326" s="38" t="s">
        <v>266</v>
      </c>
    </row>
    <row r="5327" spans="1:4" x14ac:dyDescent="0.25">
      <c r="A5327" s="41">
        <v>401319</v>
      </c>
      <c r="B5327" s="39" t="s">
        <v>6879</v>
      </c>
      <c r="C5327" s="40">
        <v>4</v>
      </c>
      <c r="D5327" s="38" t="s">
        <v>266</v>
      </c>
    </row>
    <row r="5328" spans="1:4" x14ac:dyDescent="0.25">
      <c r="A5328" s="41">
        <v>401323</v>
      </c>
      <c r="B5328" s="39" t="s">
        <v>6880</v>
      </c>
      <c r="C5328" s="40">
        <v>4</v>
      </c>
      <c r="D5328" s="38" t="s">
        <v>266</v>
      </c>
    </row>
    <row r="5329" spans="1:4" x14ac:dyDescent="0.25">
      <c r="A5329" s="41">
        <v>401326</v>
      </c>
      <c r="B5329" s="39" t="s">
        <v>6881</v>
      </c>
      <c r="C5329" s="40">
        <v>4</v>
      </c>
      <c r="D5329" s="38" t="s">
        <v>266</v>
      </c>
    </row>
    <row r="5330" spans="1:4" x14ac:dyDescent="0.25">
      <c r="A5330" s="41">
        <v>401329</v>
      </c>
      <c r="B5330" s="39" t="s">
        <v>6882</v>
      </c>
      <c r="C5330" s="40">
        <v>4</v>
      </c>
      <c r="D5330" s="38" t="s">
        <v>266</v>
      </c>
    </row>
    <row r="5331" spans="1:4" x14ac:dyDescent="0.25">
      <c r="A5331" s="41">
        <v>401333</v>
      </c>
      <c r="B5331" s="39" t="s">
        <v>6883</v>
      </c>
      <c r="C5331" s="40">
        <v>4</v>
      </c>
      <c r="D5331" s="38" t="s">
        <v>266</v>
      </c>
    </row>
    <row r="5332" spans="1:4" x14ac:dyDescent="0.25">
      <c r="A5332" s="41">
        <v>401393</v>
      </c>
      <c r="B5332" s="39" t="s">
        <v>6884</v>
      </c>
      <c r="C5332" s="40">
        <v>4</v>
      </c>
      <c r="D5332" s="38" t="s">
        <v>266</v>
      </c>
    </row>
    <row r="5333" spans="1:4" x14ac:dyDescent="0.25">
      <c r="A5333" s="41">
        <v>401400</v>
      </c>
      <c r="B5333" s="39" t="s">
        <v>6885</v>
      </c>
      <c r="C5333" s="40">
        <v>3</v>
      </c>
      <c r="D5333" s="38" t="s">
        <v>266</v>
      </c>
    </row>
    <row r="5334" spans="1:4" x14ac:dyDescent="0.25">
      <c r="A5334" s="41">
        <v>401413</v>
      </c>
      <c r="B5334" s="39" t="s">
        <v>6886</v>
      </c>
      <c r="C5334" s="40">
        <v>4</v>
      </c>
      <c r="D5334" s="38" t="s">
        <v>266</v>
      </c>
    </row>
    <row r="5335" spans="1:4" x14ac:dyDescent="0.25">
      <c r="A5335" s="41">
        <v>401416</v>
      </c>
      <c r="B5335" s="39" t="s">
        <v>6887</v>
      </c>
      <c r="C5335" s="40">
        <v>4</v>
      </c>
      <c r="D5335" s="38" t="s">
        <v>266</v>
      </c>
    </row>
    <row r="5336" spans="1:4" x14ac:dyDescent="0.25">
      <c r="A5336" s="41">
        <v>401419</v>
      </c>
      <c r="B5336" s="39" t="s">
        <v>6888</v>
      </c>
      <c r="C5336" s="40">
        <v>4</v>
      </c>
      <c r="D5336" s="38" t="s">
        <v>266</v>
      </c>
    </row>
    <row r="5337" spans="1:4" x14ac:dyDescent="0.25">
      <c r="A5337" s="41">
        <v>401423</v>
      </c>
      <c r="B5337" s="39" t="s">
        <v>6889</v>
      </c>
      <c r="C5337" s="40">
        <v>4</v>
      </c>
      <c r="D5337" s="38" t="s">
        <v>266</v>
      </c>
    </row>
    <row r="5338" spans="1:4" x14ac:dyDescent="0.25">
      <c r="A5338" s="41">
        <v>401426</v>
      </c>
      <c r="B5338" s="39" t="s">
        <v>6890</v>
      </c>
      <c r="C5338" s="40">
        <v>4</v>
      </c>
      <c r="D5338" s="38" t="s">
        <v>266</v>
      </c>
    </row>
    <row r="5339" spans="1:4" x14ac:dyDescent="0.25">
      <c r="A5339" s="41">
        <v>401429</v>
      </c>
      <c r="B5339" s="39" t="s">
        <v>6891</v>
      </c>
      <c r="C5339" s="40">
        <v>4</v>
      </c>
      <c r="D5339" s="38" t="s">
        <v>266</v>
      </c>
    </row>
    <row r="5340" spans="1:4" x14ac:dyDescent="0.25">
      <c r="A5340" s="41">
        <v>401433</v>
      </c>
      <c r="B5340" s="39" t="s">
        <v>6892</v>
      </c>
      <c r="C5340" s="40">
        <v>4</v>
      </c>
      <c r="D5340" s="38" t="s">
        <v>266</v>
      </c>
    </row>
    <row r="5341" spans="1:4" x14ac:dyDescent="0.25">
      <c r="A5341" s="41">
        <v>401436</v>
      </c>
      <c r="B5341" s="39" t="s">
        <v>6893</v>
      </c>
      <c r="C5341" s="40">
        <v>4</v>
      </c>
      <c r="D5341" s="38" t="s">
        <v>266</v>
      </c>
    </row>
    <row r="5342" spans="1:4" x14ac:dyDescent="0.25">
      <c r="A5342" s="41">
        <v>401439</v>
      </c>
      <c r="B5342" s="39" t="s">
        <v>6894</v>
      </c>
      <c r="C5342" s="40">
        <v>4</v>
      </c>
      <c r="D5342" s="38" t="s">
        <v>266</v>
      </c>
    </row>
    <row r="5343" spans="1:4" x14ac:dyDescent="0.25">
      <c r="A5343" s="41">
        <v>401443</v>
      </c>
      <c r="B5343" s="39" t="s">
        <v>6895</v>
      </c>
      <c r="C5343" s="40">
        <v>4</v>
      </c>
      <c r="D5343" s="38" t="s">
        <v>266</v>
      </c>
    </row>
    <row r="5344" spans="1:4" x14ac:dyDescent="0.25">
      <c r="A5344" s="41">
        <v>401449</v>
      </c>
      <c r="B5344" s="39" t="s">
        <v>6896</v>
      </c>
      <c r="C5344" s="40">
        <v>4</v>
      </c>
      <c r="D5344" s="38" t="s">
        <v>266</v>
      </c>
    </row>
    <row r="5345" spans="1:4" x14ac:dyDescent="0.25">
      <c r="A5345" s="42">
        <v>401449.13</v>
      </c>
      <c r="B5345" s="39" t="s">
        <v>6897</v>
      </c>
      <c r="C5345" s="40">
        <v>5</v>
      </c>
      <c r="D5345" s="38" t="s">
        <v>266</v>
      </c>
    </row>
    <row r="5346" spans="1:4" x14ac:dyDescent="0.25">
      <c r="A5346" s="42">
        <v>401449.23</v>
      </c>
      <c r="B5346" s="39" t="s">
        <v>6898</v>
      </c>
      <c r="C5346" s="40">
        <v>5</v>
      </c>
      <c r="D5346" s="38" t="s">
        <v>266</v>
      </c>
    </row>
    <row r="5347" spans="1:4" x14ac:dyDescent="0.25">
      <c r="A5347" s="41">
        <v>401453</v>
      </c>
      <c r="B5347" s="39" t="s">
        <v>6899</v>
      </c>
      <c r="C5347" s="40">
        <v>4</v>
      </c>
      <c r="D5347" s="38" t="s">
        <v>266</v>
      </c>
    </row>
    <row r="5348" spans="1:4" x14ac:dyDescent="0.25">
      <c r="A5348" s="41">
        <v>401459</v>
      </c>
      <c r="B5348" s="39" t="s">
        <v>6900</v>
      </c>
      <c r="C5348" s="40">
        <v>4</v>
      </c>
      <c r="D5348" s="38" t="s">
        <v>266</v>
      </c>
    </row>
    <row r="5349" spans="1:4" x14ac:dyDescent="0.25">
      <c r="A5349" s="41">
        <v>401463</v>
      </c>
      <c r="B5349" s="39" t="s">
        <v>6901</v>
      </c>
      <c r="C5349" s="40">
        <v>4</v>
      </c>
      <c r="D5349" s="38" t="s">
        <v>266</v>
      </c>
    </row>
    <row r="5350" spans="1:4" x14ac:dyDescent="0.25">
      <c r="A5350" s="41">
        <v>401493</v>
      </c>
      <c r="B5350" s="39" t="s">
        <v>6902</v>
      </c>
      <c r="C5350" s="40">
        <v>4</v>
      </c>
      <c r="D5350" s="38" t="s">
        <v>266</v>
      </c>
    </row>
    <row r="5351" spans="1:4" x14ac:dyDescent="0.25">
      <c r="A5351" s="41">
        <v>401500</v>
      </c>
      <c r="B5351" s="39" t="s">
        <v>6903</v>
      </c>
      <c r="C5351" s="40">
        <v>3</v>
      </c>
      <c r="D5351" s="38" t="s">
        <v>266</v>
      </c>
    </row>
    <row r="5352" spans="1:4" x14ac:dyDescent="0.25">
      <c r="A5352" s="41">
        <v>401513</v>
      </c>
      <c r="B5352" s="39" t="s">
        <v>6904</v>
      </c>
      <c r="C5352" s="40">
        <v>4</v>
      </c>
      <c r="D5352" s="38" t="s">
        <v>266</v>
      </c>
    </row>
    <row r="5353" spans="1:4" x14ac:dyDescent="0.25">
      <c r="A5353" s="41">
        <v>401516</v>
      </c>
      <c r="B5353" s="39" t="s">
        <v>6905</v>
      </c>
      <c r="C5353" s="40">
        <v>4</v>
      </c>
      <c r="D5353" s="38" t="s">
        <v>266</v>
      </c>
    </row>
    <row r="5354" spans="1:4" x14ac:dyDescent="0.25">
      <c r="A5354" s="41">
        <v>401519</v>
      </c>
      <c r="B5354" s="39" t="s">
        <v>6906</v>
      </c>
      <c r="C5354" s="40">
        <v>4</v>
      </c>
      <c r="D5354" s="38" t="s">
        <v>266</v>
      </c>
    </row>
    <row r="5355" spans="1:4" x14ac:dyDescent="0.25">
      <c r="A5355" s="41">
        <v>401523</v>
      </c>
      <c r="B5355" s="39" t="s">
        <v>6907</v>
      </c>
      <c r="C5355" s="40">
        <v>4</v>
      </c>
      <c r="D5355" s="38" t="s">
        <v>266</v>
      </c>
    </row>
    <row r="5356" spans="1:4" x14ac:dyDescent="0.25">
      <c r="A5356" s="41">
        <v>401526</v>
      </c>
      <c r="B5356" s="39" t="s">
        <v>6908</v>
      </c>
      <c r="C5356" s="40">
        <v>4</v>
      </c>
      <c r="D5356" s="38" t="s">
        <v>266</v>
      </c>
    </row>
    <row r="5357" spans="1:4" x14ac:dyDescent="0.25">
      <c r="A5357" s="41">
        <v>401529</v>
      </c>
      <c r="B5357" s="39" t="s">
        <v>6909</v>
      </c>
      <c r="C5357" s="40">
        <v>4</v>
      </c>
      <c r="D5357" s="38" t="s">
        <v>266</v>
      </c>
    </row>
    <row r="5358" spans="1:4" x14ac:dyDescent="0.25">
      <c r="A5358" s="41">
        <v>401600</v>
      </c>
      <c r="B5358" s="39" t="s">
        <v>6910</v>
      </c>
      <c r="C5358" s="40">
        <v>3</v>
      </c>
      <c r="D5358" s="38" t="s">
        <v>266</v>
      </c>
    </row>
    <row r="5359" spans="1:4" x14ac:dyDescent="0.25">
      <c r="A5359" s="41">
        <v>401613</v>
      </c>
      <c r="B5359" s="39" t="s">
        <v>6911</v>
      </c>
      <c r="C5359" s="40">
        <v>4</v>
      </c>
      <c r="D5359" s="38" t="s">
        <v>266</v>
      </c>
    </row>
    <row r="5360" spans="1:4" x14ac:dyDescent="0.25">
      <c r="A5360" s="41">
        <v>401616</v>
      </c>
      <c r="B5360" s="39" t="s">
        <v>6912</v>
      </c>
      <c r="C5360" s="40">
        <v>4</v>
      </c>
      <c r="D5360" s="38" t="s">
        <v>266</v>
      </c>
    </row>
    <row r="5361" spans="1:4" x14ac:dyDescent="0.25">
      <c r="A5361" s="41">
        <v>401626</v>
      </c>
      <c r="B5361" s="39" t="s">
        <v>6913</v>
      </c>
      <c r="C5361" s="40">
        <v>4</v>
      </c>
      <c r="D5361" s="38" t="s">
        <v>266</v>
      </c>
    </row>
    <row r="5362" spans="1:4" x14ac:dyDescent="0.25">
      <c r="A5362" s="41">
        <v>401629</v>
      </c>
      <c r="B5362" s="39" t="s">
        <v>6914</v>
      </c>
      <c r="C5362" s="40">
        <v>4</v>
      </c>
      <c r="D5362" s="38" t="s">
        <v>266</v>
      </c>
    </row>
    <row r="5363" spans="1:4" x14ac:dyDescent="0.25">
      <c r="A5363" s="41">
        <v>401633</v>
      </c>
      <c r="B5363" s="39" t="s">
        <v>6915</v>
      </c>
      <c r="C5363" s="40">
        <v>4</v>
      </c>
      <c r="D5363" s="38" t="s">
        <v>266</v>
      </c>
    </row>
    <row r="5364" spans="1:4" x14ac:dyDescent="0.25">
      <c r="A5364" s="41">
        <v>401636</v>
      </c>
      <c r="B5364" s="39" t="s">
        <v>6916</v>
      </c>
      <c r="C5364" s="40">
        <v>4</v>
      </c>
      <c r="D5364" s="38" t="s">
        <v>266</v>
      </c>
    </row>
    <row r="5365" spans="1:4" x14ac:dyDescent="0.25">
      <c r="A5365" s="41">
        <v>401639</v>
      </c>
      <c r="B5365" s="39" t="s">
        <v>6917</v>
      </c>
      <c r="C5365" s="40">
        <v>4</v>
      </c>
      <c r="D5365" s="38" t="s">
        <v>266</v>
      </c>
    </row>
    <row r="5366" spans="1:4" x14ac:dyDescent="0.25">
      <c r="A5366" s="41">
        <v>401643</v>
      </c>
      <c r="B5366" s="39" t="s">
        <v>6918</v>
      </c>
      <c r="C5366" s="40">
        <v>4</v>
      </c>
      <c r="D5366" s="38" t="s">
        <v>266</v>
      </c>
    </row>
    <row r="5367" spans="1:4" x14ac:dyDescent="0.25">
      <c r="A5367" s="41">
        <v>401646</v>
      </c>
      <c r="B5367" s="39" t="s">
        <v>6919</v>
      </c>
      <c r="C5367" s="40">
        <v>4</v>
      </c>
      <c r="D5367" s="38" t="s">
        <v>266</v>
      </c>
    </row>
    <row r="5368" spans="1:4" x14ac:dyDescent="0.25">
      <c r="A5368" s="41">
        <v>401649</v>
      </c>
      <c r="B5368" s="39" t="s">
        <v>6920</v>
      </c>
      <c r="C5368" s="40">
        <v>4</v>
      </c>
      <c r="D5368" s="38" t="s">
        <v>266</v>
      </c>
    </row>
    <row r="5369" spans="1:4" x14ac:dyDescent="0.25">
      <c r="A5369" s="41">
        <v>401653</v>
      </c>
      <c r="B5369" s="39" t="s">
        <v>6921</v>
      </c>
      <c r="C5369" s="40">
        <v>4</v>
      </c>
      <c r="D5369" s="38" t="s">
        <v>266</v>
      </c>
    </row>
    <row r="5370" spans="1:4" x14ac:dyDescent="0.25">
      <c r="A5370" s="41">
        <v>401656</v>
      </c>
      <c r="B5370" s="39" t="s">
        <v>6922</v>
      </c>
      <c r="C5370" s="40">
        <v>4</v>
      </c>
      <c r="D5370" s="38" t="s">
        <v>266</v>
      </c>
    </row>
    <row r="5371" spans="1:4" x14ac:dyDescent="0.25">
      <c r="A5371" s="41">
        <v>401700</v>
      </c>
      <c r="B5371" s="39" t="s">
        <v>6923</v>
      </c>
      <c r="C5371" s="40">
        <v>3</v>
      </c>
      <c r="D5371" s="38" t="s">
        <v>266</v>
      </c>
    </row>
    <row r="5372" spans="1:4" x14ac:dyDescent="0.25">
      <c r="A5372" s="41">
        <v>401713</v>
      </c>
      <c r="B5372" s="39" t="s">
        <v>6924</v>
      </c>
      <c r="C5372" s="40">
        <v>4</v>
      </c>
      <c r="D5372" s="38" t="s">
        <v>266</v>
      </c>
    </row>
    <row r="5373" spans="1:4" x14ac:dyDescent="0.25">
      <c r="A5373" s="41">
        <v>401716</v>
      </c>
      <c r="B5373" s="39" t="s">
        <v>6925</v>
      </c>
      <c r="C5373" s="40">
        <v>4</v>
      </c>
      <c r="D5373" s="38" t="s">
        <v>266</v>
      </c>
    </row>
    <row r="5374" spans="1:4" x14ac:dyDescent="0.25">
      <c r="A5374" s="41">
        <v>401719</v>
      </c>
      <c r="B5374" s="39" t="s">
        <v>6926</v>
      </c>
      <c r="C5374" s="40">
        <v>4</v>
      </c>
      <c r="D5374" s="38" t="s">
        <v>266</v>
      </c>
    </row>
    <row r="5375" spans="1:4" x14ac:dyDescent="0.25">
      <c r="A5375" s="41">
        <v>401723</v>
      </c>
      <c r="B5375" s="39" t="s">
        <v>6927</v>
      </c>
      <c r="C5375" s="40">
        <v>4</v>
      </c>
      <c r="D5375" s="38" t="s">
        <v>266</v>
      </c>
    </row>
    <row r="5376" spans="1:4" x14ac:dyDescent="0.25">
      <c r="A5376" s="41">
        <v>401726</v>
      </c>
      <c r="B5376" s="39" t="s">
        <v>6928</v>
      </c>
      <c r="C5376" s="40">
        <v>4</v>
      </c>
      <c r="D5376" s="38" t="s">
        <v>266</v>
      </c>
    </row>
    <row r="5377" spans="1:4" x14ac:dyDescent="0.25">
      <c r="A5377" s="41">
        <v>401800</v>
      </c>
      <c r="B5377" s="39" t="s">
        <v>6929</v>
      </c>
      <c r="C5377" s="40">
        <v>3</v>
      </c>
      <c r="D5377" s="38" t="s">
        <v>266</v>
      </c>
    </row>
    <row r="5378" spans="1:4" x14ac:dyDescent="0.25">
      <c r="A5378" s="41">
        <v>401813</v>
      </c>
      <c r="B5378" s="39" t="s">
        <v>6930</v>
      </c>
      <c r="C5378" s="40">
        <v>4</v>
      </c>
      <c r="D5378" s="38" t="s">
        <v>266</v>
      </c>
    </row>
    <row r="5379" spans="1:4" x14ac:dyDescent="0.25">
      <c r="A5379" s="41">
        <v>401816</v>
      </c>
      <c r="B5379" s="39" t="s">
        <v>6931</v>
      </c>
      <c r="C5379" s="40">
        <v>4</v>
      </c>
      <c r="D5379" s="38" t="s">
        <v>266</v>
      </c>
    </row>
    <row r="5380" spans="1:4" x14ac:dyDescent="0.25">
      <c r="A5380" s="41">
        <v>402000</v>
      </c>
      <c r="B5380" s="39" t="s">
        <v>6932</v>
      </c>
      <c r="C5380" s="40">
        <v>3</v>
      </c>
      <c r="D5380" s="38" t="s">
        <v>266</v>
      </c>
    </row>
    <row r="5381" spans="1:4" x14ac:dyDescent="0.25">
      <c r="A5381" s="41">
        <v>402100</v>
      </c>
      <c r="B5381" s="39" t="s">
        <v>6933</v>
      </c>
      <c r="C5381" s="40">
        <v>3</v>
      </c>
      <c r="D5381" s="38" t="s">
        <v>266</v>
      </c>
    </row>
    <row r="5382" spans="1:4" x14ac:dyDescent="0.25">
      <c r="A5382" s="41">
        <v>402113</v>
      </c>
      <c r="B5382" s="39" t="s">
        <v>6934</v>
      </c>
      <c r="C5382" s="40">
        <v>4</v>
      </c>
      <c r="D5382" s="38" t="s">
        <v>266</v>
      </c>
    </row>
    <row r="5383" spans="1:4" x14ac:dyDescent="0.25">
      <c r="A5383" s="41">
        <v>402116</v>
      </c>
      <c r="B5383" s="39" t="s">
        <v>6935</v>
      </c>
      <c r="C5383" s="40">
        <v>4</v>
      </c>
      <c r="D5383" s="38" t="s">
        <v>266</v>
      </c>
    </row>
    <row r="5384" spans="1:4" x14ac:dyDescent="0.25">
      <c r="A5384" s="41">
        <v>402119</v>
      </c>
      <c r="B5384" s="39" t="s">
        <v>6936</v>
      </c>
      <c r="C5384" s="40">
        <v>4</v>
      </c>
      <c r="D5384" s="38" t="s">
        <v>266</v>
      </c>
    </row>
    <row r="5385" spans="1:4" x14ac:dyDescent="0.25">
      <c r="A5385" s="41">
        <v>402123</v>
      </c>
      <c r="B5385" s="39" t="s">
        <v>6937</v>
      </c>
      <c r="C5385" s="40">
        <v>4</v>
      </c>
      <c r="D5385" s="38" t="s">
        <v>266</v>
      </c>
    </row>
    <row r="5386" spans="1:4" x14ac:dyDescent="0.25">
      <c r="A5386" s="42">
        <v>402123.13</v>
      </c>
      <c r="B5386" s="39" t="s">
        <v>6938</v>
      </c>
      <c r="C5386" s="40">
        <v>5</v>
      </c>
      <c r="D5386" s="38" t="s">
        <v>266</v>
      </c>
    </row>
    <row r="5387" spans="1:4" x14ac:dyDescent="0.25">
      <c r="A5387" s="42">
        <v>402123.16</v>
      </c>
      <c r="B5387" s="39" t="s">
        <v>6939</v>
      </c>
      <c r="C5387" s="40">
        <v>5</v>
      </c>
      <c r="D5387" s="38" t="s">
        <v>266</v>
      </c>
    </row>
    <row r="5388" spans="1:4" x14ac:dyDescent="0.25">
      <c r="A5388" s="42">
        <v>402123.19</v>
      </c>
      <c r="B5388" s="39" t="s">
        <v>6940</v>
      </c>
      <c r="C5388" s="40">
        <v>5</v>
      </c>
      <c r="D5388" s="38" t="s">
        <v>266</v>
      </c>
    </row>
    <row r="5389" spans="1:4" x14ac:dyDescent="0.25">
      <c r="A5389" s="42">
        <v>402123.23</v>
      </c>
      <c r="B5389" s="39" t="s">
        <v>6941</v>
      </c>
      <c r="C5389" s="40">
        <v>5</v>
      </c>
      <c r="D5389" s="38" t="s">
        <v>266</v>
      </c>
    </row>
    <row r="5390" spans="1:4" x14ac:dyDescent="0.25">
      <c r="A5390" s="42">
        <v>402123.26</v>
      </c>
      <c r="B5390" s="39" t="s">
        <v>6942</v>
      </c>
      <c r="C5390" s="40">
        <v>5</v>
      </c>
      <c r="D5390" s="38" t="s">
        <v>266</v>
      </c>
    </row>
    <row r="5391" spans="1:4" x14ac:dyDescent="0.25">
      <c r="A5391" s="42">
        <v>402123.29</v>
      </c>
      <c r="B5391" s="39" t="s">
        <v>6943</v>
      </c>
      <c r="C5391" s="40">
        <v>5</v>
      </c>
      <c r="D5391" s="38" t="s">
        <v>266</v>
      </c>
    </row>
    <row r="5392" spans="1:4" x14ac:dyDescent="0.25">
      <c r="A5392" s="41">
        <v>402200</v>
      </c>
      <c r="B5392" s="39" t="s">
        <v>6944</v>
      </c>
      <c r="C5392" s="40">
        <v>3</v>
      </c>
      <c r="D5392" s="38" t="s">
        <v>266</v>
      </c>
    </row>
    <row r="5393" spans="1:4" x14ac:dyDescent="0.25">
      <c r="A5393" s="41">
        <v>402213</v>
      </c>
      <c r="B5393" s="39" t="s">
        <v>6945</v>
      </c>
      <c r="C5393" s="40">
        <v>4</v>
      </c>
      <c r="D5393" s="38" t="s">
        <v>266</v>
      </c>
    </row>
    <row r="5394" spans="1:4" x14ac:dyDescent="0.25">
      <c r="A5394" s="41">
        <v>402216</v>
      </c>
      <c r="B5394" s="39" t="s">
        <v>6946</v>
      </c>
      <c r="C5394" s="40">
        <v>4</v>
      </c>
      <c r="D5394" s="38" t="s">
        <v>266</v>
      </c>
    </row>
    <row r="5395" spans="1:4" x14ac:dyDescent="0.25">
      <c r="A5395" s="41">
        <v>402300</v>
      </c>
      <c r="B5395" s="39" t="s">
        <v>6947</v>
      </c>
      <c r="C5395" s="40">
        <v>3</v>
      </c>
      <c r="D5395" s="38" t="s">
        <v>266</v>
      </c>
    </row>
    <row r="5396" spans="1:4" x14ac:dyDescent="0.25">
      <c r="A5396" s="41">
        <v>402313</v>
      </c>
      <c r="B5396" s="39" t="s">
        <v>6948</v>
      </c>
      <c r="C5396" s="40">
        <v>4</v>
      </c>
      <c r="D5396" s="38" t="s">
        <v>266</v>
      </c>
    </row>
    <row r="5397" spans="1:4" x14ac:dyDescent="0.25">
      <c r="A5397" s="41">
        <v>402316</v>
      </c>
      <c r="B5397" s="39" t="s">
        <v>6949</v>
      </c>
      <c r="C5397" s="40">
        <v>4</v>
      </c>
      <c r="D5397" s="38" t="s">
        <v>266</v>
      </c>
    </row>
    <row r="5398" spans="1:4" x14ac:dyDescent="0.25">
      <c r="A5398" s="41">
        <v>402319</v>
      </c>
      <c r="B5398" s="39" t="s">
        <v>6950</v>
      </c>
      <c r="C5398" s="40">
        <v>4</v>
      </c>
      <c r="D5398" s="38" t="s">
        <v>266</v>
      </c>
    </row>
    <row r="5399" spans="1:4" x14ac:dyDescent="0.25">
      <c r="A5399" s="41">
        <v>402323</v>
      </c>
      <c r="B5399" s="39" t="s">
        <v>6951</v>
      </c>
      <c r="C5399" s="40">
        <v>4</v>
      </c>
      <c r="D5399" s="38" t="s">
        <v>266</v>
      </c>
    </row>
    <row r="5400" spans="1:4" x14ac:dyDescent="0.25">
      <c r="A5400" s="41">
        <v>402329</v>
      </c>
      <c r="B5400" s="39" t="s">
        <v>6952</v>
      </c>
      <c r="C5400" s="40">
        <v>4</v>
      </c>
      <c r="D5400" s="38" t="s">
        <v>266</v>
      </c>
    </row>
    <row r="5401" spans="1:4" x14ac:dyDescent="0.25">
      <c r="A5401" s="41">
        <v>402333</v>
      </c>
      <c r="B5401" s="39" t="s">
        <v>6953</v>
      </c>
      <c r="C5401" s="40">
        <v>4</v>
      </c>
      <c r="D5401" s="38" t="s">
        <v>266</v>
      </c>
    </row>
    <row r="5402" spans="1:4" x14ac:dyDescent="0.25">
      <c r="A5402" s="41">
        <v>402336</v>
      </c>
      <c r="B5402" s="39" t="s">
        <v>6954</v>
      </c>
      <c r="C5402" s="40">
        <v>4</v>
      </c>
      <c r="D5402" s="38" t="s">
        <v>266</v>
      </c>
    </row>
    <row r="5403" spans="1:4" x14ac:dyDescent="0.25">
      <c r="A5403" s="41">
        <v>402400</v>
      </c>
      <c r="B5403" s="39" t="s">
        <v>6955</v>
      </c>
      <c r="C5403" s="40">
        <v>3</v>
      </c>
      <c r="D5403" s="38" t="s">
        <v>266</v>
      </c>
    </row>
    <row r="5404" spans="1:4" x14ac:dyDescent="0.25">
      <c r="A5404" s="41">
        <v>402413</v>
      </c>
      <c r="B5404" s="39" t="s">
        <v>6956</v>
      </c>
      <c r="C5404" s="40">
        <v>4</v>
      </c>
      <c r="D5404" s="38" t="s">
        <v>266</v>
      </c>
    </row>
    <row r="5405" spans="1:4" x14ac:dyDescent="0.25">
      <c r="A5405" s="41">
        <v>402416</v>
      </c>
      <c r="B5405" s="39" t="s">
        <v>6957</v>
      </c>
      <c r="C5405" s="40">
        <v>4</v>
      </c>
      <c r="D5405" s="38" t="s">
        <v>266</v>
      </c>
    </row>
    <row r="5406" spans="1:4" x14ac:dyDescent="0.25">
      <c r="A5406" s="41">
        <v>402419</v>
      </c>
      <c r="B5406" s="39" t="s">
        <v>6958</v>
      </c>
      <c r="C5406" s="40">
        <v>4</v>
      </c>
      <c r="D5406" s="38" t="s">
        <v>266</v>
      </c>
    </row>
    <row r="5407" spans="1:4" x14ac:dyDescent="0.25">
      <c r="A5407" s="41">
        <v>402423</v>
      </c>
      <c r="B5407" s="39" t="s">
        <v>6959</v>
      </c>
      <c r="C5407" s="40">
        <v>4</v>
      </c>
      <c r="D5407" s="38" t="s">
        <v>266</v>
      </c>
    </row>
    <row r="5408" spans="1:4" x14ac:dyDescent="0.25">
      <c r="A5408" s="41">
        <v>402500</v>
      </c>
      <c r="B5408" s="39" t="s">
        <v>6960</v>
      </c>
      <c r="C5408" s="40">
        <v>3</v>
      </c>
      <c r="D5408" s="38" t="s">
        <v>266</v>
      </c>
    </row>
    <row r="5409" spans="1:4" x14ac:dyDescent="0.25">
      <c r="A5409" s="41">
        <v>402513</v>
      </c>
      <c r="B5409" s="39" t="s">
        <v>6961</v>
      </c>
      <c r="C5409" s="40">
        <v>4</v>
      </c>
      <c r="D5409" s="38" t="s">
        <v>266</v>
      </c>
    </row>
    <row r="5410" spans="1:4" x14ac:dyDescent="0.25">
      <c r="A5410" s="41">
        <v>402516</v>
      </c>
      <c r="B5410" s="39" t="s">
        <v>6962</v>
      </c>
      <c r="C5410" s="40">
        <v>4</v>
      </c>
      <c r="D5410" s="38" t="s">
        <v>266</v>
      </c>
    </row>
    <row r="5411" spans="1:4" x14ac:dyDescent="0.25">
      <c r="A5411" s="41">
        <v>402600</v>
      </c>
      <c r="B5411" s="39" t="s">
        <v>6963</v>
      </c>
      <c r="C5411" s="40">
        <v>3</v>
      </c>
      <c r="D5411" s="38" t="s">
        <v>266</v>
      </c>
    </row>
    <row r="5412" spans="1:4" x14ac:dyDescent="0.25">
      <c r="A5412" s="41">
        <v>403000</v>
      </c>
      <c r="B5412" s="39" t="s">
        <v>6964</v>
      </c>
      <c r="C5412" s="40">
        <v>3</v>
      </c>
      <c r="D5412" s="38" t="s">
        <v>266</v>
      </c>
    </row>
    <row r="5413" spans="1:4" x14ac:dyDescent="0.25">
      <c r="A5413" s="41">
        <v>403200</v>
      </c>
      <c r="B5413" s="39" t="s">
        <v>6965</v>
      </c>
      <c r="C5413" s="40">
        <v>3</v>
      </c>
      <c r="D5413" s="38" t="s">
        <v>266</v>
      </c>
    </row>
    <row r="5414" spans="1:4" x14ac:dyDescent="0.25">
      <c r="A5414" s="41">
        <v>403213</v>
      </c>
      <c r="B5414" s="39" t="s">
        <v>6966</v>
      </c>
      <c r="C5414" s="40">
        <v>4</v>
      </c>
      <c r="D5414" s="38" t="s">
        <v>266</v>
      </c>
    </row>
    <row r="5415" spans="1:4" x14ac:dyDescent="0.25">
      <c r="A5415" s="41">
        <v>403216</v>
      </c>
      <c r="B5415" s="39" t="s">
        <v>6967</v>
      </c>
      <c r="C5415" s="40">
        <v>4</v>
      </c>
      <c r="D5415" s="38" t="s">
        <v>266</v>
      </c>
    </row>
    <row r="5416" spans="1:4" x14ac:dyDescent="0.25">
      <c r="A5416" s="41">
        <v>403300</v>
      </c>
      <c r="B5416" s="39" t="s">
        <v>6968</v>
      </c>
      <c r="C5416" s="40">
        <v>3</v>
      </c>
      <c r="D5416" s="38" t="s">
        <v>266</v>
      </c>
    </row>
    <row r="5417" spans="1:4" x14ac:dyDescent="0.25">
      <c r="A5417" s="41">
        <v>403313</v>
      </c>
      <c r="B5417" s="39" t="s">
        <v>6969</v>
      </c>
      <c r="C5417" s="40">
        <v>4</v>
      </c>
      <c r="D5417" s="38" t="s">
        <v>266</v>
      </c>
    </row>
    <row r="5418" spans="1:4" x14ac:dyDescent="0.25">
      <c r="A5418" s="41">
        <v>403316</v>
      </c>
      <c r="B5418" s="39" t="s">
        <v>6970</v>
      </c>
      <c r="C5418" s="40">
        <v>4</v>
      </c>
      <c r="D5418" s="38" t="s">
        <v>266</v>
      </c>
    </row>
    <row r="5419" spans="1:4" x14ac:dyDescent="0.25">
      <c r="A5419" s="41">
        <v>403319</v>
      </c>
      <c r="B5419" s="39" t="s">
        <v>6971</v>
      </c>
      <c r="C5419" s="40">
        <v>4</v>
      </c>
      <c r="D5419" s="38" t="s">
        <v>266</v>
      </c>
    </row>
    <row r="5420" spans="1:4" x14ac:dyDescent="0.25">
      <c r="A5420" s="41">
        <v>403323</v>
      </c>
      <c r="B5420" s="39" t="s">
        <v>6972</v>
      </c>
      <c r="C5420" s="40">
        <v>4</v>
      </c>
      <c r="D5420" s="38" t="s">
        <v>266</v>
      </c>
    </row>
    <row r="5421" spans="1:4" x14ac:dyDescent="0.25">
      <c r="A5421" s="41">
        <v>403326</v>
      </c>
      <c r="B5421" s="39" t="s">
        <v>6973</v>
      </c>
      <c r="C5421" s="40">
        <v>4</v>
      </c>
      <c r="D5421" s="38" t="s">
        <v>266</v>
      </c>
    </row>
    <row r="5422" spans="1:4" x14ac:dyDescent="0.25">
      <c r="A5422" s="41">
        <v>403329</v>
      </c>
      <c r="B5422" s="39" t="s">
        <v>6974</v>
      </c>
      <c r="C5422" s="40">
        <v>4</v>
      </c>
      <c r="D5422" s="38" t="s">
        <v>266</v>
      </c>
    </row>
    <row r="5423" spans="1:4" x14ac:dyDescent="0.25">
      <c r="A5423" s="41">
        <v>403333</v>
      </c>
      <c r="B5423" s="39" t="s">
        <v>6975</v>
      </c>
      <c r="C5423" s="40">
        <v>4</v>
      </c>
      <c r="D5423" s="38" t="s">
        <v>266</v>
      </c>
    </row>
    <row r="5424" spans="1:4" x14ac:dyDescent="0.25">
      <c r="A5424" s="41">
        <v>403336</v>
      </c>
      <c r="B5424" s="39" t="s">
        <v>6976</v>
      </c>
      <c r="C5424" s="40">
        <v>4</v>
      </c>
      <c r="D5424" s="38" t="s">
        <v>266</v>
      </c>
    </row>
    <row r="5425" spans="1:4" x14ac:dyDescent="0.25">
      <c r="A5425" s="41">
        <v>403339</v>
      </c>
      <c r="B5425" s="39" t="s">
        <v>6977</v>
      </c>
      <c r="C5425" s="40">
        <v>4</v>
      </c>
      <c r="D5425" s="38" t="s">
        <v>266</v>
      </c>
    </row>
    <row r="5426" spans="1:4" x14ac:dyDescent="0.25">
      <c r="A5426" s="41">
        <v>403343</v>
      </c>
      <c r="B5426" s="39" t="s">
        <v>6978</v>
      </c>
      <c r="C5426" s="40">
        <v>4</v>
      </c>
      <c r="D5426" s="38" t="s">
        <v>266</v>
      </c>
    </row>
    <row r="5427" spans="1:4" x14ac:dyDescent="0.25">
      <c r="A5427" s="41">
        <v>403400</v>
      </c>
      <c r="B5427" s="39" t="s">
        <v>6979</v>
      </c>
      <c r="C5427" s="40">
        <v>3</v>
      </c>
      <c r="D5427" s="38" t="s">
        <v>266</v>
      </c>
    </row>
    <row r="5428" spans="1:4" x14ac:dyDescent="0.25">
      <c r="A5428" s="41">
        <v>403413</v>
      </c>
      <c r="B5428" s="39" t="s">
        <v>6980</v>
      </c>
      <c r="C5428" s="40">
        <v>4</v>
      </c>
      <c r="D5428" s="38" t="s">
        <v>266</v>
      </c>
    </row>
    <row r="5429" spans="1:4" x14ac:dyDescent="0.25">
      <c r="A5429" s="41">
        <v>403416</v>
      </c>
      <c r="B5429" s="39" t="s">
        <v>6981</v>
      </c>
      <c r="C5429" s="40">
        <v>4</v>
      </c>
      <c r="D5429" s="38" t="s">
        <v>266</v>
      </c>
    </row>
    <row r="5430" spans="1:4" x14ac:dyDescent="0.25">
      <c r="A5430" s="41">
        <v>404000</v>
      </c>
      <c r="B5430" s="39" t="s">
        <v>6982</v>
      </c>
      <c r="C5430" s="40">
        <v>3</v>
      </c>
      <c r="D5430" s="38" t="s">
        <v>266</v>
      </c>
    </row>
    <row r="5431" spans="1:4" x14ac:dyDescent="0.25">
      <c r="A5431" s="41">
        <v>404100</v>
      </c>
      <c r="B5431" s="39" t="s">
        <v>6983</v>
      </c>
      <c r="C5431" s="40">
        <v>3</v>
      </c>
      <c r="D5431" s="38" t="s">
        <v>266</v>
      </c>
    </row>
    <row r="5432" spans="1:4" x14ac:dyDescent="0.25">
      <c r="A5432" s="41">
        <v>404113</v>
      </c>
      <c r="B5432" s="39" t="s">
        <v>6984</v>
      </c>
      <c r="C5432" s="40">
        <v>4</v>
      </c>
      <c r="D5432" s="38" t="s">
        <v>266</v>
      </c>
    </row>
    <row r="5433" spans="1:4" x14ac:dyDescent="0.25">
      <c r="A5433" s="42">
        <v>404113.13</v>
      </c>
      <c r="B5433" s="39" t="s">
        <v>6985</v>
      </c>
      <c r="C5433" s="40">
        <v>5</v>
      </c>
      <c r="D5433" s="38" t="s">
        <v>266</v>
      </c>
    </row>
    <row r="5434" spans="1:4" x14ac:dyDescent="0.25">
      <c r="A5434" s="42">
        <v>404113.16</v>
      </c>
      <c r="B5434" s="39" t="s">
        <v>6986</v>
      </c>
      <c r="C5434" s="40">
        <v>5</v>
      </c>
      <c r="D5434" s="38" t="s">
        <v>266</v>
      </c>
    </row>
    <row r="5435" spans="1:4" x14ac:dyDescent="0.25">
      <c r="A5435" s="42">
        <v>404113.19</v>
      </c>
      <c r="B5435" s="39" t="s">
        <v>6987</v>
      </c>
      <c r="C5435" s="40">
        <v>5</v>
      </c>
      <c r="D5435" s="38" t="s">
        <v>266</v>
      </c>
    </row>
    <row r="5436" spans="1:4" x14ac:dyDescent="0.25">
      <c r="A5436" s="42">
        <v>404113.23</v>
      </c>
      <c r="B5436" s="39" t="s">
        <v>6988</v>
      </c>
      <c r="C5436" s="40">
        <v>5</v>
      </c>
      <c r="D5436" s="38" t="s">
        <v>266</v>
      </c>
    </row>
    <row r="5437" spans="1:4" x14ac:dyDescent="0.25">
      <c r="A5437" s="42">
        <v>404113.26</v>
      </c>
      <c r="B5437" s="39" t="s">
        <v>6989</v>
      </c>
      <c r="C5437" s="40">
        <v>5</v>
      </c>
      <c r="D5437" s="38" t="s">
        <v>266</v>
      </c>
    </row>
    <row r="5438" spans="1:4" x14ac:dyDescent="0.25">
      <c r="A5438" s="41">
        <v>404123</v>
      </c>
      <c r="B5438" s="39" t="s">
        <v>6990</v>
      </c>
      <c r="C5438" s="40">
        <v>4</v>
      </c>
      <c r="D5438" s="38" t="s">
        <v>266</v>
      </c>
    </row>
    <row r="5439" spans="1:4" x14ac:dyDescent="0.25">
      <c r="A5439" s="42">
        <v>404123.13</v>
      </c>
      <c r="B5439" s="39" t="s">
        <v>6991</v>
      </c>
      <c r="C5439" s="40">
        <v>5</v>
      </c>
      <c r="D5439" s="38" t="s">
        <v>266</v>
      </c>
    </row>
    <row r="5440" spans="1:4" x14ac:dyDescent="0.25">
      <c r="A5440" s="42">
        <v>404123.16</v>
      </c>
      <c r="B5440" s="39" t="s">
        <v>6992</v>
      </c>
      <c r="C5440" s="40">
        <v>5</v>
      </c>
      <c r="D5440" s="38" t="s">
        <v>266</v>
      </c>
    </row>
    <row r="5441" spans="1:4" x14ac:dyDescent="0.25">
      <c r="A5441" s="42">
        <v>404123.19</v>
      </c>
      <c r="B5441" s="39" t="s">
        <v>6993</v>
      </c>
      <c r="C5441" s="40">
        <v>5</v>
      </c>
      <c r="D5441" s="38" t="s">
        <v>266</v>
      </c>
    </row>
    <row r="5442" spans="1:4" x14ac:dyDescent="0.25">
      <c r="A5442" s="42">
        <v>404123.23</v>
      </c>
      <c r="B5442" s="39" t="s">
        <v>6994</v>
      </c>
      <c r="C5442" s="40">
        <v>5</v>
      </c>
      <c r="D5442" s="38" t="s">
        <v>266</v>
      </c>
    </row>
    <row r="5443" spans="1:4" x14ac:dyDescent="0.25">
      <c r="A5443" s="42">
        <v>404123.26</v>
      </c>
      <c r="B5443" s="39" t="s">
        <v>6995</v>
      </c>
      <c r="C5443" s="40">
        <v>5</v>
      </c>
      <c r="D5443" s="38" t="s">
        <v>266</v>
      </c>
    </row>
    <row r="5444" spans="1:4" x14ac:dyDescent="0.25">
      <c r="A5444" s="41">
        <v>404200</v>
      </c>
      <c r="B5444" s="39" t="s">
        <v>6996</v>
      </c>
      <c r="C5444" s="40">
        <v>3</v>
      </c>
      <c r="D5444" s="38" t="s">
        <v>266</v>
      </c>
    </row>
    <row r="5445" spans="1:4" x14ac:dyDescent="0.25">
      <c r="A5445" s="41">
        <v>404213</v>
      </c>
      <c r="B5445" s="39" t="s">
        <v>6997</v>
      </c>
      <c r="C5445" s="40">
        <v>4</v>
      </c>
      <c r="D5445" s="38" t="s">
        <v>266</v>
      </c>
    </row>
    <row r="5446" spans="1:4" x14ac:dyDescent="0.25">
      <c r="A5446" s="42">
        <v>404213.13</v>
      </c>
      <c r="B5446" s="39" t="s">
        <v>6998</v>
      </c>
      <c r="C5446" s="40">
        <v>5</v>
      </c>
      <c r="D5446" s="38" t="s">
        <v>266</v>
      </c>
    </row>
    <row r="5447" spans="1:4" x14ac:dyDescent="0.25">
      <c r="A5447" s="42">
        <v>404213.16</v>
      </c>
      <c r="B5447" s="39" t="s">
        <v>6999</v>
      </c>
      <c r="C5447" s="40">
        <v>5</v>
      </c>
      <c r="D5447" s="38" t="s">
        <v>266</v>
      </c>
    </row>
    <row r="5448" spans="1:4" x14ac:dyDescent="0.25">
      <c r="A5448" s="42">
        <v>404213.19</v>
      </c>
      <c r="B5448" s="39" t="s">
        <v>7000</v>
      </c>
      <c r="C5448" s="40">
        <v>5</v>
      </c>
      <c r="D5448" s="38" t="s">
        <v>266</v>
      </c>
    </row>
    <row r="5449" spans="1:4" x14ac:dyDescent="0.25">
      <c r="A5449" s="42">
        <v>404213.23</v>
      </c>
      <c r="B5449" s="39" t="s">
        <v>7001</v>
      </c>
      <c r="C5449" s="40">
        <v>5</v>
      </c>
      <c r="D5449" s="38" t="s">
        <v>266</v>
      </c>
    </row>
    <row r="5450" spans="1:4" x14ac:dyDescent="0.25">
      <c r="A5450" s="42">
        <v>404213.26</v>
      </c>
      <c r="B5450" s="39" t="s">
        <v>7002</v>
      </c>
      <c r="C5450" s="40">
        <v>5</v>
      </c>
      <c r="D5450" s="38" t="s">
        <v>266</v>
      </c>
    </row>
    <row r="5451" spans="1:4" x14ac:dyDescent="0.25">
      <c r="A5451" s="41">
        <v>404223</v>
      </c>
      <c r="B5451" s="39" t="s">
        <v>7003</v>
      </c>
      <c r="C5451" s="40">
        <v>4</v>
      </c>
      <c r="D5451" s="38" t="s">
        <v>266</v>
      </c>
    </row>
    <row r="5452" spans="1:4" x14ac:dyDescent="0.25">
      <c r="A5452" s="42">
        <v>404223.13</v>
      </c>
      <c r="B5452" s="39" t="s">
        <v>7004</v>
      </c>
      <c r="C5452" s="40">
        <v>5</v>
      </c>
      <c r="D5452" s="38" t="s">
        <v>266</v>
      </c>
    </row>
    <row r="5453" spans="1:4" x14ac:dyDescent="0.25">
      <c r="A5453" s="42">
        <v>404223.16</v>
      </c>
      <c r="B5453" s="39" t="s">
        <v>7005</v>
      </c>
      <c r="C5453" s="40">
        <v>5</v>
      </c>
      <c r="D5453" s="38" t="s">
        <v>266</v>
      </c>
    </row>
    <row r="5454" spans="1:4" x14ac:dyDescent="0.25">
      <c r="A5454" s="42">
        <v>404223.19</v>
      </c>
      <c r="B5454" s="39" t="s">
        <v>7006</v>
      </c>
      <c r="C5454" s="40">
        <v>5</v>
      </c>
      <c r="D5454" s="38" t="s">
        <v>266</v>
      </c>
    </row>
    <row r="5455" spans="1:4" x14ac:dyDescent="0.25">
      <c r="A5455" s="42">
        <v>404223.23</v>
      </c>
      <c r="B5455" s="39" t="s">
        <v>7007</v>
      </c>
      <c r="C5455" s="40">
        <v>5</v>
      </c>
      <c r="D5455" s="38" t="s">
        <v>266</v>
      </c>
    </row>
    <row r="5456" spans="1:4" x14ac:dyDescent="0.25">
      <c r="A5456" s="42">
        <v>404223.26</v>
      </c>
      <c r="B5456" s="39" t="s">
        <v>7008</v>
      </c>
      <c r="C5456" s="40">
        <v>5</v>
      </c>
      <c r="D5456" s="38" t="s">
        <v>266</v>
      </c>
    </row>
    <row r="5457" spans="1:4" x14ac:dyDescent="0.25">
      <c r="A5457" s="41">
        <v>404600</v>
      </c>
      <c r="B5457" s="39" t="s">
        <v>7009</v>
      </c>
      <c r="C5457" s="40">
        <v>3</v>
      </c>
      <c r="D5457" s="38" t="s">
        <v>266</v>
      </c>
    </row>
    <row r="5458" spans="1:4" x14ac:dyDescent="0.25">
      <c r="A5458" s="41">
        <v>404616</v>
      </c>
      <c r="B5458" s="39" t="s">
        <v>7010</v>
      </c>
      <c r="C5458" s="40">
        <v>4</v>
      </c>
      <c r="D5458" s="38" t="s">
        <v>266</v>
      </c>
    </row>
    <row r="5459" spans="1:4" x14ac:dyDescent="0.25">
      <c r="A5459" s="41">
        <v>404642</v>
      </c>
      <c r="B5459" s="39" t="s">
        <v>7011</v>
      </c>
      <c r="C5459" s="40">
        <v>4</v>
      </c>
      <c r="D5459" s="38" t="s">
        <v>266</v>
      </c>
    </row>
    <row r="5460" spans="1:4" x14ac:dyDescent="0.25">
      <c r="A5460" s="41">
        <v>404700</v>
      </c>
      <c r="B5460" s="39" t="s">
        <v>7012</v>
      </c>
      <c r="C5460" s="40">
        <v>3</v>
      </c>
      <c r="D5460" s="38" t="s">
        <v>266</v>
      </c>
    </row>
    <row r="5461" spans="1:4" x14ac:dyDescent="0.25">
      <c r="A5461" s="41">
        <v>404713</v>
      </c>
      <c r="B5461" s="39" t="s">
        <v>7013</v>
      </c>
      <c r="C5461" s="40">
        <v>4</v>
      </c>
      <c r="D5461" s="38" t="s">
        <v>266</v>
      </c>
    </row>
    <row r="5462" spans="1:4" x14ac:dyDescent="0.25">
      <c r="A5462" s="41">
        <v>404716</v>
      </c>
      <c r="B5462" s="39" t="s">
        <v>7014</v>
      </c>
      <c r="C5462" s="40">
        <v>4</v>
      </c>
      <c r="D5462" s="38" t="s">
        <v>266</v>
      </c>
    </row>
    <row r="5463" spans="1:4" x14ac:dyDescent="0.25">
      <c r="A5463" s="41">
        <v>404719</v>
      </c>
      <c r="B5463" s="39" t="s">
        <v>7015</v>
      </c>
      <c r="C5463" s="40">
        <v>4</v>
      </c>
      <c r="D5463" s="38" t="s">
        <v>266</v>
      </c>
    </row>
    <row r="5464" spans="1:4" x14ac:dyDescent="0.25">
      <c r="A5464" s="41">
        <v>404723</v>
      </c>
      <c r="B5464" s="39" t="s">
        <v>7016</v>
      </c>
      <c r="C5464" s="40">
        <v>4</v>
      </c>
      <c r="D5464" s="38" t="s">
        <v>266</v>
      </c>
    </row>
    <row r="5465" spans="1:4" x14ac:dyDescent="0.25">
      <c r="A5465" s="41">
        <v>404726</v>
      </c>
      <c r="B5465" s="39" t="s">
        <v>7017</v>
      </c>
      <c r="C5465" s="40">
        <v>4</v>
      </c>
      <c r="D5465" s="38" t="s">
        <v>266</v>
      </c>
    </row>
    <row r="5466" spans="1:4" x14ac:dyDescent="0.25">
      <c r="A5466" s="41">
        <v>404729</v>
      </c>
      <c r="B5466" s="39" t="s">
        <v>7018</v>
      </c>
      <c r="C5466" s="40">
        <v>4</v>
      </c>
      <c r="D5466" s="38" t="s">
        <v>266</v>
      </c>
    </row>
    <row r="5467" spans="1:4" x14ac:dyDescent="0.25">
      <c r="A5467" s="41">
        <v>408000</v>
      </c>
      <c r="B5467" s="39" t="s">
        <v>7019</v>
      </c>
      <c r="C5467" s="40">
        <v>3</v>
      </c>
      <c r="D5467" s="38" t="s">
        <v>266</v>
      </c>
    </row>
    <row r="5468" spans="1:4" x14ac:dyDescent="0.25">
      <c r="A5468" s="41">
        <v>409000</v>
      </c>
      <c r="B5468" s="39" t="s">
        <v>7020</v>
      </c>
      <c r="C5468" s="40">
        <v>3</v>
      </c>
      <c r="D5468" s="38" t="s">
        <v>266</v>
      </c>
    </row>
    <row r="5469" spans="1:4" x14ac:dyDescent="0.25">
      <c r="A5469" s="41">
        <v>409100</v>
      </c>
      <c r="B5469" s="39" t="s">
        <v>7021</v>
      </c>
      <c r="C5469" s="40">
        <v>3</v>
      </c>
      <c r="D5469" s="38" t="s">
        <v>266</v>
      </c>
    </row>
    <row r="5470" spans="1:4" x14ac:dyDescent="0.25">
      <c r="A5470" s="41">
        <v>409113</v>
      </c>
      <c r="B5470" s="39" t="s">
        <v>7022</v>
      </c>
      <c r="C5470" s="40">
        <v>4</v>
      </c>
      <c r="D5470" s="38" t="s">
        <v>266</v>
      </c>
    </row>
    <row r="5471" spans="1:4" x14ac:dyDescent="0.25">
      <c r="A5471" s="42">
        <v>409113.13</v>
      </c>
      <c r="B5471" s="39" t="s">
        <v>7023</v>
      </c>
      <c r="C5471" s="40">
        <v>5</v>
      </c>
      <c r="D5471" s="38" t="s">
        <v>266</v>
      </c>
    </row>
    <row r="5472" spans="1:4" x14ac:dyDescent="0.25">
      <c r="A5472" s="42">
        <v>409113.16</v>
      </c>
      <c r="B5472" s="39" t="s">
        <v>7024</v>
      </c>
      <c r="C5472" s="40">
        <v>5</v>
      </c>
      <c r="D5472" s="38" t="s">
        <v>266</v>
      </c>
    </row>
    <row r="5473" spans="1:4" x14ac:dyDescent="0.25">
      <c r="A5473" s="42">
        <v>409113.19</v>
      </c>
      <c r="B5473" s="39" t="s">
        <v>7025</v>
      </c>
      <c r="C5473" s="40">
        <v>5</v>
      </c>
      <c r="D5473" s="38" t="s">
        <v>266</v>
      </c>
    </row>
    <row r="5474" spans="1:4" x14ac:dyDescent="0.25">
      <c r="A5474" s="42">
        <v>409113.23</v>
      </c>
      <c r="B5474" s="39" t="s">
        <v>7026</v>
      </c>
      <c r="C5474" s="40">
        <v>5</v>
      </c>
      <c r="D5474" s="38" t="s">
        <v>266</v>
      </c>
    </row>
    <row r="5475" spans="1:4" x14ac:dyDescent="0.25">
      <c r="A5475" s="42">
        <v>409113.26</v>
      </c>
      <c r="B5475" s="39" t="s">
        <v>7027</v>
      </c>
      <c r="C5475" s="40">
        <v>5</v>
      </c>
      <c r="D5475" s="38" t="s">
        <v>266</v>
      </c>
    </row>
    <row r="5476" spans="1:4" x14ac:dyDescent="0.25">
      <c r="A5476" s="42">
        <v>409113.29</v>
      </c>
      <c r="B5476" s="39" t="s">
        <v>7028</v>
      </c>
      <c r="C5476" s="40">
        <v>5</v>
      </c>
      <c r="D5476" s="38" t="s">
        <v>266</v>
      </c>
    </row>
    <row r="5477" spans="1:4" x14ac:dyDescent="0.25">
      <c r="A5477" s="41">
        <v>409116</v>
      </c>
      <c r="B5477" s="39" t="s">
        <v>7029</v>
      </c>
      <c r="C5477" s="40">
        <v>4</v>
      </c>
      <c r="D5477" s="38" t="s">
        <v>266</v>
      </c>
    </row>
    <row r="5478" spans="1:4" x14ac:dyDescent="0.25">
      <c r="A5478" s="42">
        <v>409116.13</v>
      </c>
      <c r="B5478" s="39" t="s">
        <v>7030</v>
      </c>
      <c r="C5478" s="40">
        <v>5</v>
      </c>
      <c r="D5478" s="38" t="s">
        <v>266</v>
      </c>
    </row>
    <row r="5479" spans="1:4" x14ac:dyDescent="0.25">
      <c r="A5479" s="42">
        <v>409116.15999999997</v>
      </c>
      <c r="B5479" s="39" t="s">
        <v>7031</v>
      </c>
      <c r="C5479" s="40">
        <v>5</v>
      </c>
      <c r="D5479" s="38" t="s">
        <v>266</v>
      </c>
    </row>
    <row r="5480" spans="1:4" x14ac:dyDescent="0.25">
      <c r="A5480" s="42">
        <v>409116.19</v>
      </c>
      <c r="B5480" s="39" t="s">
        <v>7032</v>
      </c>
      <c r="C5480" s="40">
        <v>5</v>
      </c>
      <c r="D5480" s="38" t="s">
        <v>266</v>
      </c>
    </row>
    <row r="5481" spans="1:4" x14ac:dyDescent="0.25">
      <c r="A5481" s="42">
        <v>409116.23</v>
      </c>
      <c r="B5481" s="39" t="s">
        <v>7033</v>
      </c>
      <c r="C5481" s="40">
        <v>5</v>
      </c>
      <c r="D5481" s="38" t="s">
        <v>266</v>
      </c>
    </row>
    <row r="5482" spans="1:4" x14ac:dyDescent="0.25">
      <c r="A5482" s="42">
        <v>409116.26</v>
      </c>
      <c r="B5482" s="39" t="s">
        <v>7034</v>
      </c>
      <c r="C5482" s="40">
        <v>5</v>
      </c>
      <c r="D5482" s="38" t="s">
        <v>266</v>
      </c>
    </row>
    <row r="5483" spans="1:4" x14ac:dyDescent="0.25">
      <c r="A5483" s="42">
        <v>409116.29</v>
      </c>
      <c r="B5483" s="39" t="s">
        <v>7035</v>
      </c>
      <c r="C5483" s="40">
        <v>5</v>
      </c>
      <c r="D5483" s="38" t="s">
        <v>266</v>
      </c>
    </row>
    <row r="5484" spans="1:4" x14ac:dyDescent="0.25">
      <c r="A5484" s="42">
        <v>409116.33</v>
      </c>
      <c r="B5484" s="39" t="s">
        <v>7036</v>
      </c>
      <c r="C5484" s="40">
        <v>5</v>
      </c>
      <c r="D5484" s="38" t="s">
        <v>266</v>
      </c>
    </row>
    <row r="5485" spans="1:4" x14ac:dyDescent="0.25">
      <c r="A5485" s="42">
        <v>409116.36</v>
      </c>
      <c r="B5485" s="39" t="s">
        <v>7037</v>
      </c>
      <c r="C5485" s="40">
        <v>5</v>
      </c>
      <c r="D5485" s="38" t="s">
        <v>266</v>
      </c>
    </row>
    <row r="5486" spans="1:4" x14ac:dyDescent="0.25">
      <c r="A5486" s="42">
        <v>409116.39</v>
      </c>
      <c r="B5486" s="39" t="s">
        <v>7038</v>
      </c>
      <c r="C5486" s="40">
        <v>5</v>
      </c>
      <c r="D5486" s="38" t="s">
        <v>266</v>
      </c>
    </row>
    <row r="5487" spans="1:4" x14ac:dyDescent="0.25">
      <c r="A5487" s="42">
        <v>409116.43</v>
      </c>
      <c r="B5487" s="39" t="s">
        <v>7039</v>
      </c>
      <c r="C5487" s="40">
        <v>5</v>
      </c>
      <c r="D5487" s="38" t="s">
        <v>266</v>
      </c>
    </row>
    <row r="5488" spans="1:4" x14ac:dyDescent="0.25">
      <c r="A5488" s="42">
        <v>409116.46</v>
      </c>
      <c r="B5488" s="39" t="s">
        <v>7040</v>
      </c>
      <c r="C5488" s="40">
        <v>5</v>
      </c>
      <c r="D5488" s="38" t="s">
        <v>266</v>
      </c>
    </row>
    <row r="5489" spans="1:4" x14ac:dyDescent="0.25">
      <c r="A5489" s="41">
        <v>409119</v>
      </c>
      <c r="B5489" s="39" t="s">
        <v>7041</v>
      </c>
      <c r="C5489" s="40">
        <v>4</v>
      </c>
      <c r="D5489" s="38" t="s">
        <v>266</v>
      </c>
    </row>
    <row r="5490" spans="1:4" x14ac:dyDescent="0.25">
      <c r="A5490" s="42">
        <v>409119.13</v>
      </c>
      <c r="B5490" s="39" t="s">
        <v>7042</v>
      </c>
      <c r="C5490" s="40">
        <v>5</v>
      </c>
      <c r="D5490" s="38" t="s">
        <v>266</v>
      </c>
    </row>
    <row r="5491" spans="1:4" x14ac:dyDescent="0.25">
      <c r="A5491" s="42">
        <v>409119.16</v>
      </c>
      <c r="B5491" s="39" t="s">
        <v>7043</v>
      </c>
      <c r="C5491" s="40">
        <v>5</v>
      </c>
      <c r="D5491" s="38" t="s">
        <v>266</v>
      </c>
    </row>
    <row r="5492" spans="1:4" x14ac:dyDescent="0.25">
      <c r="A5492" s="42">
        <v>409119.19</v>
      </c>
      <c r="B5492" s="39" t="s">
        <v>7044</v>
      </c>
      <c r="C5492" s="40">
        <v>5</v>
      </c>
      <c r="D5492" s="38" t="s">
        <v>266</v>
      </c>
    </row>
    <row r="5493" spans="1:4" x14ac:dyDescent="0.25">
      <c r="A5493" s="42">
        <v>409119.23</v>
      </c>
      <c r="B5493" s="39" t="s">
        <v>7045</v>
      </c>
      <c r="C5493" s="40">
        <v>5</v>
      </c>
      <c r="D5493" s="38" t="s">
        <v>266</v>
      </c>
    </row>
    <row r="5494" spans="1:4" x14ac:dyDescent="0.25">
      <c r="A5494" s="42">
        <v>409119.26</v>
      </c>
      <c r="B5494" s="39" t="s">
        <v>7046</v>
      </c>
      <c r="C5494" s="40">
        <v>5</v>
      </c>
      <c r="D5494" s="38" t="s">
        <v>266</v>
      </c>
    </row>
    <row r="5495" spans="1:4" x14ac:dyDescent="0.25">
      <c r="A5495" s="42">
        <v>409119.29</v>
      </c>
      <c r="B5495" s="39" t="s">
        <v>7047</v>
      </c>
      <c r="C5495" s="40">
        <v>5</v>
      </c>
      <c r="D5495" s="38" t="s">
        <v>266</v>
      </c>
    </row>
    <row r="5496" spans="1:4" x14ac:dyDescent="0.25">
      <c r="A5496" s="42">
        <v>409119.33</v>
      </c>
      <c r="B5496" s="39" t="s">
        <v>7048</v>
      </c>
      <c r="C5496" s="40">
        <v>5</v>
      </c>
      <c r="D5496" s="38" t="s">
        <v>266</v>
      </c>
    </row>
    <row r="5497" spans="1:4" x14ac:dyDescent="0.25">
      <c r="A5497" s="42">
        <v>409119.36</v>
      </c>
      <c r="B5497" s="39" t="s">
        <v>7049</v>
      </c>
      <c r="C5497" s="40">
        <v>5</v>
      </c>
      <c r="D5497" s="38" t="s">
        <v>266</v>
      </c>
    </row>
    <row r="5498" spans="1:4" x14ac:dyDescent="0.25">
      <c r="A5498" s="42">
        <v>409119.39</v>
      </c>
      <c r="B5498" s="39" t="s">
        <v>7050</v>
      </c>
      <c r="C5498" s="40">
        <v>5</v>
      </c>
      <c r="D5498" s="38" t="s">
        <v>266</v>
      </c>
    </row>
    <row r="5499" spans="1:4" x14ac:dyDescent="0.25">
      <c r="A5499" s="42">
        <v>409119.43</v>
      </c>
      <c r="B5499" s="39" t="s">
        <v>7051</v>
      </c>
      <c r="C5499" s="40">
        <v>5</v>
      </c>
      <c r="D5499" s="38" t="s">
        <v>266</v>
      </c>
    </row>
    <row r="5500" spans="1:4" x14ac:dyDescent="0.25">
      <c r="A5500" s="41">
        <v>409123</v>
      </c>
      <c r="B5500" s="39" t="s">
        <v>7052</v>
      </c>
      <c r="C5500" s="40">
        <v>4</v>
      </c>
      <c r="D5500" s="38" t="s">
        <v>266</v>
      </c>
    </row>
    <row r="5501" spans="1:4" x14ac:dyDescent="0.25">
      <c r="A5501" s="42">
        <v>409123.13</v>
      </c>
      <c r="B5501" s="39" t="s">
        <v>7053</v>
      </c>
      <c r="C5501" s="40">
        <v>5</v>
      </c>
      <c r="D5501" s="38" t="s">
        <v>266</v>
      </c>
    </row>
    <row r="5502" spans="1:4" x14ac:dyDescent="0.25">
      <c r="A5502" s="42">
        <v>409123.16</v>
      </c>
      <c r="B5502" s="39" t="s">
        <v>7054</v>
      </c>
      <c r="C5502" s="40">
        <v>5</v>
      </c>
      <c r="D5502" s="38" t="s">
        <v>266</v>
      </c>
    </row>
    <row r="5503" spans="1:4" x14ac:dyDescent="0.25">
      <c r="A5503" s="42">
        <v>409123.19</v>
      </c>
      <c r="B5503" s="39" t="s">
        <v>7055</v>
      </c>
      <c r="C5503" s="40">
        <v>5</v>
      </c>
      <c r="D5503" s="38" t="s">
        <v>266</v>
      </c>
    </row>
    <row r="5504" spans="1:4" x14ac:dyDescent="0.25">
      <c r="A5504" s="42">
        <v>409123.23</v>
      </c>
      <c r="B5504" s="39" t="s">
        <v>7056</v>
      </c>
      <c r="C5504" s="40">
        <v>5</v>
      </c>
      <c r="D5504" s="38" t="s">
        <v>266</v>
      </c>
    </row>
    <row r="5505" spans="1:4" x14ac:dyDescent="0.25">
      <c r="A5505" s="42">
        <v>409123.26</v>
      </c>
      <c r="B5505" s="39" t="s">
        <v>7057</v>
      </c>
      <c r="C5505" s="40">
        <v>5</v>
      </c>
      <c r="D5505" s="38" t="s">
        <v>266</v>
      </c>
    </row>
    <row r="5506" spans="1:4" x14ac:dyDescent="0.25">
      <c r="A5506" s="42">
        <v>409123.29</v>
      </c>
      <c r="B5506" s="39" t="s">
        <v>7058</v>
      </c>
      <c r="C5506" s="40">
        <v>5</v>
      </c>
      <c r="D5506" s="38" t="s">
        <v>266</v>
      </c>
    </row>
    <row r="5507" spans="1:4" x14ac:dyDescent="0.25">
      <c r="A5507" s="42">
        <v>409123.33</v>
      </c>
      <c r="B5507" s="39" t="s">
        <v>7059</v>
      </c>
      <c r="C5507" s="40">
        <v>5</v>
      </c>
      <c r="D5507" s="38" t="s">
        <v>266</v>
      </c>
    </row>
    <row r="5508" spans="1:4" x14ac:dyDescent="0.25">
      <c r="A5508" s="42">
        <v>409123.36</v>
      </c>
      <c r="B5508" s="39" t="s">
        <v>7060</v>
      </c>
      <c r="C5508" s="40">
        <v>5</v>
      </c>
      <c r="D5508" s="38" t="s">
        <v>266</v>
      </c>
    </row>
    <row r="5509" spans="1:4" x14ac:dyDescent="0.25">
      <c r="A5509" s="42">
        <v>409123.39</v>
      </c>
      <c r="B5509" s="39" t="s">
        <v>7061</v>
      </c>
      <c r="C5509" s="40">
        <v>5</v>
      </c>
      <c r="D5509" s="38" t="s">
        <v>266</v>
      </c>
    </row>
    <row r="5510" spans="1:4" x14ac:dyDescent="0.25">
      <c r="A5510" s="42">
        <v>409123.43</v>
      </c>
      <c r="B5510" s="39" t="s">
        <v>7062</v>
      </c>
      <c r="C5510" s="40">
        <v>5</v>
      </c>
      <c r="D5510" s="38" t="s">
        <v>266</v>
      </c>
    </row>
    <row r="5511" spans="1:4" x14ac:dyDescent="0.25">
      <c r="A5511" s="42">
        <v>409123.46</v>
      </c>
      <c r="B5511" s="39" t="s">
        <v>7063</v>
      </c>
      <c r="C5511" s="40">
        <v>5</v>
      </c>
      <c r="D5511" s="38" t="s">
        <v>266</v>
      </c>
    </row>
    <row r="5512" spans="1:4" x14ac:dyDescent="0.25">
      <c r="A5512" s="42">
        <v>409123.49</v>
      </c>
      <c r="B5512" s="39" t="s">
        <v>7064</v>
      </c>
      <c r="C5512" s="40">
        <v>5</v>
      </c>
      <c r="D5512" s="38" t="s">
        <v>266</v>
      </c>
    </row>
    <row r="5513" spans="1:4" x14ac:dyDescent="0.25">
      <c r="A5513" s="42">
        <v>409123.53</v>
      </c>
      <c r="B5513" s="39" t="s">
        <v>7065</v>
      </c>
      <c r="C5513" s="40">
        <v>5</v>
      </c>
      <c r="D5513" s="38" t="s">
        <v>266</v>
      </c>
    </row>
    <row r="5514" spans="1:4" x14ac:dyDescent="0.25">
      <c r="A5514" s="41">
        <v>409200</v>
      </c>
      <c r="B5514" s="39" t="s">
        <v>7066</v>
      </c>
      <c r="C5514" s="40">
        <v>3</v>
      </c>
      <c r="D5514" s="38" t="s">
        <v>266</v>
      </c>
    </row>
    <row r="5515" spans="1:4" x14ac:dyDescent="0.25">
      <c r="A5515" s="41">
        <v>409213</v>
      </c>
      <c r="B5515" s="39" t="s">
        <v>7067</v>
      </c>
      <c r="C5515" s="40">
        <v>4</v>
      </c>
      <c r="D5515" s="38" t="s">
        <v>266</v>
      </c>
    </row>
    <row r="5516" spans="1:4" x14ac:dyDescent="0.25">
      <c r="A5516" s="42">
        <v>409213.13</v>
      </c>
      <c r="B5516" s="39" t="s">
        <v>7068</v>
      </c>
      <c r="C5516" s="40">
        <v>5</v>
      </c>
      <c r="D5516" s="38" t="s">
        <v>266</v>
      </c>
    </row>
    <row r="5517" spans="1:4" x14ac:dyDescent="0.25">
      <c r="A5517" s="42">
        <v>409213.16</v>
      </c>
      <c r="B5517" s="39" t="s">
        <v>7069</v>
      </c>
      <c r="C5517" s="40">
        <v>5</v>
      </c>
      <c r="D5517" s="38" t="s">
        <v>266</v>
      </c>
    </row>
    <row r="5518" spans="1:4" x14ac:dyDescent="0.25">
      <c r="A5518" s="42">
        <v>409213.19</v>
      </c>
      <c r="B5518" s="39" t="s">
        <v>7070</v>
      </c>
      <c r="C5518" s="40">
        <v>5</v>
      </c>
      <c r="D5518" s="38" t="s">
        <v>266</v>
      </c>
    </row>
    <row r="5519" spans="1:4" x14ac:dyDescent="0.25">
      <c r="A5519" s="42">
        <v>409213.23</v>
      </c>
      <c r="B5519" s="39" t="s">
        <v>7071</v>
      </c>
      <c r="C5519" s="40">
        <v>5</v>
      </c>
      <c r="D5519" s="38" t="s">
        <v>266</v>
      </c>
    </row>
    <row r="5520" spans="1:4" x14ac:dyDescent="0.25">
      <c r="A5520" s="42">
        <v>409213.26</v>
      </c>
      <c r="B5520" s="39" t="s">
        <v>7072</v>
      </c>
      <c r="C5520" s="40">
        <v>5</v>
      </c>
      <c r="D5520" s="38" t="s">
        <v>266</v>
      </c>
    </row>
    <row r="5521" spans="1:4" x14ac:dyDescent="0.25">
      <c r="A5521" s="42">
        <v>409213.29</v>
      </c>
      <c r="B5521" s="39" t="s">
        <v>7073</v>
      </c>
      <c r="C5521" s="40">
        <v>5</v>
      </c>
      <c r="D5521" s="38" t="s">
        <v>266</v>
      </c>
    </row>
    <row r="5522" spans="1:4" x14ac:dyDescent="0.25">
      <c r="A5522" s="41">
        <v>409229</v>
      </c>
      <c r="B5522" s="39" t="s">
        <v>7074</v>
      </c>
      <c r="C5522" s="40">
        <v>4</v>
      </c>
      <c r="D5522" s="38" t="s">
        <v>266</v>
      </c>
    </row>
    <row r="5523" spans="1:4" x14ac:dyDescent="0.25">
      <c r="A5523" s="41">
        <v>409233</v>
      </c>
      <c r="B5523" s="39" t="s">
        <v>7075</v>
      </c>
      <c r="C5523" s="40">
        <v>4</v>
      </c>
      <c r="D5523" s="38" t="s">
        <v>266</v>
      </c>
    </row>
    <row r="5524" spans="1:4" x14ac:dyDescent="0.25">
      <c r="A5524" s="41">
        <v>409236</v>
      </c>
      <c r="B5524" s="39" t="s">
        <v>7076</v>
      </c>
      <c r="C5524" s="40">
        <v>4</v>
      </c>
      <c r="D5524" s="38" t="s">
        <v>266</v>
      </c>
    </row>
    <row r="5525" spans="1:4" x14ac:dyDescent="0.25">
      <c r="A5525" s="41">
        <v>409239</v>
      </c>
      <c r="B5525" s="39" t="s">
        <v>7077</v>
      </c>
      <c r="C5525" s="40">
        <v>4</v>
      </c>
      <c r="D5525" s="38" t="s">
        <v>266</v>
      </c>
    </row>
    <row r="5526" spans="1:4" x14ac:dyDescent="0.25">
      <c r="A5526" s="41">
        <v>409243</v>
      </c>
      <c r="B5526" s="39" t="s">
        <v>7078</v>
      </c>
      <c r="C5526" s="40">
        <v>4</v>
      </c>
      <c r="D5526" s="38" t="s">
        <v>266</v>
      </c>
    </row>
    <row r="5527" spans="1:4" x14ac:dyDescent="0.25">
      <c r="A5527" s="41">
        <v>409246</v>
      </c>
      <c r="B5527" s="39" t="s">
        <v>7079</v>
      </c>
      <c r="C5527" s="40">
        <v>4</v>
      </c>
      <c r="D5527" s="38" t="s">
        <v>266</v>
      </c>
    </row>
    <row r="5528" spans="1:4" x14ac:dyDescent="0.25">
      <c r="A5528" s="41">
        <v>409249</v>
      </c>
      <c r="B5528" s="39" t="s">
        <v>7080</v>
      </c>
      <c r="C5528" s="40">
        <v>4</v>
      </c>
      <c r="D5528" s="38" t="s">
        <v>266</v>
      </c>
    </row>
    <row r="5529" spans="1:4" x14ac:dyDescent="0.25">
      <c r="A5529" s="41">
        <v>409253</v>
      </c>
      <c r="B5529" s="39" t="s">
        <v>7081</v>
      </c>
      <c r="C5529" s="40">
        <v>4</v>
      </c>
      <c r="D5529" s="38" t="s">
        <v>266</v>
      </c>
    </row>
    <row r="5530" spans="1:4" x14ac:dyDescent="0.25">
      <c r="A5530" s="41">
        <v>409300</v>
      </c>
      <c r="B5530" s="39" t="s">
        <v>7082</v>
      </c>
      <c r="C5530" s="40">
        <v>3</v>
      </c>
      <c r="D5530" s="38" t="s">
        <v>266</v>
      </c>
    </row>
    <row r="5531" spans="1:4" x14ac:dyDescent="0.25">
      <c r="A5531" s="41">
        <v>409313</v>
      </c>
      <c r="B5531" s="39" t="s">
        <v>7083</v>
      </c>
      <c r="C5531" s="40">
        <v>4</v>
      </c>
      <c r="D5531" s="38" t="s">
        <v>266</v>
      </c>
    </row>
    <row r="5532" spans="1:4" x14ac:dyDescent="0.25">
      <c r="A5532" s="42">
        <v>409313.13</v>
      </c>
      <c r="B5532" s="39" t="s">
        <v>7084</v>
      </c>
      <c r="C5532" s="40">
        <v>5</v>
      </c>
      <c r="D5532" s="38" t="s">
        <v>266</v>
      </c>
    </row>
    <row r="5533" spans="1:4" x14ac:dyDescent="0.25">
      <c r="A5533" s="42">
        <v>409313.16</v>
      </c>
      <c r="B5533" s="39" t="s">
        <v>7085</v>
      </c>
      <c r="C5533" s="40">
        <v>5</v>
      </c>
      <c r="D5533" s="38" t="s">
        <v>266</v>
      </c>
    </row>
    <row r="5534" spans="1:4" x14ac:dyDescent="0.25">
      <c r="A5534" s="42">
        <v>409313.19</v>
      </c>
      <c r="B5534" s="39" t="s">
        <v>7086</v>
      </c>
      <c r="C5534" s="40">
        <v>5</v>
      </c>
      <c r="D5534" s="38" t="s">
        <v>266</v>
      </c>
    </row>
    <row r="5535" spans="1:4" x14ac:dyDescent="0.25">
      <c r="A5535" s="42">
        <v>409313.23</v>
      </c>
      <c r="B5535" s="39" t="s">
        <v>7087</v>
      </c>
      <c r="C5535" s="40">
        <v>5</v>
      </c>
      <c r="D5535" s="38" t="s">
        <v>266</v>
      </c>
    </row>
    <row r="5536" spans="1:4" x14ac:dyDescent="0.25">
      <c r="A5536" s="42">
        <v>409313.26</v>
      </c>
      <c r="B5536" s="39" t="s">
        <v>7088</v>
      </c>
      <c r="C5536" s="40">
        <v>5</v>
      </c>
      <c r="D5536" s="38" t="s">
        <v>266</v>
      </c>
    </row>
    <row r="5537" spans="1:4" x14ac:dyDescent="0.25">
      <c r="A5537" s="41">
        <v>409323</v>
      </c>
      <c r="B5537" s="39" t="s">
        <v>7089</v>
      </c>
      <c r="C5537" s="40">
        <v>4</v>
      </c>
      <c r="D5537" s="38" t="s">
        <v>266</v>
      </c>
    </row>
    <row r="5538" spans="1:4" x14ac:dyDescent="0.25">
      <c r="A5538" s="41">
        <v>409400</v>
      </c>
      <c r="B5538" s="39" t="s">
        <v>7090</v>
      </c>
      <c r="C5538" s="40">
        <v>3</v>
      </c>
      <c r="D5538" s="38" t="s">
        <v>266</v>
      </c>
    </row>
    <row r="5539" spans="1:4" x14ac:dyDescent="0.25">
      <c r="A5539" s="41">
        <v>409413</v>
      </c>
      <c r="B5539" s="39" t="s">
        <v>7091</v>
      </c>
      <c r="C5539" s="40">
        <v>4</v>
      </c>
      <c r="D5539" s="38" t="s">
        <v>266</v>
      </c>
    </row>
    <row r="5540" spans="1:4" x14ac:dyDescent="0.25">
      <c r="A5540" s="42">
        <v>409413.13</v>
      </c>
      <c r="B5540" s="39" t="s">
        <v>7092</v>
      </c>
      <c r="C5540" s="40">
        <v>5</v>
      </c>
      <c r="D5540" s="38" t="s">
        <v>266</v>
      </c>
    </row>
    <row r="5541" spans="1:4" x14ac:dyDescent="0.25">
      <c r="A5541" s="42">
        <v>409413.16</v>
      </c>
      <c r="B5541" s="39" t="s">
        <v>7093</v>
      </c>
      <c r="C5541" s="40">
        <v>5</v>
      </c>
      <c r="D5541" s="38" t="s">
        <v>266</v>
      </c>
    </row>
    <row r="5542" spans="1:4" x14ac:dyDescent="0.25">
      <c r="A5542" s="42">
        <v>409413.19</v>
      </c>
      <c r="B5542" s="39" t="s">
        <v>7094</v>
      </c>
      <c r="C5542" s="40">
        <v>5</v>
      </c>
      <c r="D5542" s="38" t="s">
        <v>266</v>
      </c>
    </row>
    <row r="5543" spans="1:4" x14ac:dyDescent="0.25">
      <c r="A5543" s="41">
        <v>409423</v>
      </c>
      <c r="B5543" s="39" t="s">
        <v>7095</v>
      </c>
      <c r="C5543" s="40">
        <v>4</v>
      </c>
      <c r="D5543" s="38" t="s">
        <v>266</v>
      </c>
    </row>
    <row r="5544" spans="1:4" x14ac:dyDescent="0.25">
      <c r="A5544" s="41">
        <v>409433</v>
      </c>
      <c r="B5544" s="39" t="s">
        <v>7096</v>
      </c>
      <c r="C5544" s="40">
        <v>4</v>
      </c>
      <c r="D5544" s="38" t="s">
        <v>266</v>
      </c>
    </row>
    <row r="5545" spans="1:4" x14ac:dyDescent="0.25">
      <c r="A5545" s="41">
        <v>409443</v>
      </c>
      <c r="B5545" s="39" t="s">
        <v>7097</v>
      </c>
      <c r="C5545" s="40">
        <v>4</v>
      </c>
      <c r="D5545" s="38" t="s">
        <v>266</v>
      </c>
    </row>
    <row r="5546" spans="1:4" x14ac:dyDescent="0.25">
      <c r="A5546" s="41">
        <v>409500</v>
      </c>
      <c r="B5546" s="39" t="s">
        <v>7098</v>
      </c>
      <c r="C5546" s="40">
        <v>3</v>
      </c>
      <c r="D5546" s="38" t="s">
        <v>266</v>
      </c>
    </row>
    <row r="5547" spans="1:4" x14ac:dyDescent="0.25">
      <c r="A5547" s="41">
        <v>409513</v>
      </c>
      <c r="B5547" s="39" t="s">
        <v>7099</v>
      </c>
      <c r="C5547" s="40">
        <v>4</v>
      </c>
      <c r="D5547" s="38" t="s">
        <v>266</v>
      </c>
    </row>
    <row r="5548" spans="1:4" x14ac:dyDescent="0.25">
      <c r="A5548" s="42">
        <v>409513.13</v>
      </c>
      <c r="B5548" s="39" t="s">
        <v>7100</v>
      </c>
      <c r="C5548" s="40">
        <v>5</v>
      </c>
      <c r="D5548" s="38" t="s">
        <v>266</v>
      </c>
    </row>
    <row r="5549" spans="1:4" x14ac:dyDescent="0.25">
      <c r="A5549" s="42">
        <v>409513.23</v>
      </c>
      <c r="B5549" s="39" t="s">
        <v>7101</v>
      </c>
      <c r="C5549" s="40">
        <v>5</v>
      </c>
      <c r="D5549" s="38" t="s">
        <v>266</v>
      </c>
    </row>
    <row r="5550" spans="1:4" x14ac:dyDescent="0.25">
      <c r="A5550" s="41">
        <v>409520</v>
      </c>
      <c r="B5550" s="39" t="s">
        <v>7102</v>
      </c>
      <c r="C5550" s="40">
        <v>4</v>
      </c>
      <c r="D5550" s="38" t="s">
        <v>266</v>
      </c>
    </row>
    <row r="5551" spans="1:4" x14ac:dyDescent="0.25">
      <c r="A5551" s="41">
        <v>409523</v>
      </c>
      <c r="B5551" s="39" t="s">
        <v>7103</v>
      </c>
      <c r="C5551" s="40">
        <v>4</v>
      </c>
      <c r="D5551" s="38" t="s">
        <v>266</v>
      </c>
    </row>
    <row r="5552" spans="1:4" x14ac:dyDescent="0.25">
      <c r="A5552" s="41">
        <v>409526</v>
      </c>
      <c r="B5552" s="39" t="s">
        <v>7104</v>
      </c>
      <c r="C5552" s="40">
        <v>4</v>
      </c>
      <c r="D5552" s="38" t="s">
        <v>266</v>
      </c>
    </row>
    <row r="5553" spans="1:4" x14ac:dyDescent="0.25">
      <c r="A5553" s="41">
        <v>409533</v>
      </c>
      <c r="B5553" s="39" t="s">
        <v>7105</v>
      </c>
      <c r="C5553" s="40">
        <v>4</v>
      </c>
      <c r="D5553" s="38" t="s">
        <v>266</v>
      </c>
    </row>
    <row r="5554" spans="1:4" x14ac:dyDescent="0.25">
      <c r="A5554" s="42">
        <v>409533.13</v>
      </c>
      <c r="B5554" s="39" t="s">
        <v>7106</v>
      </c>
      <c r="C5554" s="40">
        <v>5</v>
      </c>
      <c r="D5554" s="38" t="s">
        <v>266</v>
      </c>
    </row>
    <row r="5555" spans="1:4" x14ac:dyDescent="0.25">
      <c r="A5555" s="42">
        <v>409533.23</v>
      </c>
      <c r="B5555" s="39" t="s">
        <v>7107</v>
      </c>
      <c r="C5555" s="40">
        <v>5</v>
      </c>
      <c r="D5555" s="38" t="s">
        <v>266</v>
      </c>
    </row>
    <row r="5556" spans="1:4" x14ac:dyDescent="0.25">
      <c r="A5556" s="42">
        <v>409533.33</v>
      </c>
      <c r="B5556" s="39" t="s">
        <v>7108</v>
      </c>
      <c r="C5556" s="40">
        <v>5</v>
      </c>
      <c r="D5556" s="38" t="s">
        <v>266</v>
      </c>
    </row>
    <row r="5557" spans="1:4" x14ac:dyDescent="0.25">
      <c r="A5557" s="41">
        <v>409543</v>
      </c>
      <c r="B5557" s="39" t="s">
        <v>7109</v>
      </c>
      <c r="C5557" s="40">
        <v>4</v>
      </c>
      <c r="D5557" s="38" t="s">
        <v>266</v>
      </c>
    </row>
    <row r="5558" spans="1:4" x14ac:dyDescent="0.25">
      <c r="A5558" s="41">
        <v>409546</v>
      </c>
      <c r="B5558" s="39" t="s">
        <v>7110</v>
      </c>
      <c r="C5558" s="40">
        <v>4</v>
      </c>
      <c r="D5558" s="38" t="s">
        <v>266</v>
      </c>
    </row>
    <row r="5559" spans="1:4" x14ac:dyDescent="0.25">
      <c r="A5559" s="41">
        <v>409549</v>
      </c>
      <c r="B5559" s="39" t="s">
        <v>7111</v>
      </c>
      <c r="C5559" s="40">
        <v>4</v>
      </c>
      <c r="D5559" s="38" t="s">
        <v>266</v>
      </c>
    </row>
    <row r="5560" spans="1:4" x14ac:dyDescent="0.25">
      <c r="A5560" s="41">
        <v>409553</v>
      </c>
      <c r="B5560" s="39" t="s">
        <v>7112</v>
      </c>
      <c r="C5560" s="40">
        <v>4</v>
      </c>
      <c r="D5560" s="38" t="s">
        <v>266</v>
      </c>
    </row>
    <row r="5561" spans="1:4" x14ac:dyDescent="0.25">
      <c r="A5561" s="41">
        <v>409556</v>
      </c>
      <c r="B5561" s="39" t="s">
        <v>7113</v>
      </c>
      <c r="C5561" s="40">
        <v>4</v>
      </c>
      <c r="D5561" s="38" t="s">
        <v>266</v>
      </c>
    </row>
    <row r="5562" spans="1:4" x14ac:dyDescent="0.25">
      <c r="A5562" s="41">
        <v>409563</v>
      </c>
      <c r="B5562" s="39" t="s">
        <v>7114</v>
      </c>
      <c r="C5562" s="40">
        <v>4</v>
      </c>
      <c r="D5562" s="38" t="s">
        <v>266</v>
      </c>
    </row>
    <row r="5563" spans="1:4" x14ac:dyDescent="0.25">
      <c r="A5563" s="42">
        <v>409563.13</v>
      </c>
      <c r="B5563" s="39" t="s">
        <v>7115</v>
      </c>
      <c r="C5563" s="40">
        <v>5</v>
      </c>
      <c r="D5563" s="38" t="s">
        <v>266</v>
      </c>
    </row>
    <row r="5564" spans="1:4" x14ac:dyDescent="0.25">
      <c r="A5564" s="42">
        <v>409563.16</v>
      </c>
      <c r="B5564" s="39" t="s">
        <v>7116</v>
      </c>
      <c r="C5564" s="40">
        <v>5</v>
      </c>
      <c r="D5564" s="38" t="s">
        <v>266</v>
      </c>
    </row>
    <row r="5565" spans="1:4" x14ac:dyDescent="0.25">
      <c r="A5565" s="42">
        <v>409563.19</v>
      </c>
      <c r="B5565" s="39" t="s">
        <v>7117</v>
      </c>
      <c r="C5565" s="40">
        <v>5</v>
      </c>
      <c r="D5565" s="38" t="s">
        <v>266</v>
      </c>
    </row>
    <row r="5566" spans="1:4" x14ac:dyDescent="0.25">
      <c r="A5566" s="41">
        <v>409573</v>
      </c>
      <c r="B5566" s="39" t="s">
        <v>7118</v>
      </c>
      <c r="C5566" s="40">
        <v>4</v>
      </c>
      <c r="D5566" s="38" t="s">
        <v>266</v>
      </c>
    </row>
    <row r="5567" spans="1:4" x14ac:dyDescent="0.25">
      <c r="A5567" s="42">
        <v>409573.23</v>
      </c>
      <c r="B5567" s="39" t="s">
        <v>7119</v>
      </c>
      <c r="C5567" s="40">
        <v>5</v>
      </c>
      <c r="D5567" s="38" t="s">
        <v>266</v>
      </c>
    </row>
    <row r="5568" spans="1:4" x14ac:dyDescent="0.25">
      <c r="A5568" s="42">
        <v>409573.33</v>
      </c>
      <c r="B5568" s="39" t="s">
        <v>7120</v>
      </c>
      <c r="C5568" s="40">
        <v>5</v>
      </c>
      <c r="D5568" s="38" t="s">
        <v>266</v>
      </c>
    </row>
    <row r="5569" spans="1:4" x14ac:dyDescent="0.25">
      <c r="A5569" s="42">
        <v>409573.43</v>
      </c>
      <c r="B5569" s="39" t="s">
        <v>7121</v>
      </c>
      <c r="C5569" s="40">
        <v>5</v>
      </c>
      <c r="D5569" s="38" t="s">
        <v>266</v>
      </c>
    </row>
    <row r="5570" spans="1:4" x14ac:dyDescent="0.25">
      <c r="A5570" s="41">
        <v>409600</v>
      </c>
      <c r="B5570" s="39" t="s">
        <v>7122</v>
      </c>
      <c r="C5570" s="40">
        <v>3</v>
      </c>
      <c r="D5570" s="38" t="s">
        <v>266</v>
      </c>
    </row>
    <row r="5571" spans="1:4" x14ac:dyDescent="0.25">
      <c r="A5571" s="41">
        <v>409610</v>
      </c>
      <c r="B5571" s="39" t="s">
        <v>7123</v>
      </c>
      <c r="C5571" s="40">
        <v>4</v>
      </c>
      <c r="D5571" s="38" t="s">
        <v>266</v>
      </c>
    </row>
    <row r="5572" spans="1:4" x14ac:dyDescent="0.25">
      <c r="A5572" s="41">
        <v>409615</v>
      </c>
      <c r="B5572" s="39" t="s">
        <v>7124</v>
      </c>
      <c r="C5572" s="40">
        <v>4</v>
      </c>
      <c r="D5572" s="38" t="s">
        <v>266</v>
      </c>
    </row>
    <row r="5573" spans="1:4" x14ac:dyDescent="0.25">
      <c r="A5573" s="41">
        <v>409620</v>
      </c>
      <c r="B5573" s="39" t="s">
        <v>7125</v>
      </c>
      <c r="C5573" s="40">
        <v>4</v>
      </c>
      <c r="D5573" s="38" t="s">
        <v>266</v>
      </c>
    </row>
    <row r="5574" spans="1:4" x14ac:dyDescent="0.25">
      <c r="A5574" s="41">
        <v>409625</v>
      </c>
      <c r="B5574" s="39" t="s">
        <v>7126</v>
      </c>
      <c r="C5574" s="40">
        <v>4</v>
      </c>
      <c r="D5574" s="38" t="s">
        <v>266</v>
      </c>
    </row>
    <row r="5575" spans="1:4" x14ac:dyDescent="0.25">
      <c r="A5575" s="41">
        <v>409630</v>
      </c>
      <c r="B5575" s="39" t="s">
        <v>7127</v>
      </c>
      <c r="C5575" s="40">
        <v>4</v>
      </c>
      <c r="D5575" s="38" t="s">
        <v>266</v>
      </c>
    </row>
    <row r="5576" spans="1:4" x14ac:dyDescent="0.25">
      <c r="A5576" s="41">
        <v>409635</v>
      </c>
      <c r="B5576" s="39" t="s">
        <v>7128</v>
      </c>
      <c r="C5576" s="40">
        <v>4</v>
      </c>
      <c r="D5576" s="38" t="s">
        <v>266</v>
      </c>
    </row>
    <row r="5577" spans="1:4" x14ac:dyDescent="0.25">
      <c r="A5577" s="41">
        <v>409640</v>
      </c>
      <c r="B5577" s="39" t="s">
        <v>7129</v>
      </c>
      <c r="C5577" s="40">
        <v>4</v>
      </c>
      <c r="D5577" s="38" t="s">
        <v>266</v>
      </c>
    </row>
    <row r="5578" spans="1:4" x14ac:dyDescent="0.25">
      <c r="A5578" s="41">
        <v>409700</v>
      </c>
      <c r="B5578" s="39" t="s">
        <v>7130</v>
      </c>
      <c r="C5578" s="40">
        <v>3</v>
      </c>
      <c r="D5578" s="38" t="s">
        <v>266</v>
      </c>
    </row>
    <row r="5579" spans="1:4" x14ac:dyDescent="0.25">
      <c r="A5579" s="41">
        <v>409710</v>
      </c>
      <c r="B5579" s="39" t="s">
        <v>7131</v>
      </c>
      <c r="C5579" s="40">
        <v>4</v>
      </c>
      <c r="D5579" s="38" t="s">
        <v>266</v>
      </c>
    </row>
    <row r="5580" spans="1:4" x14ac:dyDescent="0.25">
      <c r="A5580" s="41">
        <v>409715</v>
      </c>
      <c r="B5580" s="39" t="s">
        <v>7132</v>
      </c>
      <c r="C5580" s="40">
        <v>4</v>
      </c>
      <c r="D5580" s="38" t="s">
        <v>266</v>
      </c>
    </row>
    <row r="5581" spans="1:4" x14ac:dyDescent="0.25">
      <c r="A5581" s="41">
        <v>409720</v>
      </c>
      <c r="B5581" s="39" t="s">
        <v>7133</v>
      </c>
      <c r="C5581" s="40">
        <v>4</v>
      </c>
      <c r="D5581" s="38" t="s">
        <v>266</v>
      </c>
    </row>
    <row r="5582" spans="1:4" x14ac:dyDescent="0.25">
      <c r="A5582" s="41">
        <v>409725</v>
      </c>
      <c r="B5582" s="39" t="s">
        <v>7134</v>
      </c>
      <c r="C5582" s="40">
        <v>4</v>
      </c>
      <c r="D5582" s="38" t="s">
        <v>266</v>
      </c>
    </row>
    <row r="5583" spans="1:4" x14ac:dyDescent="0.25">
      <c r="A5583" s="41">
        <v>409730</v>
      </c>
      <c r="B5583" s="39" t="s">
        <v>7135</v>
      </c>
      <c r="C5583" s="40">
        <v>4</v>
      </c>
      <c r="D5583" s="38" t="s">
        <v>266</v>
      </c>
    </row>
    <row r="5584" spans="1:4" x14ac:dyDescent="0.25">
      <c r="A5584" s="41">
        <v>410000</v>
      </c>
      <c r="B5584" s="39" t="s">
        <v>7136</v>
      </c>
      <c r="C5584" s="40">
        <v>2</v>
      </c>
      <c r="D5584" s="38" t="s">
        <v>266</v>
      </c>
    </row>
    <row r="5585" spans="1:4" x14ac:dyDescent="0.25">
      <c r="A5585" s="41">
        <v>410100</v>
      </c>
      <c r="B5585" s="39" t="s">
        <v>7137</v>
      </c>
      <c r="C5585" s="40">
        <v>3</v>
      </c>
      <c r="D5585" s="38" t="s">
        <v>266</v>
      </c>
    </row>
    <row r="5586" spans="1:4" x14ac:dyDescent="0.25">
      <c r="A5586" s="41">
        <v>410110</v>
      </c>
      <c r="B5586" s="39" t="s">
        <v>7138</v>
      </c>
      <c r="C5586" s="40">
        <v>4</v>
      </c>
      <c r="D5586" s="38" t="s">
        <v>266</v>
      </c>
    </row>
    <row r="5587" spans="1:4" x14ac:dyDescent="0.25">
      <c r="A5587" s="41">
        <v>410120</v>
      </c>
      <c r="B5587" s="39" t="s">
        <v>7139</v>
      </c>
      <c r="C5587" s="40">
        <v>4</v>
      </c>
      <c r="D5587" s="38" t="s">
        <v>266</v>
      </c>
    </row>
    <row r="5588" spans="1:4" x14ac:dyDescent="0.25">
      <c r="A5588" s="41">
        <v>410130</v>
      </c>
      <c r="B5588" s="39" t="s">
        <v>7140</v>
      </c>
      <c r="C5588" s="40">
        <v>4</v>
      </c>
      <c r="D5588" s="38" t="s">
        <v>266</v>
      </c>
    </row>
    <row r="5589" spans="1:4" x14ac:dyDescent="0.25">
      <c r="A5589" s="41">
        <v>410140</v>
      </c>
      <c r="B5589" s="39" t="s">
        <v>7141</v>
      </c>
      <c r="C5589" s="40">
        <v>4</v>
      </c>
      <c r="D5589" s="38" t="s">
        <v>266</v>
      </c>
    </row>
    <row r="5590" spans="1:4" x14ac:dyDescent="0.25">
      <c r="A5590" s="41">
        <v>410150</v>
      </c>
      <c r="B5590" s="39" t="s">
        <v>7142</v>
      </c>
      <c r="C5590" s="40">
        <v>4</v>
      </c>
      <c r="D5590" s="38" t="s">
        <v>266</v>
      </c>
    </row>
    <row r="5591" spans="1:4" x14ac:dyDescent="0.25">
      <c r="A5591" s="41">
        <v>410160</v>
      </c>
      <c r="B5591" s="39" t="s">
        <v>7143</v>
      </c>
      <c r="C5591" s="40">
        <v>4</v>
      </c>
      <c r="D5591" s="38" t="s">
        <v>266</v>
      </c>
    </row>
    <row r="5592" spans="1:4" x14ac:dyDescent="0.25">
      <c r="A5592" s="41">
        <v>410800</v>
      </c>
      <c r="B5592" s="39" t="s">
        <v>7144</v>
      </c>
      <c r="C5592" s="40">
        <v>3</v>
      </c>
      <c r="D5592" s="38" t="s">
        <v>266</v>
      </c>
    </row>
    <row r="5593" spans="1:4" x14ac:dyDescent="0.25">
      <c r="A5593" s="41">
        <v>410810</v>
      </c>
      <c r="B5593" s="39" t="s">
        <v>7145</v>
      </c>
      <c r="C5593" s="40">
        <v>4</v>
      </c>
      <c r="D5593" s="38" t="s">
        <v>266</v>
      </c>
    </row>
    <row r="5594" spans="1:4" x14ac:dyDescent="0.25">
      <c r="A5594" s="41">
        <v>410820</v>
      </c>
      <c r="B5594" s="39" t="s">
        <v>7146</v>
      </c>
      <c r="C5594" s="40">
        <v>4</v>
      </c>
      <c r="D5594" s="38" t="s">
        <v>266</v>
      </c>
    </row>
    <row r="5595" spans="1:4" x14ac:dyDescent="0.25">
      <c r="A5595" s="41">
        <v>410830</v>
      </c>
      <c r="B5595" s="39" t="s">
        <v>7147</v>
      </c>
      <c r="C5595" s="40">
        <v>4</v>
      </c>
      <c r="D5595" s="38" t="s">
        <v>266</v>
      </c>
    </row>
    <row r="5596" spans="1:4" x14ac:dyDescent="0.25">
      <c r="A5596" s="41">
        <v>410840</v>
      </c>
      <c r="B5596" s="39" t="s">
        <v>7148</v>
      </c>
      <c r="C5596" s="40">
        <v>4</v>
      </c>
      <c r="D5596" s="38" t="s">
        <v>266</v>
      </c>
    </row>
    <row r="5597" spans="1:4" x14ac:dyDescent="0.25">
      <c r="A5597" s="41">
        <v>410850</v>
      </c>
      <c r="B5597" s="39" t="s">
        <v>7149</v>
      </c>
      <c r="C5597" s="40">
        <v>4</v>
      </c>
      <c r="D5597" s="38" t="s">
        <v>266</v>
      </c>
    </row>
    <row r="5598" spans="1:4" x14ac:dyDescent="0.25">
      <c r="A5598" s="41">
        <v>410860</v>
      </c>
      <c r="B5598" s="39" t="s">
        <v>7150</v>
      </c>
      <c r="C5598" s="40">
        <v>4</v>
      </c>
      <c r="D5598" s="38" t="s">
        <v>266</v>
      </c>
    </row>
    <row r="5599" spans="1:4" x14ac:dyDescent="0.25">
      <c r="A5599" s="41">
        <v>411000</v>
      </c>
      <c r="B5599" s="39" t="s">
        <v>7151</v>
      </c>
      <c r="C5599" s="40">
        <v>3</v>
      </c>
      <c r="D5599" s="38" t="s">
        <v>266</v>
      </c>
    </row>
    <row r="5600" spans="1:4" x14ac:dyDescent="0.25">
      <c r="A5600" s="41">
        <v>411100</v>
      </c>
      <c r="B5600" s="39" t="s">
        <v>7152</v>
      </c>
      <c r="C5600" s="40">
        <v>3</v>
      </c>
      <c r="D5600" s="38" t="s">
        <v>266</v>
      </c>
    </row>
    <row r="5601" spans="1:4" x14ac:dyDescent="0.25">
      <c r="A5601" s="41">
        <v>411113</v>
      </c>
      <c r="B5601" s="39" t="s">
        <v>7153</v>
      </c>
      <c r="C5601" s="40">
        <v>4</v>
      </c>
      <c r="D5601" s="38" t="s">
        <v>266</v>
      </c>
    </row>
    <row r="5602" spans="1:4" x14ac:dyDescent="0.25">
      <c r="A5602" s="41">
        <v>411116</v>
      </c>
      <c r="B5602" s="39" t="s">
        <v>7154</v>
      </c>
      <c r="C5602" s="40">
        <v>4</v>
      </c>
      <c r="D5602" s="38" t="s">
        <v>266</v>
      </c>
    </row>
    <row r="5603" spans="1:4" x14ac:dyDescent="0.25">
      <c r="A5603" s="41">
        <v>411119</v>
      </c>
      <c r="B5603" s="39" t="s">
        <v>7155</v>
      </c>
      <c r="C5603" s="40">
        <v>4</v>
      </c>
      <c r="D5603" s="38" t="s">
        <v>266</v>
      </c>
    </row>
    <row r="5604" spans="1:4" x14ac:dyDescent="0.25">
      <c r="A5604" s="41">
        <v>411123</v>
      </c>
      <c r="B5604" s="39" t="s">
        <v>7156</v>
      </c>
      <c r="C5604" s="40">
        <v>4</v>
      </c>
      <c r="D5604" s="38" t="s">
        <v>266</v>
      </c>
    </row>
    <row r="5605" spans="1:4" x14ac:dyDescent="0.25">
      <c r="A5605" s="41">
        <v>411126</v>
      </c>
      <c r="B5605" s="39" t="s">
        <v>7157</v>
      </c>
      <c r="C5605" s="40">
        <v>4</v>
      </c>
      <c r="D5605" s="38" t="s">
        <v>266</v>
      </c>
    </row>
    <row r="5606" spans="1:4" x14ac:dyDescent="0.25">
      <c r="A5606" s="41">
        <v>411129</v>
      </c>
      <c r="B5606" s="39" t="s">
        <v>7158</v>
      </c>
      <c r="C5606" s="40">
        <v>4</v>
      </c>
      <c r="D5606" s="38" t="s">
        <v>266</v>
      </c>
    </row>
    <row r="5607" spans="1:4" x14ac:dyDescent="0.25">
      <c r="A5607" s="41">
        <v>411133</v>
      </c>
      <c r="B5607" s="39" t="s">
        <v>7159</v>
      </c>
      <c r="C5607" s="40">
        <v>4</v>
      </c>
      <c r="D5607" s="38" t="s">
        <v>266</v>
      </c>
    </row>
    <row r="5608" spans="1:4" x14ac:dyDescent="0.25">
      <c r="A5608" s="41">
        <v>411136</v>
      </c>
      <c r="B5608" s="39" t="s">
        <v>7160</v>
      </c>
      <c r="C5608" s="40">
        <v>4</v>
      </c>
      <c r="D5608" s="38" t="s">
        <v>266</v>
      </c>
    </row>
    <row r="5609" spans="1:4" x14ac:dyDescent="0.25">
      <c r="A5609" s="41">
        <v>411139</v>
      </c>
      <c r="B5609" s="39" t="s">
        <v>7161</v>
      </c>
      <c r="C5609" s="40">
        <v>4</v>
      </c>
      <c r="D5609" s="38" t="s">
        <v>266</v>
      </c>
    </row>
    <row r="5610" spans="1:4" x14ac:dyDescent="0.25">
      <c r="A5610" s="41">
        <v>411143</v>
      </c>
      <c r="B5610" s="39" t="s">
        <v>7162</v>
      </c>
      <c r="C5610" s="40">
        <v>4</v>
      </c>
      <c r="D5610" s="38" t="s">
        <v>266</v>
      </c>
    </row>
    <row r="5611" spans="1:4" x14ac:dyDescent="0.25">
      <c r="A5611" s="41">
        <v>411146</v>
      </c>
      <c r="B5611" s="39" t="s">
        <v>7163</v>
      </c>
      <c r="C5611" s="40">
        <v>4</v>
      </c>
      <c r="D5611" s="38" t="s">
        <v>266</v>
      </c>
    </row>
    <row r="5612" spans="1:4" x14ac:dyDescent="0.25">
      <c r="A5612" s="41">
        <v>411149</v>
      </c>
      <c r="B5612" s="39" t="s">
        <v>7164</v>
      </c>
      <c r="C5612" s="40">
        <v>4</v>
      </c>
      <c r="D5612" s="38" t="s">
        <v>266</v>
      </c>
    </row>
    <row r="5613" spans="1:4" x14ac:dyDescent="0.25">
      <c r="A5613" s="41">
        <v>411153</v>
      </c>
      <c r="B5613" s="39" t="s">
        <v>7165</v>
      </c>
      <c r="C5613" s="40">
        <v>4</v>
      </c>
      <c r="D5613" s="38" t="s">
        <v>266</v>
      </c>
    </row>
    <row r="5614" spans="1:4" x14ac:dyDescent="0.25">
      <c r="A5614" s="41">
        <v>411156</v>
      </c>
      <c r="B5614" s="39" t="s">
        <v>7166</v>
      </c>
      <c r="C5614" s="40">
        <v>4</v>
      </c>
      <c r="D5614" s="38" t="s">
        <v>266</v>
      </c>
    </row>
    <row r="5615" spans="1:4" x14ac:dyDescent="0.25">
      <c r="A5615" s="41">
        <v>411200</v>
      </c>
      <c r="B5615" s="39" t="s">
        <v>7167</v>
      </c>
      <c r="C5615" s="40">
        <v>3</v>
      </c>
      <c r="D5615" s="38" t="s">
        <v>266</v>
      </c>
    </row>
    <row r="5616" spans="1:4" x14ac:dyDescent="0.25">
      <c r="A5616" s="41">
        <v>411213</v>
      </c>
      <c r="B5616" s="39" t="s">
        <v>7168</v>
      </c>
      <c r="C5616" s="40">
        <v>4</v>
      </c>
      <c r="D5616" s="38" t="s">
        <v>266</v>
      </c>
    </row>
    <row r="5617" spans="1:4" x14ac:dyDescent="0.25">
      <c r="A5617" s="42">
        <v>411213.13</v>
      </c>
      <c r="B5617" s="39" t="s">
        <v>7169</v>
      </c>
      <c r="C5617" s="40">
        <v>5</v>
      </c>
      <c r="D5617" s="38" t="s">
        <v>266</v>
      </c>
    </row>
    <row r="5618" spans="1:4" x14ac:dyDescent="0.25">
      <c r="A5618" s="42">
        <v>411213.16</v>
      </c>
      <c r="B5618" s="39" t="s">
        <v>7170</v>
      </c>
      <c r="C5618" s="40">
        <v>5</v>
      </c>
      <c r="D5618" s="38" t="s">
        <v>266</v>
      </c>
    </row>
    <row r="5619" spans="1:4" x14ac:dyDescent="0.25">
      <c r="A5619" s="42">
        <v>411213.19</v>
      </c>
      <c r="B5619" s="39" t="s">
        <v>7171</v>
      </c>
      <c r="C5619" s="40">
        <v>5</v>
      </c>
      <c r="D5619" s="38" t="s">
        <v>266</v>
      </c>
    </row>
    <row r="5620" spans="1:4" x14ac:dyDescent="0.25">
      <c r="A5620" s="42">
        <v>411213.23</v>
      </c>
      <c r="B5620" s="39" t="s">
        <v>7172</v>
      </c>
      <c r="C5620" s="40">
        <v>5</v>
      </c>
      <c r="D5620" s="38" t="s">
        <v>266</v>
      </c>
    </row>
    <row r="5621" spans="1:4" x14ac:dyDescent="0.25">
      <c r="A5621" s="42">
        <v>411213.26</v>
      </c>
      <c r="B5621" s="39" t="s">
        <v>7173</v>
      </c>
      <c r="C5621" s="40">
        <v>5</v>
      </c>
      <c r="D5621" s="38" t="s">
        <v>266</v>
      </c>
    </row>
    <row r="5622" spans="1:4" x14ac:dyDescent="0.25">
      <c r="A5622" s="42">
        <v>411213.29</v>
      </c>
      <c r="B5622" s="39" t="s">
        <v>7174</v>
      </c>
      <c r="C5622" s="40">
        <v>5</v>
      </c>
      <c r="D5622" s="38" t="s">
        <v>266</v>
      </c>
    </row>
    <row r="5623" spans="1:4" x14ac:dyDescent="0.25">
      <c r="A5623" s="42">
        <v>411213.33</v>
      </c>
      <c r="B5623" s="39" t="s">
        <v>7175</v>
      </c>
      <c r="C5623" s="40">
        <v>5</v>
      </c>
      <c r="D5623" s="38" t="s">
        <v>266</v>
      </c>
    </row>
    <row r="5624" spans="1:4" x14ac:dyDescent="0.25">
      <c r="A5624" s="42">
        <v>411213.36</v>
      </c>
      <c r="B5624" s="39" t="s">
        <v>7176</v>
      </c>
      <c r="C5624" s="40">
        <v>5</v>
      </c>
      <c r="D5624" s="38" t="s">
        <v>266</v>
      </c>
    </row>
    <row r="5625" spans="1:4" x14ac:dyDescent="0.25">
      <c r="A5625" s="42">
        <v>411213.39</v>
      </c>
      <c r="B5625" s="39" t="s">
        <v>7177</v>
      </c>
      <c r="C5625" s="40">
        <v>5</v>
      </c>
      <c r="D5625" s="38" t="s">
        <v>266</v>
      </c>
    </row>
    <row r="5626" spans="1:4" x14ac:dyDescent="0.25">
      <c r="A5626" s="42">
        <v>411213.43</v>
      </c>
      <c r="B5626" s="39" t="s">
        <v>7178</v>
      </c>
      <c r="C5626" s="40">
        <v>5</v>
      </c>
      <c r="D5626" s="38" t="s">
        <v>266</v>
      </c>
    </row>
    <row r="5627" spans="1:4" x14ac:dyDescent="0.25">
      <c r="A5627" s="42">
        <v>411213.46</v>
      </c>
      <c r="B5627" s="39" t="s">
        <v>7179</v>
      </c>
      <c r="C5627" s="40">
        <v>5</v>
      </c>
      <c r="D5627" s="38" t="s">
        <v>266</v>
      </c>
    </row>
    <row r="5628" spans="1:4" x14ac:dyDescent="0.25">
      <c r="A5628" s="42">
        <v>411213.49</v>
      </c>
      <c r="B5628" s="39" t="s">
        <v>7180</v>
      </c>
      <c r="C5628" s="40">
        <v>5</v>
      </c>
      <c r="D5628" s="38" t="s">
        <v>266</v>
      </c>
    </row>
    <row r="5629" spans="1:4" x14ac:dyDescent="0.25">
      <c r="A5629" s="42">
        <v>411213.53</v>
      </c>
      <c r="B5629" s="39" t="s">
        <v>7181</v>
      </c>
      <c r="C5629" s="40">
        <v>5</v>
      </c>
      <c r="D5629" s="38" t="s">
        <v>266</v>
      </c>
    </row>
    <row r="5630" spans="1:4" x14ac:dyDescent="0.25">
      <c r="A5630" s="41">
        <v>411216</v>
      </c>
      <c r="B5630" s="39" t="s">
        <v>7182</v>
      </c>
      <c r="C5630" s="40">
        <v>4</v>
      </c>
      <c r="D5630" s="38" t="s">
        <v>266</v>
      </c>
    </row>
    <row r="5631" spans="1:4" x14ac:dyDescent="0.25">
      <c r="A5631" s="41">
        <v>411219</v>
      </c>
      <c r="B5631" s="39" t="s">
        <v>7183</v>
      </c>
      <c r="C5631" s="40">
        <v>4</v>
      </c>
      <c r="D5631" s="38" t="s">
        <v>266</v>
      </c>
    </row>
    <row r="5632" spans="1:4" x14ac:dyDescent="0.25">
      <c r="A5632" s="42">
        <v>411219.13</v>
      </c>
      <c r="B5632" s="39" t="s">
        <v>7184</v>
      </c>
      <c r="C5632" s="40">
        <v>5</v>
      </c>
      <c r="D5632" s="38" t="s">
        <v>266</v>
      </c>
    </row>
    <row r="5633" spans="1:4" x14ac:dyDescent="0.25">
      <c r="A5633" s="42">
        <v>411219.16</v>
      </c>
      <c r="B5633" s="39" t="s">
        <v>7185</v>
      </c>
      <c r="C5633" s="40">
        <v>5</v>
      </c>
      <c r="D5633" s="38" t="s">
        <v>266</v>
      </c>
    </row>
    <row r="5634" spans="1:4" x14ac:dyDescent="0.25">
      <c r="A5634" s="41">
        <v>411300</v>
      </c>
      <c r="B5634" s="39" t="s">
        <v>7186</v>
      </c>
      <c r="C5634" s="40">
        <v>3</v>
      </c>
      <c r="D5634" s="38" t="s">
        <v>266</v>
      </c>
    </row>
    <row r="5635" spans="1:4" x14ac:dyDescent="0.25">
      <c r="A5635" s="41">
        <v>411313</v>
      </c>
      <c r="B5635" s="39" t="s">
        <v>7187</v>
      </c>
      <c r="C5635" s="40">
        <v>4</v>
      </c>
      <c r="D5635" s="38" t="s">
        <v>266</v>
      </c>
    </row>
    <row r="5636" spans="1:4" x14ac:dyDescent="0.25">
      <c r="A5636" s="41">
        <v>411323</v>
      </c>
      <c r="B5636" s="39" t="s">
        <v>7188</v>
      </c>
      <c r="C5636" s="40">
        <v>4</v>
      </c>
      <c r="D5636" s="38" t="s">
        <v>266</v>
      </c>
    </row>
    <row r="5637" spans="1:4" x14ac:dyDescent="0.25">
      <c r="A5637" s="42">
        <v>411323.13</v>
      </c>
      <c r="B5637" s="39" t="s">
        <v>7189</v>
      </c>
      <c r="C5637" s="40">
        <v>5</v>
      </c>
      <c r="D5637" s="38" t="s">
        <v>266</v>
      </c>
    </row>
    <row r="5638" spans="1:4" x14ac:dyDescent="0.25">
      <c r="A5638" s="42">
        <v>411323.16</v>
      </c>
      <c r="B5638" s="39" t="s">
        <v>7190</v>
      </c>
      <c r="C5638" s="40">
        <v>5</v>
      </c>
      <c r="D5638" s="38" t="s">
        <v>266</v>
      </c>
    </row>
    <row r="5639" spans="1:4" x14ac:dyDescent="0.25">
      <c r="A5639" s="42">
        <v>411323.19</v>
      </c>
      <c r="B5639" s="39" t="s">
        <v>7191</v>
      </c>
      <c r="C5639" s="40">
        <v>5</v>
      </c>
      <c r="D5639" s="38" t="s">
        <v>266</v>
      </c>
    </row>
    <row r="5640" spans="1:4" x14ac:dyDescent="0.25">
      <c r="A5640" s="42">
        <v>411323.23</v>
      </c>
      <c r="B5640" s="39" t="s">
        <v>7192</v>
      </c>
      <c r="C5640" s="40">
        <v>5</v>
      </c>
      <c r="D5640" s="38" t="s">
        <v>266</v>
      </c>
    </row>
    <row r="5641" spans="1:4" x14ac:dyDescent="0.25">
      <c r="A5641" s="42">
        <v>411323.26</v>
      </c>
      <c r="B5641" s="39" t="s">
        <v>7193</v>
      </c>
      <c r="C5641" s="40">
        <v>5</v>
      </c>
      <c r="D5641" s="38" t="s">
        <v>266</v>
      </c>
    </row>
    <row r="5642" spans="1:4" x14ac:dyDescent="0.25">
      <c r="A5642" s="42">
        <v>411323.29</v>
      </c>
      <c r="B5642" s="39" t="s">
        <v>7194</v>
      </c>
      <c r="C5642" s="40">
        <v>5</v>
      </c>
      <c r="D5642" s="38" t="s">
        <v>266</v>
      </c>
    </row>
    <row r="5643" spans="1:4" x14ac:dyDescent="0.25">
      <c r="A5643" s="42">
        <v>411323.33</v>
      </c>
      <c r="B5643" s="39" t="s">
        <v>7195</v>
      </c>
      <c r="C5643" s="40">
        <v>5</v>
      </c>
      <c r="D5643" s="38" t="s">
        <v>266</v>
      </c>
    </row>
    <row r="5644" spans="1:4" x14ac:dyDescent="0.25">
      <c r="A5644" s="41">
        <v>411400</v>
      </c>
      <c r="B5644" s="39" t="s">
        <v>7196</v>
      </c>
      <c r="C5644" s="40">
        <v>3</v>
      </c>
      <c r="D5644" s="38" t="s">
        <v>266</v>
      </c>
    </row>
    <row r="5645" spans="1:4" x14ac:dyDescent="0.25">
      <c r="A5645" s="41">
        <v>411413</v>
      </c>
      <c r="B5645" s="39" t="s">
        <v>7197</v>
      </c>
      <c r="C5645" s="40">
        <v>4</v>
      </c>
      <c r="D5645" s="38" t="s">
        <v>266</v>
      </c>
    </row>
    <row r="5646" spans="1:4" x14ac:dyDescent="0.25">
      <c r="A5646" s="41">
        <v>411416</v>
      </c>
      <c r="B5646" s="39" t="s">
        <v>7198</v>
      </c>
      <c r="C5646" s="40">
        <v>4</v>
      </c>
      <c r="D5646" s="38" t="s">
        <v>266</v>
      </c>
    </row>
    <row r="5647" spans="1:4" x14ac:dyDescent="0.25">
      <c r="A5647" s="41">
        <v>411419</v>
      </c>
      <c r="B5647" s="39" t="s">
        <v>7199</v>
      </c>
      <c r="C5647" s="40">
        <v>4</v>
      </c>
      <c r="D5647" s="38" t="s">
        <v>266</v>
      </c>
    </row>
    <row r="5648" spans="1:4" x14ac:dyDescent="0.25">
      <c r="A5648" s="41">
        <v>411423</v>
      </c>
      <c r="B5648" s="39" t="s">
        <v>7200</v>
      </c>
      <c r="C5648" s="40">
        <v>4</v>
      </c>
      <c r="D5648" s="38" t="s">
        <v>266</v>
      </c>
    </row>
    <row r="5649" spans="1:4" x14ac:dyDescent="0.25">
      <c r="A5649" s="41">
        <v>411426</v>
      </c>
      <c r="B5649" s="39" t="s">
        <v>7201</v>
      </c>
      <c r="C5649" s="40">
        <v>4</v>
      </c>
      <c r="D5649" s="38" t="s">
        <v>266</v>
      </c>
    </row>
    <row r="5650" spans="1:4" x14ac:dyDescent="0.25">
      <c r="A5650" s="41">
        <v>411429</v>
      </c>
      <c r="B5650" s="39" t="s">
        <v>7202</v>
      </c>
      <c r="C5650" s="40">
        <v>4</v>
      </c>
      <c r="D5650" s="38" t="s">
        <v>266</v>
      </c>
    </row>
    <row r="5651" spans="1:4" x14ac:dyDescent="0.25">
      <c r="A5651" s="41">
        <v>411433</v>
      </c>
      <c r="B5651" s="39" t="s">
        <v>7203</v>
      </c>
      <c r="C5651" s="40">
        <v>4</v>
      </c>
      <c r="D5651" s="38" t="s">
        <v>266</v>
      </c>
    </row>
    <row r="5652" spans="1:4" x14ac:dyDescent="0.25">
      <c r="A5652" s="41">
        <v>411436</v>
      </c>
      <c r="B5652" s="39" t="s">
        <v>7204</v>
      </c>
      <c r="C5652" s="40">
        <v>4</v>
      </c>
      <c r="D5652" s="38" t="s">
        <v>266</v>
      </c>
    </row>
    <row r="5653" spans="1:4" x14ac:dyDescent="0.25">
      <c r="A5653" s="41">
        <v>412000</v>
      </c>
      <c r="B5653" s="39" t="s">
        <v>7205</v>
      </c>
      <c r="C5653" s="40">
        <v>3</v>
      </c>
      <c r="D5653" s="38" t="s">
        <v>266</v>
      </c>
    </row>
    <row r="5654" spans="1:4" x14ac:dyDescent="0.25">
      <c r="A5654" s="41">
        <v>412100</v>
      </c>
      <c r="B5654" s="39" t="s">
        <v>898</v>
      </c>
      <c r="C5654" s="40">
        <v>3</v>
      </c>
      <c r="D5654" s="38" t="s">
        <v>897</v>
      </c>
    </row>
    <row r="5655" spans="1:4" x14ac:dyDescent="0.25">
      <c r="A5655" s="41">
        <v>412113</v>
      </c>
      <c r="B5655" s="39" t="s">
        <v>7206</v>
      </c>
      <c r="C5655" s="40">
        <v>4</v>
      </c>
      <c r="D5655" s="38" t="s">
        <v>266</v>
      </c>
    </row>
    <row r="5656" spans="1:4" x14ac:dyDescent="0.25">
      <c r="A5656" s="41">
        <v>412123</v>
      </c>
      <c r="B5656" s="39" t="s">
        <v>7207</v>
      </c>
      <c r="C5656" s="40">
        <v>4</v>
      </c>
      <c r="D5656" s="38" t="s">
        <v>266</v>
      </c>
    </row>
    <row r="5657" spans="1:4" x14ac:dyDescent="0.25">
      <c r="A5657" s="42">
        <v>412123.13</v>
      </c>
      <c r="B5657" s="39" t="s">
        <v>7208</v>
      </c>
      <c r="C5657" s="40">
        <v>5</v>
      </c>
      <c r="D5657" s="38" t="s">
        <v>266</v>
      </c>
    </row>
    <row r="5658" spans="1:4" x14ac:dyDescent="0.25">
      <c r="A5658" s="42">
        <v>412123.16</v>
      </c>
      <c r="B5658" s="39" t="s">
        <v>7209</v>
      </c>
      <c r="C5658" s="40">
        <v>5</v>
      </c>
      <c r="D5658" s="38" t="s">
        <v>266</v>
      </c>
    </row>
    <row r="5659" spans="1:4" x14ac:dyDescent="0.25">
      <c r="A5659" s="42">
        <v>412123.19</v>
      </c>
      <c r="B5659" s="39" t="s">
        <v>7210</v>
      </c>
      <c r="C5659" s="40">
        <v>5</v>
      </c>
      <c r="D5659" s="38" t="s">
        <v>266</v>
      </c>
    </row>
    <row r="5660" spans="1:4" x14ac:dyDescent="0.25">
      <c r="A5660" s="42">
        <v>412123.23</v>
      </c>
      <c r="B5660" s="39" t="s">
        <v>7211</v>
      </c>
      <c r="C5660" s="40">
        <v>5</v>
      </c>
      <c r="D5660" s="38" t="s">
        <v>266</v>
      </c>
    </row>
    <row r="5661" spans="1:4" x14ac:dyDescent="0.25">
      <c r="A5661" s="42">
        <v>412123.26</v>
      </c>
      <c r="B5661" s="39" t="s">
        <v>7212</v>
      </c>
      <c r="C5661" s="40">
        <v>5</v>
      </c>
      <c r="D5661" s="38" t="s">
        <v>266</v>
      </c>
    </row>
    <row r="5662" spans="1:4" x14ac:dyDescent="0.25">
      <c r="A5662" s="42">
        <v>412123.29</v>
      </c>
      <c r="B5662" s="39" t="s">
        <v>7213</v>
      </c>
      <c r="C5662" s="40">
        <v>5</v>
      </c>
      <c r="D5662" s="38" t="s">
        <v>266</v>
      </c>
    </row>
    <row r="5663" spans="1:4" x14ac:dyDescent="0.25">
      <c r="A5663" s="42">
        <v>412123.33</v>
      </c>
      <c r="B5663" s="39" t="s">
        <v>7214</v>
      </c>
      <c r="C5663" s="40">
        <v>5</v>
      </c>
      <c r="D5663" s="38" t="s">
        <v>266</v>
      </c>
    </row>
    <row r="5664" spans="1:4" x14ac:dyDescent="0.25">
      <c r="A5664" s="42">
        <v>412123.36</v>
      </c>
      <c r="B5664" s="39" t="s">
        <v>7215</v>
      </c>
      <c r="C5664" s="40">
        <v>5</v>
      </c>
      <c r="D5664" s="38" t="s">
        <v>266</v>
      </c>
    </row>
    <row r="5665" spans="1:4" x14ac:dyDescent="0.25">
      <c r="A5665" s="42">
        <v>412123.39</v>
      </c>
      <c r="B5665" s="39" t="s">
        <v>7216</v>
      </c>
      <c r="C5665" s="40">
        <v>5</v>
      </c>
      <c r="D5665" s="38" t="s">
        <v>266</v>
      </c>
    </row>
    <row r="5666" spans="1:4" x14ac:dyDescent="0.25">
      <c r="A5666" s="42">
        <v>412123.43</v>
      </c>
      <c r="B5666" s="39" t="s">
        <v>7217</v>
      </c>
      <c r="C5666" s="40">
        <v>5</v>
      </c>
      <c r="D5666" s="38" t="s">
        <v>266</v>
      </c>
    </row>
    <row r="5667" spans="1:4" x14ac:dyDescent="0.25">
      <c r="A5667" s="42">
        <v>412123.46</v>
      </c>
      <c r="B5667" s="39" t="s">
        <v>7218</v>
      </c>
      <c r="C5667" s="40">
        <v>5</v>
      </c>
      <c r="D5667" s="38" t="s">
        <v>266</v>
      </c>
    </row>
    <row r="5668" spans="1:4" x14ac:dyDescent="0.25">
      <c r="A5668" s="42">
        <v>412123.53</v>
      </c>
      <c r="B5668" s="39" t="s">
        <v>7219</v>
      </c>
      <c r="C5668" s="40">
        <v>5</v>
      </c>
      <c r="D5668" s="38" t="s">
        <v>266</v>
      </c>
    </row>
    <row r="5669" spans="1:4" x14ac:dyDescent="0.25">
      <c r="A5669" s="41">
        <v>412126</v>
      </c>
      <c r="B5669" s="39" t="s">
        <v>7220</v>
      </c>
      <c r="C5669" s="40">
        <v>4</v>
      </c>
      <c r="D5669" s="38" t="s">
        <v>266</v>
      </c>
    </row>
    <row r="5670" spans="1:4" x14ac:dyDescent="0.25">
      <c r="A5670" s="41">
        <v>412129</v>
      </c>
      <c r="B5670" s="39" t="s">
        <v>7221</v>
      </c>
      <c r="C5670" s="40">
        <v>4</v>
      </c>
      <c r="D5670" s="38" t="s">
        <v>266</v>
      </c>
    </row>
    <row r="5671" spans="1:4" x14ac:dyDescent="0.25">
      <c r="A5671" s="41">
        <v>412133</v>
      </c>
      <c r="B5671" s="39" t="s">
        <v>7222</v>
      </c>
      <c r="C5671" s="40">
        <v>4</v>
      </c>
      <c r="D5671" s="38" t="s">
        <v>266</v>
      </c>
    </row>
    <row r="5672" spans="1:4" x14ac:dyDescent="0.25">
      <c r="A5672" s="41">
        <v>412136</v>
      </c>
      <c r="B5672" s="39" t="s">
        <v>7223</v>
      </c>
      <c r="C5672" s="40">
        <v>4</v>
      </c>
      <c r="D5672" s="38" t="s">
        <v>266</v>
      </c>
    </row>
    <row r="5673" spans="1:4" x14ac:dyDescent="0.25">
      <c r="A5673" s="41">
        <v>412139</v>
      </c>
      <c r="B5673" s="39" t="s">
        <v>7224</v>
      </c>
      <c r="C5673" s="40">
        <v>4</v>
      </c>
      <c r="D5673" s="38" t="s">
        <v>266</v>
      </c>
    </row>
    <row r="5674" spans="1:4" x14ac:dyDescent="0.25">
      <c r="A5674" s="42">
        <v>412139.13</v>
      </c>
      <c r="B5674" s="39" t="s">
        <v>7225</v>
      </c>
      <c r="C5674" s="40">
        <v>5</v>
      </c>
      <c r="D5674" s="38" t="s">
        <v>266</v>
      </c>
    </row>
    <row r="5675" spans="1:4" x14ac:dyDescent="0.25">
      <c r="A5675" s="41">
        <v>412200</v>
      </c>
      <c r="B5675" s="39" t="s">
        <v>7226</v>
      </c>
      <c r="C5675" s="40">
        <v>3</v>
      </c>
      <c r="D5675" s="38" t="s">
        <v>266</v>
      </c>
    </row>
    <row r="5676" spans="1:4" x14ac:dyDescent="0.25">
      <c r="A5676" s="41">
        <v>412213</v>
      </c>
      <c r="B5676" s="39" t="s">
        <v>892</v>
      </c>
      <c r="C5676" s="40">
        <v>4</v>
      </c>
      <c r="D5676" s="38" t="s">
        <v>891</v>
      </c>
    </row>
    <row r="5677" spans="1:4" x14ac:dyDescent="0.25">
      <c r="A5677" s="42">
        <v>412213.13</v>
      </c>
      <c r="B5677" s="39" t="s">
        <v>7227</v>
      </c>
      <c r="C5677" s="40">
        <v>5</v>
      </c>
      <c r="D5677" s="38" t="s">
        <v>266</v>
      </c>
    </row>
    <row r="5678" spans="1:4" x14ac:dyDescent="0.25">
      <c r="A5678" s="42">
        <v>412213.16</v>
      </c>
      <c r="B5678" s="39" t="s">
        <v>7228</v>
      </c>
      <c r="C5678" s="40">
        <v>5</v>
      </c>
      <c r="D5678" s="38" t="s">
        <v>266</v>
      </c>
    </row>
    <row r="5679" spans="1:4" x14ac:dyDescent="0.25">
      <c r="A5679" s="42">
        <v>412213.19</v>
      </c>
      <c r="B5679" s="39" t="s">
        <v>7229</v>
      </c>
      <c r="C5679" s="40">
        <v>5</v>
      </c>
      <c r="D5679" s="38" t="s">
        <v>266</v>
      </c>
    </row>
    <row r="5680" spans="1:4" x14ac:dyDescent="0.25">
      <c r="A5680" s="42">
        <v>412213.23</v>
      </c>
      <c r="B5680" s="39" t="s">
        <v>7230</v>
      </c>
      <c r="C5680" s="40">
        <v>5</v>
      </c>
      <c r="D5680" s="38" t="s">
        <v>266</v>
      </c>
    </row>
    <row r="5681" spans="1:4" x14ac:dyDescent="0.25">
      <c r="A5681" s="42">
        <v>412213.26</v>
      </c>
      <c r="B5681" s="39" t="s">
        <v>7231</v>
      </c>
      <c r="C5681" s="40">
        <v>5</v>
      </c>
      <c r="D5681" s="38" t="s">
        <v>266</v>
      </c>
    </row>
    <row r="5682" spans="1:4" x14ac:dyDescent="0.25">
      <c r="A5682" s="42">
        <v>412213.29</v>
      </c>
      <c r="B5682" s="39" t="s">
        <v>7232</v>
      </c>
      <c r="C5682" s="40">
        <v>5</v>
      </c>
      <c r="D5682" s="38" t="s">
        <v>266</v>
      </c>
    </row>
    <row r="5683" spans="1:4" x14ac:dyDescent="0.25">
      <c r="A5683" s="41">
        <v>412223</v>
      </c>
      <c r="B5683" s="39" t="s">
        <v>894</v>
      </c>
      <c r="C5683" s="40">
        <v>4</v>
      </c>
      <c r="D5683" s="38" t="s">
        <v>893</v>
      </c>
    </row>
    <row r="5684" spans="1:4" x14ac:dyDescent="0.25">
      <c r="A5684" s="42">
        <v>412223.13</v>
      </c>
      <c r="B5684" s="39" t="s">
        <v>7233</v>
      </c>
      <c r="C5684" s="40">
        <v>5</v>
      </c>
      <c r="D5684" s="38" t="s">
        <v>266</v>
      </c>
    </row>
    <row r="5685" spans="1:4" x14ac:dyDescent="0.25">
      <c r="A5685" s="42">
        <v>412223.16</v>
      </c>
      <c r="B5685" s="39" t="s">
        <v>7234</v>
      </c>
      <c r="C5685" s="40">
        <v>5</v>
      </c>
      <c r="D5685" s="38" t="s">
        <v>266</v>
      </c>
    </row>
    <row r="5686" spans="1:4" x14ac:dyDescent="0.25">
      <c r="A5686" s="42">
        <v>412223.19</v>
      </c>
      <c r="B5686" s="39" t="s">
        <v>7235</v>
      </c>
      <c r="C5686" s="40">
        <v>5</v>
      </c>
      <c r="D5686" s="38" t="s">
        <v>266</v>
      </c>
    </row>
    <row r="5687" spans="1:4" x14ac:dyDescent="0.25">
      <c r="A5687" s="42">
        <v>412223.23</v>
      </c>
      <c r="B5687" s="39" t="s">
        <v>7236</v>
      </c>
      <c r="C5687" s="40">
        <v>5</v>
      </c>
      <c r="D5687" s="38" t="s">
        <v>266</v>
      </c>
    </row>
    <row r="5688" spans="1:4" x14ac:dyDescent="0.25">
      <c r="A5688" s="41">
        <v>412233</v>
      </c>
      <c r="B5688" s="39" t="s">
        <v>896</v>
      </c>
      <c r="C5688" s="40">
        <v>4</v>
      </c>
      <c r="D5688" s="38" t="s">
        <v>895</v>
      </c>
    </row>
    <row r="5689" spans="1:4" x14ac:dyDescent="0.25">
      <c r="A5689" s="41">
        <v>412300</v>
      </c>
      <c r="B5689" s="39" t="s">
        <v>7237</v>
      </c>
      <c r="C5689" s="40">
        <v>3</v>
      </c>
      <c r="D5689" s="38" t="s">
        <v>266</v>
      </c>
    </row>
    <row r="5690" spans="1:4" x14ac:dyDescent="0.25">
      <c r="A5690" s="41">
        <v>412313</v>
      </c>
      <c r="B5690" s="39" t="s">
        <v>7238</v>
      </c>
      <c r="C5690" s="40">
        <v>4</v>
      </c>
      <c r="D5690" s="38" t="s">
        <v>266</v>
      </c>
    </row>
    <row r="5691" spans="1:4" x14ac:dyDescent="0.25">
      <c r="A5691" s="41">
        <v>412316</v>
      </c>
      <c r="B5691" s="39" t="s">
        <v>7239</v>
      </c>
      <c r="C5691" s="40">
        <v>4</v>
      </c>
      <c r="D5691" s="38" t="s">
        <v>266</v>
      </c>
    </row>
    <row r="5692" spans="1:4" x14ac:dyDescent="0.25">
      <c r="A5692" s="41">
        <v>412319</v>
      </c>
      <c r="B5692" s="39" t="s">
        <v>7240</v>
      </c>
      <c r="C5692" s="40">
        <v>4</v>
      </c>
      <c r="D5692" s="38" t="s">
        <v>266</v>
      </c>
    </row>
    <row r="5693" spans="1:4" x14ac:dyDescent="0.25">
      <c r="A5693" s="41">
        <v>412323</v>
      </c>
      <c r="B5693" s="39" t="s">
        <v>872</v>
      </c>
      <c r="C5693" s="40">
        <v>4</v>
      </c>
      <c r="D5693" s="39" t="s">
        <v>871</v>
      </c>
    </row>
    <row r="5694" spans="1:4" x14ac:dyDescent="0.25">
      <c r="A5694" s="41">
        <v>412326</v>
      </c>
      <c r="B5694" s="39" t="s">
        <v>7241</v>
      </c>
      <c r="C5694" s="40">
        <v>4</v>
      </c>
      <c r="D5694" s="38" t="s">
        <v>266</v>
      </c>
    </row>
    <row r="5695" spans="1:4" x14ac:dyDescent="0.25">
      <c r="A5695" s="41">
        <v>412329</v>
      </c>
      <c r="B5695" s="39" t="s">
        <v>7242</v>
      </c>
      <c r="C5695" s="40">
        <v>4</v>
      </c>
      <c r="D5695" s="38" t="s">
        <v>266</v>
      </c>
    </row>
    <row r="5696" spans="1:4" x14ac:dyDescent="0.25">
      <c r="A5696" s="41">
        <v>412333</v>
      </c>
      <c r="B5696" s="39" t="s">
        <v>7243</v>
      </c>
      <c r="C5696" s="40">
        <v>4</v>
      </c>
      <c r="D5696" s="38" t="s">
        <v>266</v>
      </c>
    </row>
    <row r="5697" spans="1:4" x14ac:dyDescent="0.25">
      <c r="A5697" s="41">
        <v>412400</v>
      </c>
      <c r="B5697" s="39" t="s">
        <v>7244</v>
      </c>
      <c r="C5697" s="40">
        <v>3</v>
      </c>
      <c r="D5697" s="38" t="s">
        <v>266</v>
      </c>
    </row>
    <row r="5698" spans="1:4" x14ac:dyDescent="0.25">
      <c r="A5698" s="41">
        <v>412413</v>
      </c>
      <c r="B5698" s="39" t="s">
        <v>7245</v>
      </c>
      <c r="C5698" s="40">
        <v>4</v>
      </c>
      <c r="D5698" s="38" t="s">
        <v>266</v>
      </c>
    </row>
    <row r="5699" spans="1:4" x14ac:dyDescent="0.25">
      <c r="A5699" s="41">
        <v>412416</v>
      </c>
      <c r="B5699" s="39" t="s">
        <v>7246</v>
      </c>
      <c r="C5699" s="40">
        <v>4</v>
      </c>
      <c r="D5699" s="38" t="s">
        <v>266</v>
      </c>
    </row>
    <row r="5700" spans="1:4" x14ac:dyDescent="0.25">
      <c r="A5700" s="41">
        <v>412419</v>
      </c>
      <c r="B5700" s="39" t="s">
        <v>7247</v>
      </c>
      <c r="C5700" s="40">
        <v>4</v>
      </c>
      <c r="D5700" s="38" t="s">
        <v>266</v>
      </c>
    </row>
    <row r="5701" spans="1:4" x14ac:dyDescent="0.25">
      <c r="A5701" s="41">
        <v>412423</v>
      </c>
      <c r="B5701" s="39" t="s">
        <v>7248</v>
      </c>
      <c r="C5701" s="40">
        <v>4</v>
      </c>
      <c r="D5701" s="38" t="s">
        <v>266</v>
      </c>
    </row>
    <row r="5702" spans="1:4" x14ac:dyDescent="0.25">
      <c r="A5702" s="41">
        <v>412426</v>
      </c>
      <c r="B5702" s="39" t="s">
        <v>7249</v>
      </c>
      <c r="C5702" s="40">
        <v>4</v>
      </c>
      <c r="D5702" s="38" t="s">
        <v>266</v>
      </c>
    </row>
    <row r="5703" spans="1:4" x14ac:dyDescent="0.25">
      <c r="A5703" s="41">
        <v>412429</v>
      </c>
      <c r="B5703" s="39" t="s">
        <v>7250</v>
      </c>
      <c r="C5703" s="40">
        <v>4</v>
      </c>
      <c r="D5703" s="38" t="s">
        <v>266</v>
      </c>
    </row>
    <row r="5704" spans="1:4" x14ac:dyDescent="0.25">
      <c r="A5704" s="41">
        <v>412433</v>
      </c>
      <c r="B5704" s="39" t="s">
        <v>7251</v>
      </c>
      <c r="C5704" s="40">
        <v>4</v>
      </c>
      <c r="D5704" s="38" t="s">
        <v>266</v>
      </c>
    </row>
    <row r="5705" spans="1:4" x14ac:dyDescent="0.25">
      <c r="A5705" s="41">
        <v>412436</v>
      </c>
      <c r="B5705" s="39" t="s">
        <v>7252</v>
      </c>
      <c r="C5705" s="40">
        <v>4</v>
      </c>
      <c r="D5705" s="38" t="s">
        <v>266</v>
      </c>
    </row>
    <row r="5706" spans="1:4" x14ac:dyDescent="0.25">
      <c r="A5706" s="41">
        <v>412439</v>
      </c>
      <c r="B5706" s="39" t="s">
        <v>7253</v>
      </c>
      <c r="C5706" s="40">
        <v>4</v>
      </c>
      <c r="D5706" s="38" t="s">
        <v>266</v>
      </c>
    </row>
    <row r="5707" spans="1:4" x14ac:dyDescent="0.25">
      <c r="A5707" s="41">
        <v>412443</v>
      </c>
      <c r="B5707" s="39" t="s">
        <v>7254</v>
      </c>
      <c r="C5707" s="40">
        <v>4</v>
      </c>
      <c r="D5707" s="38" t="s">
        <v>266</v>
      </c>
    </row>
    <row r="5708" spans="1:4" x14ac:dyDescent="0.25">
      <c r="A5708" s="41">
        <v>412446</v>
      </c>
      <c r="B5708" s="39" t="s">
        <v>7255</v>
      </c>
      <c r="C5708" s="40">
        <v>4</v>
      </c>
      <c r="D5708" s="38" t="s">
        <v>266</v>
      </c>
    </row>
    <row r="5709" spans="1:4" x14ac:dyDescent="0.25">
      <c r="A5709" s="42">
        <v>412446.13</v>
      </c>
      <c r="B5709" s="39" t="s">
        <v>7256</v>
      </c>
      <c r="C5709" s="40">
        <v>5</v>
      </c>
      <c r="D5709" s="38" t="s">
        <v>266</v>
      </c>
    </row>
    <row r="5710" spans="1:4" x14ac:dyDescent="0.25">
      <c r="A5710" s="41">
        <v>413000</v>
      </c>
      <c r="B5710" s="39" t="s">
        <v>7257</v>
      </c>
      <c r="C5710" s="40">
        <v>3</v>
      </c>
      <c r="D5710" s="38" t="s">
        <v>266</v>
      </c>
    </row>
    <row r="5711" spans="1:4" x14ac:dyDescent="0.25">
      <c r="A5711" s="41">
        <v>413100</v>
      </c>
      <c r="B5711" s="39" t="s">
        <v>7258</v>
      </c>
      <c r="C5711" s="40">
        <v>3</v>
      </c>
      <c r="D5711" s="38" t="s">
        <v>266</v>
      </c>
    </row>
    <row r="5712" spans="1:4" x14ac:dyDescent="0.25">
      <c r="A5712" s="41">
        <v>413113</v>
      </c>
      <c r="B5712" s="39" t="s">
        <v>7259</v>
      </c>
      <c r="C5712" s="40">
        <v>4</v>
      </c>
      <c r="D5712" s="38" t="s">
        <v>266</v>
      </c>
    </row>
    <row r="5713" spans="1:4" x14ac:dyDescent="0.25">
      <c r="A5713" s="42">
        <v>413113.13</v>
      </c>
      <c r="B5713" s="39" t="s">
        <v>7260</v>
      </c>
      <c r="C5713" s="40">
        <v>5</v>
      </c>
      <c r="D5713" s="38" t="s">
        <v>266</v>
      </c>
    </row>
    <row r="5714" spans="1:4" x14ac:dyDescent="0.25">
      <c r="A5714" s="42">
        <v>413113.16</v>
      </c>
      <c r="B5714" s="39" t="s">
        <v>7261</v>
      </c>
      <c r="C5714" s="40">
        <v>5</v>
      </c>
      <c r="D5714" s="38" t="s">
        <v>266</v>
      </c>
    </row>
    <row r="5715" spans="1:4" x14ac:dyDescent="0.25">
      <c r="A5715" s="42">
        <v>413113.19</v>
      </c>
      <c r="B5715" s="39" t="s">
        <v>7262</v>
      </c>
      <c r="C5715" s="40">
        <v>5</v>
      </c>
      <c r="D5715" s="38" t="s">
        <v>266</v>
      </c>
    </row>
    <row r="5716" spans="1:4" x14ac:dyDescent="0.25">
      <c r="A5716" s="42">
        <v>413113.23</v>
      </c>
      <c r="B5716" s="39" t="s">
        <v>7263</v>
      </c>
      <c r="C5716" s="40">
        <v>5</v>
      </c>
      <c r="D5716" s="38" t="s">
        <v>266</v>
      </c>
    </row>
    <row r="5717" spans="1:4" x14ac:dyDescent="0.25">
      <c r="A5717" s="42">
        <v>413113.26</v>
      </c>
      <c r="B5717" s="39" t="s">
        <v>7264</v>
      </c>
      <c r="C5717" s="40">
        <v>5</v>
      </c>
      <c r="D5717" s="38" t="s">
        <v>266</v>
      </c>
    </row>
    <row r="5718" spans="1:4" x14ac:dyDescent="0.25">
      <c r="A5718" s="42">
        <v>413113.29</v>
      </c>
      <c r="B5718" s="39" t="s">
        <v>7265</v>
      </c>
      <c r="C5718" s="40">
        <v>5</v>
      </c>
      <c r="D5718" s="38" t="s">
        <v>266</v>
      </c>
    </row>
    <row r="5719" spans="1:4" x14ac:dyDescent="0.25">
      <c r="A5719" s="42">
        <v>413113.33</v>
      </c>
      <c r="B5719" s="39" t="s">
        <v>7266</v>
      </c>
      <c r="C5719" s="40">
        <v>5</v>
      </c>
      <c r="D5719" s="38" t="s">
        <v>266</v>
      </c>
    </row>
    <row r="5720" spans="1:4" x14ac:dyDescent="0.25">
      <c r="A5720" s="42">
        <v>413113.36</v>
      </c>
      <c r="B5720" s="39" t="s">
        <v>7267</v>
      </c>
      <c r="C5720" s="40">
        <v>5</v>
      </c>
      <c r="D5720" s="38" t="s">
        <v>266</v>
      </c>
    </row>
    <row r="5721" spans="1:4" x14ac:dyDescent="0.25">
      <c r="A5721" s="42">
        <v>413113.39</v>
      </c>
      <c r="B5721" s="39" t="s">
        <v>7268</v>
      </c>
      <c r="C5721" s="40">
        <v>5</v>
      </c>
      <c r="D5721" s="38" t="s">
        <v>266</v>
      </c>
    </row>
    <row r="5722" spans="1:4" x14ac:dyDescent="0.25">
      <c r="A5722" s="42">
        <v>413113.43</v>
      </c>
      <c r="B5722" s="39" t="s">
        <v>7269</v>
      </c>
      <c r="C5722" s="40">
        <v>5</v>
      </c>
      <c r="D5722" s="38" t="s">
        <v>266</v>
      </c>
    </row>
    <row r="5723" spans="1:4" x14ac:dyDescent="0.25">
      <c r="A5723" s="42">
        <v>413113.46</v>
      </c>
      <c r="B5723" s="39" t="s">
        <v>7270</v>
      </c>
      <c r="C5723" s="40">
        <v>5</v>
      </c>
      <c r="D5723" s="38" t="s">
        <v>266</v>
      </c>
    </row>
    <row r="5724" spans="1:4" x14ac:dyDescent="0.25">
      <c r="A5724" s="42">
        <v>413113.49</v>
      </c>
      <c r="B5724" s="39" t="s">
        <v>7271</v>
      </c>
      <c r="C5724" s="40">
        <v>5</v>
      </c>
      <c r="D5724" s="38" t="s">
        <v>266</v>
      </c>
    </row>
    <row r="5725" spans="1:4" x14ac:dyDescent="0.25">
      <c r="A5725" s="42">
        <v>413113.53</v>
      </c>
      <c r="B5725" s="39" t="s">
        <v>7272</v>
      </c>
      <c r="C5725" s="40">
        <v>5</v>
      </c>
      <c r="D5725" s="38" t="s">
        <v>266</v>
      </c>
    </row>
    <row r="5726" spans="1:4" x14ac:dyDescent="0.25">
      <c r="A5726" s="42">
        <v>413113.56</v>
      </c>
      <c r="B5726" s="39" t="s">
        <v>7273</v>
      </c>
      <c r="C5726" s="40">
        <v>5</v>
      </c>
      <c r="D5726" s="38" t="s">
        <v>266</v>
      </c>
    </row>
    <row r="5727" spans="1:4" x14ac:dyDescent="0.25">
      <c r="A5727" s="42">
        <v>413113.59</v>
      </c>
      <c r="B5727" s="39" t="s">
        <v>7274</v>
      </c>
      <c r="C5727" s="40">
        <v>5</v>
      </c>
      <c r="D5727" s="38" t="s">
        <v>266</v>
      </c>
    </row>
    <row r="5728" spans="1:4" x14ac:dyDescent="0.25">
      <c r="A5728" s="42">
        <v>413113.63</v>
      </c>
      <c r="B5728" s="39" t="s">
        <v>7275</v>
      </c>
      <c r="C5728" s="40">
        <v>5</v>
      </c>
      <c r="D5728" s="38" t="s">
        <v>266</v>
      </c>
    </row>
    <row r="5729" spans="1:4" x14ac:dyDescent="0.25">
      <c r="A5729" s="41">
        <v>413116</v>
      </c>
      <c r="B5729" s="39" t="s">
        <v>7276</v>
      </c>
      <c r="C5729" s="40">
        <v>4</v>
      </c>
      <c r="D5729" s="38" t="s">
        <v>266</v>
      </c>
    </row>
    <row r="5730" spans="1:4" x14ac:dyDescent="0.25">
      <c r="A5730" s="41">
        <v>413119</v>
      </c>
      <c r="B5730" s="39" t="s">
        <v>7277</v>
      </c>
      <c r="C5730" s="40">
        <v>4</v>
      </c>
      <c r="D5730" s="38" t="s">
        <v>266</v>
      </c>
    </row>
    <row r="5731" spans="1:4" x14ac:dyDescent="0.25">
      <c r="A5731" s="41">
        <v>413123</v>
      </c>
      <c r="B5731" s="39" t="s">
        <v>7278</v>
      </c>
      <c r="C5731" s="40">
        <v>4</v>
      </c>
      <c r="D5731" s="38" t="s">
        <v>266</v>
      </c>
    </row>
    <row r="5732" spans="1:4" x14ac:dyDescent="0.25">
      <c r="A5732" s="41">
        <v>413200</v>
      </c>
      <c r="B5732" s="39" t="s">
        <v>7279</v>
      </c>
      <c r="C5732" s="40">
        <v>3</v>
      </c>
      <c r="D5732" s="38" t="s">
        <v>266</v>
      </c>
    </row>
    <row r="5733" spans="1:4" x14ac:dyDescent="0.25">
      <c r="A5733" s="41">
        <v>413213</v>
      </c>
      <c r="B5733" s="39" t="s">
        <v>7280</v>
      </c>
      <c r="C5733" s="40">
        <v>4</v>
      </c>
      <c r="D5733" s="38" t="s">
        <v>266</v>
      </c>
    </row>
    <row r="5734" spans="1:4" x14ac:dyDescent="0.25">
      <c r="A5734" s="41">
        <v>413216</v>
      </c>
      <c r="B5734" s="39" t="s">
        <v>7281</v>
      </c>
      <c r="C5734" s="40">
        <v>4</v>
      </c>
      <c r="D5734" s="38" t="s">
        <v>266</v>
      </c>
    </row>
    <row r="5735" spans="1:4" x14ac:dyDescent="0.25">
      <c r="A5735" s="41">
        <v>413219</v>
      </c>
      <c r="B5735" s="39" t="s">
        <v>7282</v>
      </c>
      <c r="C5735" s="40">
        <v>4</v>
      </c>
      <c r="D5735" s="38" t="s">
        <v>266</v>
      </c>
    </row>
    <row r="5736" spans="1:4" x14ac:dyDescent="0.25">
      <c r="A5736" s="41">
        <v>413223</v>
      </c>
      <c r="B5736" s="39" t="s">
        <v>7283</v>
      </c>
      <c r="C5736" s="40">
        <v>4</v>
      </c>
      <c r="D5736" s="38" t="s">
        <v>266</v>
      </c>
    </row>
    <row r="5737" spans="1:4" x14ac:dyDescent="0.25">
      <c r="A5737" s="41">
        <v>413226</v>
      </c>
      <c r="B5737" s="39" t="s">
        <v>7284</v>
      </c>
      <c r="C5737" s="40">
        <v>4</v>
      </c>
      <c r="D5737" s="38" t="s">
        <v>266</v>
      </c>
    </row>
    <row r="5738" spans="1:4" x14ac:dyDescent="0.25">
      <c r="A5738" s="41">
        <v>413229</v>
      </c>
      <c r="B5738" s="39" t="s">
        <v>7285</v>
      </c>
      <c r="C5738" s="40">
        <v>4</v>
      </c>
      <c r="D5738" s="38" t="s">
        <v>266</v>
      </c>
    </row>
    <row r="5739" spans="1:4" x14ac:dyDescent="0.25">
      <c r="A5739" s="41">
        <v>413233</v>
      </c>
      <c r="B5739" s="39" t="s">
        <v>7286</v>
      </c>
      <c r="C5739" s="40">
        <v>4</v>
      </c>
      <c r="D5739" s="38" t="s">
        <v>266</v>
      </c>
    </row>
    <row r="5740" spans="1:4" x14ac:dyDescent="0.25">
      <c r="A5740" s="41">
        <v>413236</v>
      </c>
      <c r="B5740" s="39" t="s">
        <v>7287</v>
      </c>
      <c r="C5740" s="40">
        <v>4</v>
      </c>
      <c r="D5740" s="38" t="s">
        <v>266</v>
      </c>
    </row>
    <row r="5741" spans="1:4" x14ac:dyDescent="0.25">
      <c r="A5741" s="41">
        <v>413239</v>
      </c>
      <c r="B5741" s="39" t="s">
        <v>7288</v>
      </c>
      <c r="C5741" s="40">
        <v>4</v>
      </c>
      <c r="D5741" s="38" t="s">
        <v>266</v>
      </c>
    </row>
    <row r="5742" spans="1:4" x14ac:dyDescent="0.25">
      <c r="A5742" s="41">
        <v>413243</v>
      </c>
      <c r="B5742" s="39" t="s">
        <v>7289</v>
      </c>
      <c r="C5742" s="40">
        <v>4</v>
      </c>
      <c r="D5742" s="38" t="s">
        <v>266</v>
      </c>
    </row>
    <row r="5743" spans="1:4" x14ac:dyDescent="0.25">
      <c r="A5743" s="41">
        <v>413246</v>
      </c>
      <c r="B5743" s="39" t="s">
        <v>7290</v>
      </c>
      <c r="C5743" s="40">
        <v>4</v>
      </c>
      <c r="D5743" s="38" t="s">
        <v>266</v>
      </c>
    </row>
    <row r="5744" spans="1:4" x14ac:dyDescent="0.25">
      <c r="A5744" s="41">
        <v>413249</v>
      </c>
      <c r="B5744" s="39" t="s">
        <v>7291</v>
      </c>
      <c r="C5744" s="40">
        <v>4</v>
      </c>
      <c r="D5744" s="38" t="s">
        <v>266</v>
      </c>
    </row>
    <row r="5745" spans="1:4" x14ac:dyDescent="0.25">
      <c r="A5745" s="41">
        <v>413253</v>
      </c>
      <c r="B5745" s="39" t="s">
        <v>7292</v>
      </c>
      <c r="C5745" s="40">
        <v>4</v>
      </c>
      <c r="D5745" s="38" t="s">
        <v>266</v>
      </c>
    </row>
    <row r="5746" spans="1:4" x14ac:dyDescent="0.25">
      <c r="A5746" s="41">
        <v>413256</v>
      </c>
      <c r="B5746" s="39" t="s">
        <v>7293</v>
      </c>
      <c r="C5746" s="40">
        <v>4</v>
      </c>
      <c r="D5746" s="38" t="s">
        <v>266</v>
      </c>
    </row>
    <row r="5747" spans="1:4" x14ac:dyDescent="0.25">
      <c r="A5747" s="41">
        <v>413259</v>
      </c>
      <c r="B5747" s="39" t="s">
        <v>7294</v>
      </c>
      <c r="C5747" s="40">
        <v>4</v>
      </c>
      <c r="D5747" s="38" t="s">
        <v>266</v>
      </c>
    </row>
    <row r="5748" spans="1:4" x14ac:dyDescent="0.25">
      <c r="A5748" s="41">
        <v>413263</v>
      </c>
      <c r="B5748" s="39" t="s">
        <v>7295</v>
      </c>
      <c r="C5748" s="40">
        <v>4</v>
      </c>
      <c r="D5748" s="38" t="s">
        <v>266</v>
      </c>
    </row>
    <row r="5749" spans="1:4" x14ac:dyDescent="0.25">
      <c r="A5749" s="41">
        <v>413266</v>
      </c>
      <c r="B5749" s="39" t="s">
        <v>7296</v>
      </c>
      <c r="C5749" s="40">
        <v>4</v>
      </c>
      <c r="D5749" s="38" t="s">
        <v>266</v>
      </c>
    </row>
    <row r="5750" spans="1:4" x14ac:dyDescent="0.25">
      <c r="A5750" s="41">
        <v>413269</v>
      </c>
      <c r="B5750" s="39" t="s">
        <v>7297</v>
      </c>
      <c r="C5750" s="40">
        <v>4</v>
      </c>
      <c r="D5750" s="38" t="s">
        <v>266</v>
      </c>
    </row>
    <row r="5751" spans="1:4" x14ac:dyDescent="0.25">
      <c r="A5751" s="41">
        <v>413300</v>
      </c>
      <c r="B5751" s="39" t="s">
        <v>7298</v>
      </c>
      <c r="C5751" s="40">
        <v>3</v>
      </c>
      <c r="D5751" s="38" t="s">
        <v>266</v>
      </c>
    </row>
    <row r="5752" spans="1:4" x14ac:dyDescent="0.25">
      <c r="A5752" s="41">
        <v>413313</v>
      </c>
      <c r="B5752" s="39" t="s">
        <v>7299</v>
      </c>
      <c r="C5752" s="40">
        <v>4</v>
      </c>
      <c r="D5752" s="38" t="s">
        <v>266</v>
      </c>
    </row>
    <row r="5753" spans="1:4" x14ac:dyDescent="0.25">
      <c r="A5753" s="41">
        <v>413316</v>
      </c>
      <c r="B5753" s="39" t="s">
        <v>7300</v>
      </c>
      <c r="C5753" s="40">
        <v>4</v>
      </c>
      <c r="D5753" s="38" t="s">
        <v>266</v>
      </c>
    </row>
    <row r="5754" spans="1:4" x14ac:dyDescent="0.25">
      <c r="A5754" s="41">
        <v>413319</v>
      </c>
      <c r="B5754" s="39" t="s">
        <v>7301</v>
      </c>
      <c r="C5754" s="40">
        <v>4</v>
      </c>
      <c r="D5754" s="38" t="s">
        <v>266</v>
      </c>
    </row>
    <row r="5755" spans="1:4" x14ac:dyDescent="0.25">
      <c r="A5755" s="41">
        <v>413323</v>
      </c>
      <c r="B5755" s="39" t="s">
        <v>7302</v>
      </c>
      <c r="C5755" s="40">
        <v>4</v>
      </c>
      <c r="D5755" s="38" t="s">
        <v>266</v>
      </c>
    </row>
    <row r="5756" spans="1:4" x14ac:dyDescent="0.25">
      <c r="A5756" s="41">
        <v>413326</v>
      </c>
      <c r="B5756" s="39" t="s">
        <v>7303</v>
      </c>
      <c r="C5756" s="40">
        <v>4</v>
      </c>
      <c r="D5756" s="38" t="s">
        <v>266</v>
      </c>
    </row>
    <row r="5757" spans="1:4" x14ac:dyDescent="0.25">
      <c r="A5757" s="41">
        <v>413329</v>
      </c>
      <c r="B5757" s="39" t="s">
        <v>7304</v>
      </c>
      <c r="C5757" s="40">
        <v>4</v>
      </c>
      <c r="D5757" s="38" t="s">
        <v>266</v>
      </c>
    </row>
    <row r="5758" spans="1:4" x14ac:dyDescent="0.25">
      <c r="A5758" s="41">
        <v>413333</v>
      </c>
      <c r="B5758" s="39" t="s">
        <v>7305</v>
      </c>
      <c r="C5758" s="40">
        <v>4</v>
      </c>
      <c r="D5758" s="38" t="s">
        <v>266</v>
      </c>
    </row>
    <row r="5759" spans="1:4" x14ac:dyDescent="0.25">
      <c r="A5759" s="41">
        <v>413336</v>
      </c>
      <c r="B5759" s="39" t="s">
        <v>7306</v>
      </c>
      <c r="C5759" s="40">
        <v>4</v>
      </c>
      <c r="D5759" s="38" t="s">
        <v>266</v>
      </c>
    </row>
    <row r="5760" spans="1:4" x14ac:dyDescent="0.25">
      <c r="A5760" s="41">
        <v>413339</v>
      </c>
      <c r="B5760" s="39" t="s">
        <v>7307</v>
      </c>
      <c r="C5760" s="40">
        <v>4</v>
      </c>
      <c r="D5760" s="38" t="s">
        <v>266</v>
      </c>
    </row>
    <row r="5761" spans="1:4" x14ac:dyDescent="0.25">
      <c r="A5761" s="41">
        <v>413343</v>
      </c>
      <c r="B5761" s="39" t="s">
        <v>7308</v>
      </c>
      <c r="C5761" s="40">
        <v>4</v>
      </c>
      <c r="D5761" s="38" t="s">
        <v>266</v>
      </c>
    </row>
    <row r="5762" spans="1:4" x14ac:dyDescent="0.25">
      <c r="A5762" s="41">
        <v>413346</v>
      </c>
      <c r="B5762" s="39" t="s">
        <v>7309</v>
      </c>
      <c r="C5762" s="40">
        <v>4</v>
      </c>
      <c r="D5762" s="38" t="s">
        <v>266</v>
      </c>
    </row>
    <row r="5763" spans="1:4" x14ac:dyDescent="0.25">
      <c r="A5763" s="41">
        <v>413353</v>
      </c>
      <c r="B5763" s="39" t="s">
        <v>7310</v>
      </c>
      <c r="C5763" s="40">
        <v>4</v>
      </c>
      <c r="D5763" s="38" t="s">
        <v>266</v>
      </c>
    </row>
    <row r="5764" spans="1:4" x14ac:dyDescent="0.25">
      <c r="A5764" s="42">
        <v>413353.13</v>
      </c>
      <c r="B5764" s="39" t="s">
        <v>7311</v>
      </c>
      <c r="C5764" s="40">
        <v>5</v>
      </c>
      <c r="D5764" s="38" t="s">
        <v>266</v>
      </c>
    </row>
    <row r="5765" spans="1:4" x14ac:dyDescent="0.25">
      <c r="A5765" s="42">
        <v>413353.16</v>
      </c>
      <c r="B5765" s="39" t="s">
        <v>7312</v>
      </c>
      <c r="C5765" s="40">
        <v>5</v>
      </c>
      <c r="D5765" s="38" t="s">
        <v>266</v>
      </c>
    </row>
    <row r="5766" spans="1:4" x14ac:dyDescent="0.25">
      <c r="A5766" s="41">
        <v>413360</v>
      </c>
      <c r="B5766" s="39" t="s">
        <v>7313</v>
      </c>
      <c r="C5766" s="40">
        <v>4</v>
      </c>
      <c r="D5766" s="38" t="s">
        <v>266</v>
      </c>
    </row>
    <row r="5767" spans="1:4" x14ac:dyDescent="0.25">
      <c r="A5767" s="41">
        <v>413363</v>
      </c>
      <c r="B5767" s="39" t="s">
        <v>7314</v>
      </c>
      <c r="C5767" s="40">
        <v>4</v>
      </c>
      <c r="D5767" s="38" t="s">
        <v>266</v>
      </c>
    </row>
    <row r="5768" spans="1:4" x14ac:dyDescent="0.25">
      <c r="A5768" s="41">
        <v>413366</v>
      </c>
      <c r="B5768" s="39" t="s">
        <v>7315</v>
      </c>
      <c r="C5768" s="40">
        <v>4</v>
      </c>
      <c r="D5768" s="38" t="s">
        <v>266</v>
      </c>
    </row>
    <row r="5769" spans="1:4" x14ac:dyDescent="0.25">
      <c r="A5769" s="41">
        <v>413369</v>
      </c>
      <c r="B5769" s="39" t="s">
        <v>7316</v>
      </c>
      <c r="C5769" s="40">
        <v>4</v>
      </c>
      <c r="D5769" s="38" t="s">
        <v>266</v>
      </c>
    </row>
    <row r="5770" spans="1:4" x14ac:dyDescent="0.25">
      <c r="A5770" s="41">
        <v>413373</v>
      </c>
      <c r="B5770" s="39" t="s">
        <v>7317</v>
      </c>
      <c r="C5770" s="40">
        <v>4</v>
      </c>
      <c r="D5770" s="38" t="s">
        <v>266</v>
      </c>
    </row>
    <row r="5771" spans="1:4" x14ac:dyDescent="0.25">
      <c r="A5771" s="41">
        <v>413376</v>
      </c>
      <c r="B5771" s="39" t="s">
        <v>7318</v>
      </c>
      <c r="C5771" s="40">
        <v>4</v>
      </c>
      <c r="D5771" s="38" t="s">
        <v>266</v>
      </c>
    </row>
    <row r="5772" spans="1:4" x14ac:dyDescent="0.25">
      <c r="A5772" s="41">
        <v>413379</v>
      </c>
      <c r="B5772" s="39" t="s">
        <v>7319</v>
      </c>
      <c r="C5772" s="40">
        <v>4</v>
      </c>
      <c r="D5772" s="38" t="s">
        <v>266</v>
      </c>
    </row>
    <row r="5773" spans="1:4" x14ac:dyDescent="0.25">
      <c r="A5773" s="41">
        <v>413400</v>
      </c>
      <c r="B5773" s="39" t="s">
        <v>3844</v>
      </c>
      <c r="C5773" s="40">
        <v>3</v>
      </c>
      <c r="D5773" s="38" t="s">
        <v>266</v>
      </c>
    </row>
    <row r="5774" spans="1:4" x14ac:dyDescent="0.25">
      <c r="A5774" s="41">
        <v>413413</v>
      </c>
      <c r="B5774" s="39" t="s">
        <v>7320</v>
      </c>
      <c r="C5774" s="40">
        <v>4</v>
      </c>
      <c r="D5774" s="38" t="s">
        <v>266</v>
      </c>
    </row>
    <row r="5775" spans="1:4" x14ac:dyDescent="0.25">
      <c r="A5775" s="41">
        <v>413416</v>
      </c>
      <c r="B5775" s="39" t="s">
        <v>7321</v>
      </c>
      <c r="C5775" s="40">
        <v>4</v>
      </c>
      <c r="D5775" s="38" t="s">
        <v>266</v>
      </c>
    </row>
    <row r="5776" spans="1:4" x14ac:dyDescent="0.25">
      <c r="A5776" s="41">
        <v>413423</v>
      </c>
      <c r="B5776" s="39" t="s">
        <v>7322</v>
      </c>
      <c r="C5776" s="40">
        <v>4</v>
      </c>
      <c r="D5776" s="38" t="s">
        <v>266</v>
      </c>
    </row>
    <row r="5777" spans="1:4" x14ac:dyDescent="0.25">
      <c r="A5777" s="42">
        <v>413423.13</v>
      </c>
      <c r="B5777" s="39" t="s">
        <v>7323</v>
      </c>
      <c r="C5777" s="40">
        <v>5</v>
      </c>
      <c r="D5777" s="38" t="s">
        <v>266</v>
      </c>
    </row>
    <row r="5778" spans="1:4" x14ac:dyDescent="0.25">
      <c r="A5778" s="42">
        <v>413423.16</v>
      </c>
      <c r="B5778" s="39" t="s">
        <v>7324</v>
      </c>
      <c r="C5778" s="40">
        <v>5</v>
      </c>
      <c r="D5778" s="38" t="s">
        <v>266</v>
      </c>
    </row>
    <row r="5779" spans="1:4" x14ac:dyDescent="0.25">
      <c r="A5779" s="42">
        <v>413423.19</v>
      </c>
      <c r="B5779" s="39" t="s">
        <v>7325</v>
      </c>
      <c r="C5779" s="40">
        <v>5</v>
      </c>
      <c r="D5779" s="38" t="s">
        <v>266</v>
      </c>
    </row>
    <row r="5780" spans="1:4" x14ac:dyDescent="0.25">
      <c r="A5780" s="42">
        <v>413423.23</v>
      </c>
      <c r="B5780" s="39" t="s">
        <v>7326</v>
      </c>
      <c r="C5780" s="40">
        <v>5</v>
      </c>
      <c r="D5780" s="38" t="s">
        <v>266</v>
      </c>
    </row>
    <row r="5781" spans="1:4" x14ac:dyDescent="0.25">
      <c r="A5781" s="42">
        <v>413423.26</v>
      </c>
      <c r="B5781" s="39" t="s">
        <v>7327</v>
      </c>
      <c r="C5781" s="40">
        <v>5</v>
      </c>
      <c r="D5781" s="38" t="s">
        <v>266</v>
      </c>
    </row>
    <row r="5782" spans="1:4" x14ac:dyDescent="0.25">
      <c r="A5782" s="42">
        <v>413423.29</v>
      </c>
      <c r="B5782" s="39" t="s">
        <v>7328</v>
      </c>
      <c r="C5782" s="40">
        <v>5</v>
      </c>
      <c r="D5782" s="38" t="s">
        <v>266</v>
      </c>
    </row>
    <row r="5783" spans="1:4" x14ac:dyDescent="0.25">
      <c r="A5783" s="42">
        <v>413423.33</v>
      </c>
      <c r="B5783" s="39" t="s">
        <v>7329</v>
      </c>
      <c r="C5783" s="40">
        <v>5</v>
      </c>
      <c r="D5783" s="38" t="s">
        <v>266</v>
      </c>
    </row>
    <row r="5784" spans="1:4" x14ac:dyDescent="0.25">
      <c r="A5784" s="41">
        <v>413426</v>
      </c>
      <c r="B5784" s="39" t="s">
        <v>7330</v>
      </c>
      <c r="C5784" s="40">
        <v>4</v>
      </c>
      <c r="D5784" s="38" t="s">
        <v>266</v>
      </c>
    </row>
    <row r="5785" spans="1:4" x14ac:dyDescent="0.25">
      <c r="A5785" s="41">
        <v>413436</v>
      </c>
      <c r="B5785" s="39" t="s">
        <v>7331</v>
      </c>
      <c r="C5785" s="40">
        <v>4</v>
      </c>
      <c r="D5785" s="38" t="s">
        <v>266</v>
      </c>
    </row>
    <row r="5786" spans="1:4" x14ac:dyDescent="0.25">
      <c r="A5786" s="41">
        <v>413446</v>
      </c>
      <c r="B5786" s="39" t="s">
        <v>7304</v>
      </c>
      <c r="C5786" s="40">
        <v>4</v>
      </c>
      <c r="D5786" s="38" t="s">
        <v>266</v>
      </c>
    </row>
    <row r="5787" spans="1:4" x14ac:dyDescent="0.25">
      <c r="A5787" s="41">
        <v>413449</v>
      </c>
      <c r="B5787" s="39" t="s">
        <v>7332</v>
      </c>
      <c r="C5787" s="40">
        <v>4</v>
      </c>
      <c r="D5787" s="38" t="s">
        <v>266</v>
      </c>
    </row>
    <row r="5788" spans="1:4" x14ac:dyDescent="0.25">
      <c r="A5788" s="41">
        <v>413453</v>
      </c>
      <c r="B5788" s="39" t="s">
        <v>7306</v>
      </c>
      <c r="C5788" s="40">
        <v>4</v>
      </c>
      <c r="D5788" s="38" t="s">
        <v>266</v>
      </c>
    </row>
    <row r="5789" spans="1:4" x14ac:dyDescent="0.25">
      <c r="A5789" s="41">
        <v>413456</v>
      </c>
      <c r="B5789" s="39" t="s">
        <v>7333</v>
      </c>
      <c r="C5789" s="40">
        <v>4</v>
      </c>
      <c r="D5789" s="38" t="s">
        <v>266</v>
      </c>
    </row>
    <row r="5790" spans="1:4" x14ac:dyDescent="0.25">
      <c r="A5790" s="41">
        <v>413459</v>
      </c>
      <c r="B5790" s="39" t="s">
        <v>7334</v>
      </c>
      <c r="C5790" s="40">
        <v>4</v>
      </c>
      <c r="D5790" s="38" t="s">
        <v>266</v>
      </c>
    </row>
    <row r="5791" spans="1:4" x14ac:dyDescent="0.25">
      <c r="A5791" s="41">
        <v>413500</v>
      </c>
      <c r="B5791" s="39" t="s">
        <v>7335</v>
      </c>
      <c r="C5791" s="40">
        <v>3</v>
      </c>
      <c r="D5791" s="38" t="s">
        <v>266</v>
      </c>
    </row>
    <row r="5792" spans="1:4" x14ac:dyDescent="0.25">
      <c r="A5792" s="41">
        <v>413513</v>
      </c>
      <c r="B5792" s="39" t="s">
        <v>7336</v>
      </c>
      <c r="C5792" s="40">
        <v>4</v>
      </c>
      <c r="D5792" s="38" t="s">
        <v>266</v>
      </c>
    </row>
    <row r="5793" spans="1:4" x14ac:dyDescent="0.25">
      <c r="A5793" s="42">
        <v>413513.13</v>
      </c>
      <c r="B5793" s="39" t="s">
        <v>7337</v>
      </c>
      <c r="C5793" s="40">
        <v>5</v>
      </c>
      <c r="D5793" s="38" t="s">
        <v>266</v>
      </c>
    </row>
    <row r="5794" spans="1:4" x14ac:dyDescent="0.25">
      <c r="A5794" s="42">
        <v>413513.16</v>
      </c>
      <c r="B5794" s="39" t="s">
        <v>7338</v>
      </c>
      <c r="C5794" s="40">
        <v>5</v>
      </c>
      <c r="D5794" s="38" t="s">
        <v>266</v>
      </c>
    </row>
    <row r="5795" spans="1:4" x14ac:dyDescent="0.25">
      <c r="A5795" s="42">
        <v>413513.19</v>
      </c>
      <c r="B5795" s="39" t="s">
        <v>7339</v>
      </c>
      <c r="C5795" s="40">
        <v>5</v>
      </c>
      <c r="D5795" s="38" t="s">
        <v>266</v>
      </c>
    </row>
    <row r="5796" spans="1:4" x14ac:dyDescent="0.25">
      <c r="A5796" s="42">
        <v>413513.23</v>
      </c>
      <c r="B5796" s="39" t="s">
        <v>7340</v>
      </c>
      <c r="C5796" s="40">
        <v>5</v>
      </c>
      <c r="D5796" s="38" t="s">
        <v>266</v>
      </c>
    </row>
    <row r="5797" spans="1:4" x14ac:dyDescent="0.25">
      <c r="A5797" s="42">
        <v>413513.26</v>
      </c>
      <c r="B5797" s="39" t="s">
        <v>7341</v>
      </c>
      <c r="C5797" s="40">
        <v>5</v>
      </c>
      <c r="D5797" s="38" t="s">
        <v>266</v>
      </c>
    </row>
    <row r="5798" spans="1:4" x14ac:dyDescent="0.25">
      <c r="A5798" s="41">
        <v>413533</v>
      </c>
      <c r="B5798" s="39" t="s">
        <v>7342</v>
      </c>
      <c r="C5798" s="40">
        <v>4</v>
      </c>
      <c r="D5798" s="38" t="s">
        <v>266</v>
      </c>
    </row>
    <row r="5799" spans="1:4" x14ac:dyDescent="0.25">
      <c r="A5799" s="41">
        <v>413600</v>
      </c>
      <c r="B5799" s="39" t="s">
        <v>7343</v>
      </c>
      <c r="C5799" s="40">
        <v>3</v>
      </c>
      <c r="D5799" s="38" t="s">
        <v>266</v>
      </c>
    </row>
    <row r="5800" spans="1:4" x14ac:dyDescent="0.25">
      <c r="A5800" s="41">
        <v>413613</v>
      </c>
      <c r="B5800" s="39" t="s">
        <v>7344</v>
      </c>
      <c r="C5800" s="40">
        <v>4</v>
      </c>
      <c r="D5800" s="38" t="s">
        <v>266</v>
      </c>
    </row>
    <row r="5801" spans="1:4" x14ac:dyDescent="0.25">
      <c r="A5801" s="42">
        <v>413613.13</v>
      </c>
      <c r="B5801" s="39" t="s">
        <v>7345</v>
      </c>
      <c r="C5801" s="40">
        <v>5</v>
      </c>
      <c r="D5801" s="38" t="s">
        <v>266</v>
      </c>
    </row>
    <row r="5802" spans="1:4" x14ac:dyDescent="0.25">
      <c r="A5802" s="42">
        <v>413613.16</v>
      </c>
      <c r="B5802" s="39" t="s">
        <v>7346</v>
      </c>
      <c r="C5802" s="40">
        <v>5</v>
      </c>
      <c r="D5802" s="38" t="s">
        <v>266</v>
      </c>
    </row>
    <row r="5803" spans="1:4" x14ac:dyDescent="0.25">
      <c r="A5803" s="42">
        <v>413613.19</v>
      </c>
      <c r="B5803" s="39" t="s">
        <v>7347</v>
      </c>
      <c r="C5803" s="40">
        <v>5</v>
      </c>
      <c r="D5803" s="38" t="s">
        <v>266</v>
      </c>
    </row>
    <row r="5804" spans="1:4" x14ac:dyDescent="0.25">
      <c r="A5804" s="41">
        <v>413616</v>
      </c>
      <c r="B5804" s="39" t="s">
        <v>7348</v>
      </c>
      <c r="C5804" s="40">
        <v>4</v>
      </c>
      <c r="D5804" s="38" t="s">
        <v>266</v>
      </c>
    </row>
    <row r="5805" spans="1:4" x14ac:dyDescent="0.25">
      <c r="A5805" s="41">
        <v>413619</v>
      </c>
      <c r="B5805" s="39" t="s">
        <v>7349</v>
      </c>
      <c r="C5805" s="40">
        <v>4</v>
      </c>
      <c r="D5805" s="38" t="s">
        <v>266</v>
      </c>
    </row>
    <row r="5806" spans="1:4" x14ac:dyDescent="0.25">
      <c r="A5806" s="42">
        <v>413619.13</v>
      </c>
      <c r="B5806" s="39" t="s">
        <v>7350</v>
      </c>
      <c r="C5806" s="40">
        <v>5</v>
      </c>
      <c r="D5806" s="38" t="s">
        <v>266</v>
      </c>
    </row>
    <row r="5807" spans="1:4" x14ac:dyDescent="0.25">
      <c r="A5807" s="42">
        <v>413619.16</v>
      </c>
      <c r="B5807" s="39" t="s">
        <v>7351</v>
      </c>
      <c r="C5807" s="40">
        <v>5</v>
      </c>
      <c r="D5807" s="38" t="s">
        <v>266</v>
      </c>
    </row>
    <row r="5808" spans="1:4" x14ac:dyDescent="0.25">
      <c r="A5808" s="42">
        <v>413619.19</v>
      </c>
      <c r="B5808" s="39" t="s">
        <v>7352</v>
      </c>
      <c r="C5808" s="40">
        <v>5</v>
      </c>
      <c r="D5808" s="38" t="s">
        <v>266</v>
      </c>
    </row>
    <row r="5809" spans="1:4" x14ac:dyDescent="0.25">
      <c r="A5809" s="42">
        <v>413619.23</v>
      </c>
      <c r="B5809" s="39" t="s">
        <v>7353</v>
      </c>
      <c r="C5809" s="40">
        <v>5</v>
      </c>
      <c r="D5809" s="38" t="s">
        <v>266</v>
      </c>
    </row>
    <row r="5810" spans="1:4" x14ac:dyDescent="0.25">
      <c r="A5810" s="42">
        <v>413619.26</v>
      </c>
      <c r="B5810" s="39" t="s">
        <v>7354</v>
      </c>
      <c r="C5810" s="40">
        <v>5</v>
      </c>
      <c r="D5810" s="38" t="s">
        <v>266</v>
      </c>
    </row>
    <row r="5811" spans="1:4" x14ac:dyDescent="0.25">
      <c r="A5811" s="42">
        <v>413619.29</v>
      </c>
      <c r="B5811" s="39" t="s">
        <v>7355</v>
      </c>
      <c r="C5811" s="40">
        <v>5</v>
      </c>
      <c r="D5811" s="38" t="s">
        <v>266</v>
      </c>
    </row>
    <row r="5812" spans="1:4" x14ac:dyDescent="0.25">
      <c r="A5812" s="42">
        <v>413619.33</v>
      </c>
      <c r="B5812" s="39" t="s">
        <v>7356</v>
      </c>
      <c r="C5812" s="40">
        <v>5</v>
      </c>
      <c r="D5812" s="38" t="s">
        <v>266</v>
      </c>
    </row>
    <row r="5813" spans="1:4" x14ac:dyDescent="0.25">
      <c r="A5813" s="41">
        <v>413623</v>
      </c>
      <c r="B5813" s="39" t="s">
        <v>7357</v>
      </c>
      <c r="C5813" s="40">
        <v>4</v>
      </c>
      <c r="D5813" s="38" t="s">
        <v>266</v>
      </c>
    </row>
    <row r="5814" spans="1:4" x14ac:dyDescent="0.25">
      <c r="A5814" s="42">
        <v>413623.13</v>
      </c>
      <c r="B5814" s="39" t="s">
        <v>7358</v>
      </c>
      <c r="C5814" s="40">
        <v>5</v>
      </c>
      <c r="D5814" s="38" t="s">
        <v>266</v>
      </c>
    </row>
    <row r="5815" spans="1:4" x14ac:dyDescent="0.25">
      <c r="A5815" s="42">
        <v>413623.16</v>
      </c>
      <c r="B5815" s="39" t="s">
        <v>7359</v>
      </c>
      <c r="C5815" s="40">
        <v>5</v>
      </c>
      <c r="D5815" s="38" t="s">
        <v>266</v>
      </c>
    </row>
    <row r="5816" spans="1:4" x14ac:dyDescent="0.25">
      <c r="A5816" s="42">
        <v>413623.19</v>
      </c>
      <c r="B5816" s="39" t="s">
        <v>7360</v>
      </c>
      <c r="C5816" s="40">
        <v>5</v>
      </c>
      <c r="D5816" s="38" t="s">
        <v>266</v>
      </c>
    </row>
    <row r="5817" spans="1:4" x14ac:dyDescent="0.25">
      <c r="A5817" s="42">
        <v>413623.23</v>
      </c>
      <c r="B5817" s="39" t="s">
        <v>7361</v>
      </c>
      <c r="C5817" s="40">
        <v>5</v>
      </c>
      <c r="D5817" s="38" t="s">
        <v>266</v>
      </c>
    </row>
    <row r="5818" spans="1:4" x14ac:dyDescent="0.25">
      <c r="A5818" s="41">
        <v>413626</v>
      </c>
      <c r="B5818" s="39" t="s">
        <v>7362</v>
      </c>
      <c r="C5818" s="40">
        <v>4</v>
      </c>
      <c r="D5818" s="38" t="s">
        <v>266</v>
      </c>
    </row>
    <row r="5819" spans="1:4" x14ac:dyDescent="0.25">
      <c r="A5819" s="42">
        <v>413626.13</v>
      </c>
      <c r="B5819" s="39" t="s">
        <v>7363</v>
      </c>
      <c r="C5819" s="40">
        <v>5</v>
      </c>
      <c r="D5819" s="38" t="s">
        <v>266</v>
      </c>
    </row>
    <row r="5820" spans="1:4" x14ac:dyDescent="0.25">
      <c r="A5820" s="42">
        <v>413626.16</v>
      </c>
      <c r="B5820" s="39" t="s">
        <v>7364</v>
      </c>
      <c r="C5820" s="40">
        <v>5</v>
      </c>
      <c r="D5820" s="38" t="s">
        <v>266</v>
      </c>
    </row>
    <row r="5821" spans="1:4" x14ac:dyDescent="0.25">
      <c r="A5821" s="42">
        <v>413626.19</v>
      </c>
      <c r="B5821" s="39" t="s">
        <v>7365</v>
      </c>
      <c r="C5821" s="40">
        <v>5</v>
      </c>
      <c r="D5821" s="38" t="s">
        <v>266</v>
      </c>
    </row>
    <row r="5822" spans="1:4" x14ac:dyDescent="0.25">
      <c r="A5822" s="42">
        <v>413626.23</v>
      </c>
      <c r="B5822" s="39" t="s">
        <v>7366</v>
      </c>
      <c r="C5822" s="40">
        <v>5</v>
      </c>
      <c r="D5822" s="38" t="s">
        <v>266</v>
      </c>
    </row>
    <row r="5823" spans="1:4" x14ac:dyDescent="0.25">
      <c r="A5823" s="41">
        <v>413629</v>
      </c>
      <c r="B5823" s="39" t="s">
        <v>7367</v>
      </c>
      <c r="C5823" s="40">
        <v>4</v>
      </c>
      <c r="D5823" s="38" t="s">
        <v>266</v>
      </c>
    </row>
    <row r="5824" spans="1:4" x14ac:dyDescent="0.25">
      <c r="A5824" s="42">
        <v>413629.13</v>
      </c>
      <c r="B5824" s="39" t="s">
        <v>7368</v>
      </c>
      <c r="C5824" s="40">
        <v>5</v>
      </c>
      <c r="D5824" s="38" t="s">
        <v>266</v>
      </c>
    </row>
    <row r="5825" spans="1:4" x14ac:dyDescent="0.25">
      <c r="A5825" s="42">
        <v>413629.16</v>
      </c>
      <c r="B5825" s="39" t="s">
        <v>7369</v>
      </c>
      <c r="C5825" s="40">
        <v>5</v>
      </c>
      <c r="D5825" s="38" t="s">
        <v>266</v>
      </c>
    </row>
    <row r="5826" spans="1:4" x14ac:dyDescent="0.25">
      <c r="A5826" s="42">
        <v>413629.19</v>
      </c>
      <c r="B5826" s="39" t="s">
        <v>7370</v>
      </c>
      <c r="C5826" s="40">
        <v>5</v>
      </c>
      <c r="D5826" s="38" t="s">
        <v>266</v>
      </c>
    </row>
    <row r="5827" spans="1:4" x14ac:dyDescent="0.25">
      <c r="A5827" s="42">
        <v>413629.23</v>
      </c>
      <c r="B5827" s="39" t="s">
        <v>7371</v>
      </c>
      <c r="C5827" s="40">
        <v>5</v>
      </c>
      <c r="D5827" s="38" t="s">
        <v>266</v>
      </c>
    </row>
    <row r="5828" spans="1:4" x14ac:dyDescent="0.25">
      <c r="A5828" s="42">
        <v>413629.26</v>
      </c>
      <c r="B5828" s="39" t="s">
        <v>7372</v>
      </c>
      <c r="C5828" s="40">
        <v>5</v>
      </c>
      <c r="D5828" s="38" t="s">
        <v>266</v>
      </c>
    </row>
    <row r="5829" spans="1:4" x14ac:dyDescent="0.25">
      <c r="A5829" s="42">
        <v>413629.29</v>
      </c>
      <c r="B5829" s="39" t="s">
        <v>7373</v>
      </c>
      <c r="C5829" s="40">
        <v>5</v>
      </c>
      <c r="D5829" s="38" t="s">
        <v>266</v>
      </c>
    </row>
    <row r="5830" spans="1:4" x14ac:dyDescent="0.25">
      <c r="A5830" s="42">
        <v>413629.33</v>
      </c>
      <c r="B5830" s="39" t="s">
        <v>7374</v>
      </c>
      <c r="C5830" s="40">
        <v>5</v>
      </c>
      <c r="D5830" s="38" t="s">
        <v>266</v>
      </c>
    </row>
    <row r="5831" spans="1:4" x14ac:dyDescent="0.25">
      <c r="A5831" s="42">
        <v>413629.36</v>
      </c>
      <c r="B5831" s="39" t="s">
        <v>7375</v>
      </c>
      <c r="C5831" s="40">
        <v>5</v>
      </c>
      <c r="D5831" s="38" t="s">
        <v>266</v>
      </c>
    </row>
    <row r="5832" spans="1:4" x14ac:dyDescent="0.25">
      <c r="A5832" s="42">
        <v>413629.39</v>
      </c>
      <c r="B5832" s="39" t="s">
        <v>7376</v>
      </c>
      <c r="C5832" s="40">
        <v>5</v>
      </c>
      <c r="D5832" s="38" t="s">
        <v>266</v>
      </c>
    </row>
    <row r="5833" spans="1:4" x14ac:dyDescent="0.25">
      <c r="A5833" s="42">
        <v>413629.43</v>
      </c>
      <c r="B5833" s="39" t="s">
        <v>7377</v>
      </c>
      <c r="C5833" s="40">
        <v>5</v>
      </c>
      <c r="D5833" s="38" t="s">
        <v>266</v>
      </c>
    </row>
    <row r="5834" spans="1:4" x14ac:dyDescent="0.25">
      <c r="A5834" s="41">
        <v>414000</v>
      </c>
      <c r="B5834" s="39" t="s">
        <v>7378</v>
      </c>
      <c r="C5834" s="40">
        <v>3</v>
      </c>
      <c r="D5834" s="38" t="s">
        <v>266</v>
      </c>
    </row>
    <row r="5835" spans="1:4" x14ac:dyDescent="0.25">
      <c r="A5835" s="41">
        <v>414100</v>
      </c>
      <c r="B5835" s="39" t="s">
        <v>7379</v>
      </c>
      <c r="C5835" s="40">
        <v>3</v>
      </c>
      <c r="D5835" s="38" t="s">
        <v>266</v>
      </c>
    </row>
    <row r="5836" spans="1:4" x14ac:dyDescent="0.25">
      <c r="A5836" s="41">
        <v>414113</v>
      </c>
      <c r="B5836" s="39" t="s">
        <v>7380</v>
      </c>
      <c r="C5836" s="40">
        <v>4</v>
      </c>
      <c r="D5836" s="38" t="s">
        <v>266</v>
      </c>
    </row>
    <row r="5837" spans="1:4" x14ac:dyDescent="0.25">
      <c r="A5837" s="41">
        <v>414116</v>
      </c>
      <c r="B5837" s="39" t="s">
        <v>7381</v>
      </c>
      <c r="C5837" s="40">
        <v>4</v>
      </c>
      <c r="D5837" s="38" t="s">
        <v>266</v>
      </c>
    </row>
    <row r="5838" spans="1:4" x14ac:dyDescent="0.25">
      <c r="A5838" s="41">
        <v>414119</v>
      </c>
      <c r="B5838" s="39" t="s">
        <v>7382</v>
      </c>
      <c r="C5838" s="40">
        <v>4</v>
      </c>
      <c r="D5838" s="38" t="s">
        <v>266</v>
      </c>
    </row>
    <row r="5839" spans="1:4" x14ac:dyDescent="0.25">
      <c r="A5839" s="42">
        <v>414119.13</v>
      </c>
      <c r="B5839" s="39" t="s">
        <v>7383</v>
      </c>
      <c r="C5839" s="40">
        <v>5</v>
      </c>
      <c r="D5839" s="38" t="s">
        <v>266</v>
      </c>
    </row>
    <row r="5840" spans="1:4" x14ac:dyDescent="0.25">
      <c r="A5840" s="42">
        <v>414119.16</v>
      </c>
      <c r="B5840" s="39" t="s">
        <v>7384</v>
      </c>
      <c r="C5840" s="40">
        <v>5</v>
      </c>
      <c r="D5840" s="38" t="s">
        <v>266</v>
      </c>
    </row>
    <row r="5841" spans="1:4" x14ac:dyDescent="0.25">
      <c r="A5841" s="42">
        <v>414119.19</v>
      </c>
      <c r="B5841" s="39" t="s">
        <v>7385</v>
      </c>
      <c r="C5841" s="40">
        <v>5</v>
      </c>
      <c r="D5841" s="38" t="s">
        <v>266</v>
      </c>
    </row>
    <row r="5842" spans="1:4" x14ac:dyDescent="0.25">
      <c r="A5842" s="41">
        <v>414123</v>
      </c>
      <c r="B5842" s="39" t="s">
        <v>7386</v>
      </c>
      <c r="C5842" s="40">
        <v>4</v>
      </c>
      <c r="D5842" s="38" t="s">
        <v>266</v>
      </c>
    </row>
    <row r="5843" spans="1:4" x14ac:dyDescent="0.25">
      <c r="A5843" s="41">
        <v>414200</v>
      </c>
      <c r="B5843" s="39" t="s">
        <v>7387</v>
      </c>
      <c r="C5843" s="40">
        <v>3</v>
      </c>
      <c r="D5843" s="38" t="s">
        <v>266</v>
      </c>
    </row>
    <row r="5844" spans="1:4" x14ac:dyDescent="0.25">
      <c r="A5844" s="41">
        <v>414213</v>
      </c>
      <c r="B5844" s="39" t="s">
        <v>7388</v>
      </c>
      <c r="C5844" s="40">
        <v>4</v>
      </c>
      <c r="D5844" s="38" t="s">
        <v>266</v>
      </c>
    </row>
    <row r="5845" spans="1:4" x14ac:dyDescent="0.25">
      <c r="A5845" s="42">
        <v>414213.13</v>
      </c>
      <c r="B5845" s="39" t="s">
        <v>7389</v>
      </c>
      <c r="C5845" s="40">
        <v>5</v>
      </c>
      <c r="D5845" s="38" t="s">
        <v>266</v>
      </c>
    </row>
    <row r="5846" spans="1:4" x14ac:dyDescent="0.25">
      <c r="A5846" s="42">
        <v>414213.16</v>
      </c>
      <c r="B5846" s="39" t="s">
        <v>7390</v>
      </c>
      <c r="C5846" s="40">
        <v>5</v>
      </c>
      <c r="D5846" s="38" t="s">
        <v>266</v>
      </c>
    </row>
    <row r="5847" spans="1:4" x14ac:dyDescent="0.25">
      <c r="A5847" s="41">
        <v>414216</v>
      </c>
      <c r="B5847" s="39" t="s">
        <v>7391</v>
      </c>
      <c r="C5847" s="40">
        <v>4</v>
      </c>
      <c r="D5847" s="38" t="s">
        <v>266</v>
      </c>
    </row>
    <row r="5848" spans="1:4" x14ac:dyDescent="0.25">
      <c r="A5848" s="42">
        <v>414216.13</v>
      </c>
      <c r="B5848" s="39" t="s">
        <v>7392</v>
      </c>
      <c r="C5848" s="40">
        <v>5</v>
      </c>
      <c r="D5848" s="38" t="s">
        <v>266</v>
      </c>
    </row>
    <row r="5849" spans="1:4" x14ac:dyDescent="0.25">
      <c r="A5849" s="42">
        <v>414216.23</v>
      </c>
      <c r="B5849" s="39" t="s">
        <v>7393</v>
      </c>
      <c r="C5849" s="40">
        <v>5</v>
      </c>
      <c r="D5849" s="38" t="s">
        <v>266</v>
      </c>
    </row>
    <row r="5850" spans="1:4" x14ac:dyDescent="0.25">
      <c r="A5850" s="42">
        <v>414216.26</v>
      </c>
      <c r="B5850" s="39" t="s">
        <v>7394</v>
      </c>
      <c r="C5850" s="40">
        <v>5</v>
      </c>
      <c r="D5850" s="38" t="s">
        <v>266</v>
      </c>
    </row>
    <row r="5851" spans="1:4" x14ac:dyDescent="0.25">
      <c r="A5851" s="42">
        <v>414216.29</v>
      </c>
      <c r="B5851" s="39" t="s">
        <v>7395</v>
      </c>
      <c r="C5851" s="40">
        <v>5</v>
      </c>
      <c r="D5851" s="38" t="s">
        <v>266</v>
      </c>
    </row>
    <row r="5852" spans="1:4" x14ac:dyDescent="0.25">
      <c r="A5852" s="42">
        <v>414216.33</v>
      </c>
      <c r="B5852" s="39" t="s">
        <v>7396</v>
      </c>
      <c r="C5852" s="40">
        <v>5</v>
      </c>
      <c r="D5852" s="38" t="s">
        <v>266</v>
      </c>
    </row>
    <row r="5853" spans="1:4" x14ac:dyDescent="0.25">
      <c r="A5853" s="41">
        <v>414219</v>
      </c>
      <c r="B5853" s="39" t="s">
        <v>7397</v>
      </c>
      <c r="C5853" s="40">
        <v>4</v>
      </c>
      <c r="D5853" s="38" t="s">
        <v>266</v>
      </c>
    </row>
    <row r="5854" spans="1:4" x14ac:dyDescent="0.25">
      <c r="A5854" s="41">
        <v>414223</v>
      </c>
      <c r="B5854" s="39" t="s">
        <v>7398</v>
      </c>
      <c r="C5854" s="40">
        <v>4</v>
      </c>
      <c r="D5854" s="38" t="s">
        <v>266</v>
      </c>
    </row>
    <row r="5855" spans="1:4" x14ac:dyDescent="0.25">
      <c r="A5855" s="41">
        <v>414226</v>
      </c>
      <c r="B5855" s="39" t="s">
        <v>7399</v>
      </c>
      <c r="C5855" s="40">
        <v>4</v>
      </c>
      <c r="D5855" s="38" t="s">
        <v>266</v>
      </c>
    </row>
    <row r="5856" spans="1:4" x14ac:dyDescent="0.25">
      <c r="A5856" s="41">
        <v>414229</v>
      </c>
      <c r="B5856" s="39" t="s">
        <v>7400</v>
      </c>
      <c r="C5856" s="40">
        <v>4</v>
      </c>
      <c r="D5856" s="38" t="s">
        <v>266</v>
      </c>
    </row>
    <row r="5857" spans="1:4" x14ac:dyDescent="0.25">
      <c r="A5857" s="41">
        <v>414300</v>
      </c>
      <c r="B5857" s="39" t="s">
        <v>7401</v>
      </c>
      <c r="C5857" s="40">
        <v>3</v>
      </c>
      <c r="D5857" s="38" t="s">
        <v>266</v>
      </c>
    </row>
    <row r="5858" spans="1:4" x14ac:dyDescent="0.25">
      <c r="A5858" s="41">
        <v>414313</v>
      </c>
      <c r="B5858" s="39" t="s">
        <v>7402</v>
      </c>
      <c r="C5858" s="40">
        <v>4</v>
      </c>
      <c r="D5858" s="38" t="s">
        <v>266</v>
      </c>
    </row>
    <row r="5859" spans="1:4" x14ac:dyDescent="0.25">
      <c r="A5859" s="41">
        <v>414316</v>
      </c>
      <c r="B5859" s="39" t="s">
        <v>7403</v>
      </c>
      <c r="C5859" s="40">
        <v>4</v>
      </c>
      <c r="D5859" s="38" t="s">
        <v>266</v>
      </c>
    </row>
    <row r="5860" spans="1:4" x14ac:dyDescent="0.25">
      <c r="A5860" s="42">
        <v>414316.13</v>
      </c>
      <c r="B5860" s="39" t="s">
        <v>7404</v>
      </c>
      <c r="C5860" s="40">
        <v>5</v>
      </c>
      <c r="D5860" s="38" t="s">
        <v>266</v>
      </c>
    </row>
    <row r="5861" spans="1:4" x14ac:dyDescent="0.25">
      <c r="A5861" s="42">
        <v>414316.16</v>
      </c>
      <c r="B5861" s="39" t="s">
        <v>7405</v>
      </c>
      <c r="C5861" s="40">
        <v>5</v>
      </c>
      <c r="D5861" s="38" t="s">
        <v>266</v>
      </c>
    </row>
    <row r="5862" spans="1:4" x14ac:dyDescent="0.25">
      <c r="A5862" s="41">
        <v>414319</v>
      </c>
      <c r="B5862" s="39" t="s">
        <v>7406</v>
      </c>
      <c r="C5862" s="40">
        <v>4</v>
      </c>
      <c r="D5862" s="38" t="s">
        <v>266</v>
      </c>
    </row>
    <row r="5863" spans="1:4" x14ac:dyDescent="0.25">
      <c r="A5863" s="41">
        <v>414323</v>
      </c>
      <c r="B5863" s="39" t="s">
        <v>7407</v>
      </c>
      <c r="C5863" s="40">
        <v>4</v>
      </c>
      <c r="D5863" s="38" t="s">
        <v>266</v>
      </c>
    </row>
    <row r="5864" spans="1:4" x14ac:dyDescent="0.25">
      <c r="A5864" s="41">
        <v>415000</v>
      </c>
      <c r="B5864" s="39" t="s">
        <v>7408</v>
      </c>
      <c r="C5864" s="40">
        <v>3</v>
      </c>
      <c r="D5864" s="38" t="s">
        <v>266</v>
      </c>
    </row>
    <row r="5865" spans="1:4" x14ac:dyDescent="0.25">
      <c r="A5865" s="41">
        <v>415100</v>
      </c>
      <c r="B5865" s="39" t="s">
        <v>7409</v>
      </c>
      <c r="C5865" s="40">
        <v>3</v>
      </c>
      <c r="D5865" s="38" t="s">
        <v>266</v>
      </c>
    </row>
    <row r="5866" spans="1:4" x14ac:dyDescent="0.25">
      <c r="A5866" s="41">
        <v>415113</v>
      </c>
      <c r="B5866" s="39" t="s">
        <v>7410</v>
      </c>
      <c r="C5866" s="40">
        <v>4</v>
      </c>
      <c r="D5866" s="38" t="s">
        <v>266</v>
      </c>
    </row>
    <row r="5867" spans="1:4" x14ac:dyDescent="0.25">
      <c r="A5867" s="41">
        <v>415200</v>
      </c>
      <c r="B5867" s="39" t="s">
        <v>7411</v>
      </c>
      <c r="C5867" s="40">
        <v>3</v>
      </c>
      <c r="D5867" s="38" t="s">
        <v>266</v>
      </c>
    </row>
    <row r="5868" spans="1:4" x14ac:dyDescent="0.25">
      <c r="A5868" s="41">
        <v>415213</v>
      </c>
      <c r="B5868" s="39" t="s">
        <v>7412</v>
      </c>
      <c r="C5868" s="40">
        <v>4</v>
      </c>
      <c r="D5868" s="38" t="s">
        <v>266</v>
      </c>
    </row>
    <row r="5869" spans="1:4" x14ac:dyDescent="0.25">
      <c r="A5869" s="42">
        <v>415213.13</v>
      </c>
      <c r="B5869" s="39" t="s">
        <v>7413</v>
      </c>
      <c r="C5869" s="40">
        <v>5</v>
      </c>
      <c r="D5869" s="38" t="s">
        <v>266</v>
      </c>
    </row>
    <row r="5870" spans="1:4" x14ac:dyDescent="0.25">
      <c r="A5870" s="42">
        <v>415213.23</v>
      </c>
      <c r="B5870" s="39" t="s">
        <v>7414</v>
      </c>
      <c r="C5870" s="40">
        <v>5</v>
      </c>
      <c r="D5870" s="38" t="s">
        <v>266</v>
      </c>
    </row>
    <row r="5871" spans="1:4" x14ac:dyDescent="0.25">
      <c r="A5871" s="42">
        <v>415213.33</v>
      </c>
      <c r="B5871" s="39" t="s">
        <v>7415</v>
      </c>
      <c r="C5871" s="40">
        <v>5</v>
      </c>
      <c r="D5871" s="38" t="s">
        <v>266</v>
      </c>
    </row>
    <row r="5872" spans="1:4" x14ac:dyDescent="0.25">
      <c r="A5872" s="42">
        <v>415213.43</v>
      </c>
      <c r="B5872" s="39" t="s">
        <v>7416</v>
      </c>
      <c r="C5872" s="40">
        <v>5</v>
      </c>
      <c r="D5872" s="38" t="s">
        <v>266</v>
      </c>
    </row>
    <row r="5873" spans="1:4" x14ac:dyDescent="0.25">
      <c r="A5873" s="42">
        <v>415213.53</v>
      </c>
      <c r="B5873" s="39" t="s">
        <v>7417</v>
      </c>
      <c r="C5873" s="40">
        <v>5</v>
      </c>
      <c r="D5873" s="38" t="s">
        <v>266</v>
      </c>
    </row>
    <row r="5874" spans="1:4" x14ac:dyDescent="0.25">
      <c r="A5874" s="41">
        <v>415216</v>
      </c>
      <c r="B5874" s="39" t="s">
        <v>7418</v>
      </c>
      <c r="C5874" s="40">
        <v>4</v>
      </c>
      <c r="D5874" s="38" t="s">
        <v>266</v>
      </c>
    </row>
    <row r="5875" spans="1:4" x14ac:dyDescent="0.25">
      <c r="A5875" s="42">
        <v>415216.13</v>
      </c>
      <c r="B5875" s="39" t="s">
        <v>7419</v>
      </c>
      <c r="C5875" s="40">
        <v>5</v>
      </c>
      <c r="D5875" s="38" t="s">
        <v>266</v>
      </c>
    </row>
    <row r="5876" spans="1:4" x14ac:dyDescent="0.25">
      <c r="A5876" s="42">
        <v>415216.16</v>
      </c>
      <c r="B5876" s="39" t="s">
        <v>7420</v>
      </c>
      <c r="C5876" s="40">
        <v>5</v>
      </c>
      <c r="D5876" s="38" t="s">
        <v>266</v>
      </c>
    </row>
    <row r="5877" spans="1:4" x14ac:dyDescent="0.25">
      <c r="A5877" s="42">
        <v>415216.19</v>
      </c>
      <c r="B5877" s="39" t="s">
        <v>7421</v>
      </c>
      <c r="C5877" s="40">
        <v>5</v>
      </c>
      <c r="D5877" s="38" t="s">
        <v>266</v>
      </c>
    </row>
    <row r="5878" spans="1:4" x14ac:dyDescent="0.25">
      <c r="A5878" s="41">
        <v>415219</v>
      </c>
      <c r="B5878" s="39" t="s">
        <v>7422</v>
      </c>
      <c r="C5878" s="40">
        <v>4</v>
      </c>
      <c r="D5878" s="38" t="s">
        <v>266</v>
      </c>
    </row>
    <row r="5879" spans="1:4" x14ac:dyDescent="0.25">
      <c r="A5879" s="42">
        <v>415219.13</v>
      </c>
      <c r="B5879" s="39" t="s">
        <v>7423</v>
      </c>
      <c r="C5879" s="40">
        <v>5</v>
      </c>
      <c r="D5879" s="38" t="s">
        <v>266</v>
      </c>
    </row>
    <row r="5880" spans="1:4" x14ac:dyDescent="0.25">
      <c r="A5880" s="42">
        <v>415219.23</v>
      </c>
      <c r="B5880" s="39" t="s">
        <v>7424</v>
      </c>
      <c r="C5880" s="40">
        <v>5</v>
      </c>
      <c r="D5880" s="38" t="s">
        <v>266</v>
      </c>
    </row>
    <row r="5881" spans="1:4" x14ac:dyDescent="0.25">
      <c r="A5881" s="42">
        <v>415219.33</v>
      </c>
      <c r="B5881" s="39" t="s">
        <v>7425</v>
      </c>
      <c r="C5881" s="40">
        <v>5</v>
      </c>
      <c r="D5881" s="38" t="s">
        <v>266</v>
      </c>
    </row>
    <row r="5882" spans="1:4" x14ac:dyDescent="0.25">
      <c r="A5882" s="41">
        <v>415300</v>
      </c>
      <c r="B5882" s="39" t="s">
        <v>7426</v>
      </c>
      <c r="C5882" s="40">
        <v>3</v>
      </c>
      <c r="D5882" s="38" t="s">
        <v>266</v>
      </c>
    </row>
    <row r="5883" spans="1:4" x14ac:dyDescent="0.25">
      <c r="A5883" s="41">
        <v>415313</v>
      </c>
      <c r="B5883" s="39" t="s">
        <v>7427</v>
      </c>
      <c r="C5883" s="40">
        <v>4</v>
      </c>
      <c r="D5883" s="38" t="s">
        <v>266</v>
      </c>
    </row>
    <row r="5884" spans="1:4" x14ac:dyDescent="0.25">
      <c r="A5884" s="41">
        <v>415316</v>
      </c>
      <c r="B5884" s="39" t="s">
        <v>7428</v>
      </c>
      <c r="C5884" s="40">
        <v>4</v>
      </c>
      <c r="D5884" s="38" t="s">
        <v>266</v>
      </c>
    </row>
    <row r="5885" spans="1:4" x14ac:dyDescent="0.25">
      <c r="A5885" s="41">
        <v>415319</v>
      </c>
      <c r="B5885" s="39" t="s">
        <v>7429</v>
      </c>
      <c r="C5885" s="40">
        <v>4</v>
      </c>
      <c r="D5885" s="38" t="s">
        <v>266</v>
      </c>
    </row>
    <row r="5886" spans="1:4" x14ac:dyDescent="0.25">
      <c r="A5886" s="41">
        <v>415323</v>
      </c>
      <c r="B5886" s="39" t="s">
        <v>3701</v>
      </c>
      <c r="C5886" s="40">
        <v>4</v>
      </c>
      <c r="D5886" s="38" t="s">
        <v>266</v>
      </c>
    </row>
    <row r="5887" spans="1:4" x14ac:dyDescent="0.25">
      <c r="A5887" s="42">
        <v>415323.13</v>
      </c>
      <c r="B5887" s="39" t="s">
        <v>7430</v>
      </c>
      <c r="C5887" s="40">
        <v>5</v>
      </c>
      <c r="D5887" s="38" t="s">
        <v>266</v>
      </c>
    </row>
    <row r="5888" spans="1:4" x14ac:dyDescent="0.25">
      <c r="A5888" s="41">
        <v>415326</v>
      </c>
      <c r="B5888" s="39" t="s">
        <v>7431</v>
      </c>
      <c r="C5888" s="40">
        <v>4</v>
      </c>
      <c r="D5888" s="38" t="s">
        <v>266</v>
      </c>
    </row>
    <row r="5889" spans="1:4" x14ac:dyDescent="0.25">
      <c r="A5889" s="41">
        <v>416000</v>
      </c>
      <c r="B5889" s="39" t="s">
        <v>7432</v>
      </c>
      <c r="C5889" s="40">
        <v>3</v>
      </c>
      <c r="D5889" s="38" t="s">
        <v>266</v>
      </c>
    </row>
    <row r="5890" spans="1:4" x14ac:dyDescent="0.25">
      <c r="A5890" s="41">
        <v>416100</v>
      </c>
      <c r="B5890" s="39" t="s">
        <v>7433</v>
      </c>
      <c r="C5890" s="40">
        <v>3</v>
      </c>
      <c r="D5890" s="38" t="s">
        <v>266</v>
      </c>
    </row>
    <row r="5891" spans="1:4" x14ac:dyDescent="0.25">
      <c r="A5891" s="41">
        <v>416113</v>
      </c>
      <c r="B5891" s="39" t="s">
        <v>7434</v>
      </c>
      <c r="C5891" s="40">
        <v>4</v>
      </c>
      <c r="D5891" s="38" t="s">
        <v>266</v>
      </c>
    </row>
    <row r="5892" spans="1:4" x14ac:dyDescent="0.25">
      <c r="A5892" s="41">
        <v>416116</v>
      </c>
      <c r="B5892" s="39" t="s">
        <v>7435</v>
      </c>
      <c r="C5892" s="40">
        <v>4</v>
      </c>
      <c r="D5892" s="38" t="s">
        <v>266</v>
      </c>
    </row>
    <row r="5893" spans="1:4" x14ac:dyDescent="0.25">
      <c r="A5893" s="41">
        <v>416119</v>
      </c>
      <c r="B5893" s="39" t="s">
        <v>7436</v>
      </c>
      <c r="C5893" s="40">
        <v>4</v>
      </c>
      <c r="D5893" s="38" t="s">
        <v>266</v>
      </c>
    </row>
    <row r="5894" spans="1:4" x14ac:dyDescent="0.25">
      <c r="A5894" s="41">
        <v>416123</v>
      </c>
      <c r="B5894" s="39" t="s">
        <v>7437</v>
      </c>
      <c r="C5894" s="40">
        <v>4</v>
      </c>
      <c r="D5894" s="38" t="s">
        <v>266</v>
      </c>
    </row>
    <row r="5895" spans="1:4" x14ac:dyDescent="0.25">
      <c r="A5895" s="41">
        <v>416126</v>
      </c>
      <c r="B5895" s="39" t="s">
        <v>7438</v>
      </c>
      <c r="C5895" s="40">
        <v>4</v>
      </c>
      <c r="D5895" s="38" t="s">
        <v>266</v>
      </c>
    </row>
    <row r="5896" spans="1:4" x14ac:dyDescent="0.25">
      <c r="A5896" s="41">
        <v>416129</v>
      </c>
      <c r="B5896" s="39" t="s">
        <v>7439</v>
      </c>
      <c r="C5896" s="40">
        <v>4</v>
      </c>
      <c r="D5896" s="38" t="s">
        <v>266</v>
      </c>
    </row>
    <row r="5897" spans="1:4" x14ac:dyDescent="0.25">
      <c r="A5897" s="41">
        <v>416133</v>
      </c>
      <c r="B5897" s="39" t="s">
        <v>7440</v>
      </c>
      <c r="C5897" s="40">
        <v>4</v>
      </c>
      <c r="D5897" s="38" t="s">
        <v>266</v>
      </c>
    </row>
    <row r="5898" spans="1:4" x14ac:dyDescent="0.25">
      <c r="A5898" s="41">
        <v>416200</v>
      </c>
      <c r="B5898" s="39" t="s">
        <v>7441</v>
      </c>
      <c r="C5898" s="40">
        <v>3</v>
      </c>
      <c r="D5898" s="38" t="s">
        <v>266</v>
      </c>
    </row>
    <row r="5899" spans="1:4" x14ac:dyDescent="0.25">
      <c r="A5899" s="41">
        <v>416213</v>
      </c>
      <c r="B5899" s="39" t="s">
        <v>7442</v>
      </c>
      <c r="C5899" s="40">
        <v>4</v>
      </c>
      <c r="D5899" s="38" t="s">
        <v>266</v>
      </c>
    </row>
    <row r="5900" spans="1:4" x14ac:dyDescent="0.25">
      <c r="A5900" s="41">
        <v>416216</v>
      </c>
      <c r="B5900" s="39" t="s">
        <v>7443</v>
      </c>
      <c r="C5900" s="40">
        <v>4</v>
      </c>
      <c r="D5900" s="38" t="s">
        <v>266</v>
      </c>
    </row>
    <row r="5901" spans="1:4" x14ac:dyDescent="0.25">
      <c r="A5901" s="41">
        <v>416219</v>
      </c>
      <c r="B5901" s="39" t="s">
        <v>7444</v>
      </c>
      <c r="C5901" s="40">
        <v>4</v>
      </c>
      <c r="D5901" s="38" t="s">
        <v>266</v>
      </c>
    </row>
    <row r="5902" spans="1:4" x14ac:dyDescent="0.25">
      <c r="A5902" s="41">
        <v>416223</v>
      </c>
      <c r="B5902" s="39" t="s">
        <v>7445</v>
      </c>
      <c r="C5902" s="40">
        <v>4</v>
      </c>
      <c r="D5902" s="38" t="s">
        <v>266</v>
      </c>
    </row>
    <row r="5903" spans="1:4" x14ac:dyDescent="0.25">
      <c r="A5903" s="41">
        <v>416226</v>
      </c>
      <c r="B5903" s="39" t="s">
        <v>7446</v>
      </c>
      <c r="C5903" s="40">
        <v>4</v>
      </c>
      <c r="D5903" s="38" t="s">
        <v>266</v>
      </c>
    </row>
    <row r="5904" spans="1:4" x14ac:dyDescent="0.25">
      <c r="A5904" s="41">
        <v>416229</v>
      </c>
      <c r="B5904" s="39" t="s">
        <v>7447</v>
      </c>
      <c r="C5904" s="40">
        <v>4</v>
      </c>
      <c r="D5904" s="38" t="s">
        <v>266</v>
      </c>
    </row>
    <row r="5905" spans="1:4" x14ac:dyDescent="0.25">
      <c r="A5905" s="41">
        <v>416300</v>
      </c>
      <c r="B5905" s="39" t="s">
        <v>7448</v>
      </c>
      <c r="C5905" s="40">
        <v>3</v>
      </c>
      <c r="D5905" s="38" t="s">
        <v>266</v>
      </c>
    </row>
    <row r="5906" spans="1:4" x14ac:dyDescent="0.25">
      <c r="A5906" s="41">
        <v>416313</v>
      </c>
      <c r="B5906" s="39" t="s">
        <v>7449</v>
      </c>
      <c r="C5906" s="40">
        <v>4</v>
      </c>
      <c r="D5906" s="38" t="s">
        <v>266</v>
      </c>
    </row>
    <row r="5907" spans="1:4" x14ac:dyDescent="0.25">
      <c r="A5907" s="41">
        <v>416316</v>
      </c>
      <c r="B5907" s="39" t="s">
        <v>7450</v>
      </c>
      <c r="C5907" s="40">
        <v>4</v>
      </c>
      <c r="D5907" s="38" t="s">
        <v>266</v>
      </c>
    </row>
    <row r="5908" spans="1:4" x14ac:dyDescent="0.25">
      <c r="A5908" s="41">
        <v>416319</v>
      </c>
      <c r="B5908" s="39" t="s">
        <v>7451</v>
      </c>
      <c r="C5908" s="40">
        <v>4</v>
      </c>
      <c r="D5908" s="38" t="s">
        <v>266</v>
      </c>
    </row>
    <row r="5909" spans="1:4" x14ac:dyDescent="0.25">
      <c r="A5909" s="41">
        <v>416323</v>
      </c>
      <c r="B5909" s="39" t="s">
        <v>7452</v>
      </c>
      <c r="C5909" s="40">
        <v>4</v>
      </c>
      <c r="D5909" s="38" t="s">
        <v>266</v>
      </c>
    </row>
    <row r="5910" spans="1:4" x14ac:dyDescent="0.25">
      <c r="A5910" s="41">
        <v>416326</v>
      </c>
      <c r="B5910" s="39" t="s">
        <v>7453</v>
      </c>
      <c r="C5910" s="40">
        <v>4</v>
      </c>
      <c r="D5910" s="38" t="s">
        <v>266</v>
      </c>
    </row>
    <row r="5911" spans="1:4" x14ac:dyDescent="0.25">
      <c r="A5911" s="41">
        <v>416329</v>
      </c>
      <c r="B5911" s="39" t="s">
        <v>7454</v>
      </c>
      <c r="C5911" s="40">
        <v>4</v>
      </c>
      <c r="D5911" s="38" t="s">
        <v>266</v>
      </c>
    </row>
    <row r="5912" spans="1:4" x14ac:dyDescent="0.25">
      <c r="A5912" s="41">
        <v>416400</v>
      </c>
      <c r="B5912" s="39" t="s">
        <v>7455</v>
      </c>
      <c r="C5912" s="40">
        <v>3</v>
      </c>
      <c r="D5912" s="38" t="s">
        <v>266</v>
      </c>
    </row>
    <row r="5913" spans="1:4" x14ac:dyDescent="0.25">
      <c r="A5913" s="41">
        <v>416413</v>
      </c>
      <c r="B5913" s="39" t="s">
        <v>7456</v>
      </c>
      <c r="C5913" s="40">
        <v>4</v>
      </c>
      <c r="D5913" s="38" t="s">
        <v>266</v>
      </c>
    </row>
    <row r="5914" spans="1:4" x14ac:dyDescent="0.25">
      <c r="A5914" s="42">
        <v>416413.13</v>
      </c>
      <c r="B5914" s="39" t="s">
        <v>7457</v>
      </c>
      <c r="C5914" s="40">
        <v>5</v>
      </c>
      <c r="D5914" s="38" t="s">
        <v>266</v>
      </c>
    </row>
    <row r="5915" spans="1:4" x14ac:dyDescent="0.25">
      <c r="A5915" s="42">
        <v>416413.23</v>
      </c>
      <c r="B5915" s="39" t="s">
        <v>7458</v>
      </c>
      <c r="C5915" s="40">
        <v>5</v>
      </c>
      <c r="D5915" s="38" t="s">
        <v>266</v>
      </c>
    </row>
    <row r="5916" spans="1:4" x14ac:dyDescent="0.25">
      <c r="A5916" s="41">
        <v>416416</v>
      </c>
      <c r="B5916" s="39" t="s">
        <v>7459</v>
      </c>
      <c r="C5916" s="40">
        <v>4</v>
      </c>
      <c r="D5916" s="38" t="s">
        <v>266</v>
      </c>
    </row>
    <row r="5917" spans="1:4" x14ac:dyDescent="0.25">
      <c r="A5917" s="41">
        <v>416500</v>
      </c>
      <c r="B5917" s="39" t="s">
        <v>7460</v>
      </c>
      <c r="C5917" s="40">
        <v>3</v>
      </c>
      <c r="D5917" s="38" t="s">
        <v>266</v>
      </c>
    </row>
    <row r="5918" spans="1:4" x14ac:dyDescent="0.25">
      <c r="A5918" s="41">
        <v>416513</v>
      </c>
      <c r="B5918" s="39" t="s">
        <v>7461</v>
      </c>
      <c r="C5918" s="40">
        <v>4</v>
      </c>
      <c r="D5918" s="38" t="s">
        <v>266</v>
      </c>
    </row>
    <row r="5919" spans="1:4" x14ac:dyDescent="0.25">
      <c r="A5919" s="41">
        <v>416516</v>
      </c>
      <c r="B5919" s="39" t="s">
        <v>7462</v>
      </c>
      <c r="C5919" s="40">
        <v>4</v>
      </c>
      <c r="D5919" s="38" t="s">
        <v>266</v>
      </c>
    </row>
    <row r="5920" spans="1:4" x14ac:dyDescent="0.25">
      <c r="A5920" s="41">
        <v>416519</v>
      </c>
      <c r="B5920" s="39" t="s">
        <v>7463</v>
      </c>
      <c r="C5920" s="40">
        <v>4</v>
      </c>
      <c r="D5920" s="38" t="s">
        <v>266</v>
      </c>
    </row>
    <row r="5921" spans="1:4" x14ac:dyDescent="0.25">
      <c r="A5921" s="41">
        <v>416600</v>
      </c>
      <c r="B5921" s="39" t="s">
        <v>7464</v>
      </c>
      <c r="C5921" s="40">
        <v>3</v>
      </c>
      <c r="D5921" s="38" t="s">
        <v>266</v>
      </c>
    </row>
    <row r="5922" spans="1:4" x14ac:dyDescent="0.25">
      <c r="A5922" s="41">
        <v>416613</v>
      </c>
      <c r="B5922" s="39" t="s">
        <v>7465</v>
      </c>
      <c r="C5922" s="40">
        <v>4</v>
      </c>
      <c r="D5922" s="38" t="s">
        <v>266</v>
      </c>
    </row>
    <row r="5923" spans="1:4" x14ac:dyDescent="0.25">
      <c r="A5923" s="41">
        <v>416616</v>
      </c>
      <c r="B5923" s="39" t="s">
        <v>7466</v>
      </c>
      <c r="C5923" s="40">
        <v>4</v>
      </c>
      <c r="D5923" s="38" t="s">
        <v>266</v>
      </c>
    </row>
    <row r="5924" spans="1:4" x14ac:dyDescent="0.25">
      <c r="A5924" s="41">
        <v>416619</v>
      </c>
      <c r="B5924" s="39" t="s">
        <v>7467</v>
      </c>
      <c r="C5924" s="40">
        <v>4</v>
      </c>
      <c r="D5924" s="38" t="s">
        <v>266</v>
      </c>
    </row>
    <row r="5925" spans="1:4" x14ac:dyDescent="0.25">
      <c r="A5925" s="41">
        <v>416623</v>
      </c>
      <c r="B5925" s="39" t="s">
        <v>7468</v>
      </c>
      <c r="C5925" s="40">
        <v>4</v>
      </c>
      <c r="D5925" s="38" t="s">
        <v>266</v>
      </c>
    </row>
    <row r="5926" spans="1:4" x14ac:dyDescent="0.25">
      <c r="A5926" s="41">
        <v>416700</v>
      </c>
      <c r="B5926" s="39" t="s">
        <v>7469</v>
      </c>
      <c r="C5926" s="40">
        <v>3</v>
      </c>
      <c r="D5926" s="38" t="s">
        <v>266</v>
      </c>
    </row>
    <row r="5927" spans="1:4" x14ac:dyDescent="0.25">
      <c r="A5927" s="41">
        <v>416713</v>
      </c>
      <c r="B5927" s="39" t="s">
        <v>7470</v>
      </c>
      <c r="C5927" s="40">
        <v>4</v>
      </c>
      <c r="D5927" s="38" t="s">
        <v>266</v>
      </c>
    </row>
    <row r="5928" spans="1:4" x14ac:dyDescent="0.25">
      <c r="A5928" s="41">
        <v>416716</v>
      </c>
      <c r="B5928" s="39" t="s">
        <v>7471</v>
      </c>
      <c r="C5928" s="40">
        <v>4</v>
      </c>
      <c r="D5928" s="38" t="s">
        <v>266</v>
      </c>
    </row>
    <row r="5929" spans="1:4" x14ac:dyDescent="0.25">
      <c r="A5929" s="41">
        <v>416719</v>
      </c>
      <c r="B5929" s="39" t="s">
        <v>7472</v>
      </c>
      <c r="C5929" s="40">
        <v>4</v>
      </c>
      <c r="D5929" s="38" t="s">
        <v>266</v>
      </c>
    </row>
    <row r="5930" spans="1:4" x14ac:dyDescent="0.25">
      <c r="A5930" s="41">
        <v>416723</v>
      </c>
      <c r="B5930" s="39" t="s">
        <v>7473</v>
      </c>
      <c r="C5930" s="40">
        <v>4</v>
      </c>
      <c r="D5930" s="38" t="s">
        <v>266</v>
      </c>
    </row>
    <row r="5931" spans="1:4" x14ac:dyDescent="0.25">
      <c r="A5931" s="41">
        <v>416726</v>
      </c>
      <c r="B5931" s="39" t="s">
        <v>7474</v>
      </c>
      <c r="C5931" s="40">
        <v>4</v>
      </c>
      <c r="D5931" s="38" t="s">
        <v>266</v>
      </c>
    </row>
    <row r="5932" spans="1:4" x14ac:dyDescent="0.25">
      <c r="A5932" s="41">
        <v>420000</v>
      </c>
      <c r="B5932" s="39" t="s">
        <v>7475</v>
      </c>
      <c r="C5932" s="40">
        <v>2</v>
      </c>
      <c r="D5932" s="38" t="s">
        <v>266</v>
      </c>
    </row>
    <row r="5933" spans="1:4" x14ac:dyDescent="0.25">
      <c r="A5933" s="41">
        <v>420100</v>
      </c>
      <c r="B5933" s="39" t="s">
        <v>7476</v>
      </c>
      <c r="C5933" s="40">
        <v>3</v>
      </c>
      <c r="D5933" s="38" t="s">
        <v>266</v>
      </c>
    </row>
    <row r="5934" spans="1:4" x14ac:dyDescent="0.25">
      <c r="A5934" s="41">
        <v>420110</v>
      </c>
      <c r="B5934" s="39" t="s">
        <v>7477</v>
      </c>
      <c r="C5934" s="40">
        <v>4</v>
      </c>
      <c r="D5934" s="38" t="s">
        <v>266</v>
      </c>
    </row>
    <row r="5935" spans="1:4" x14ac:dyDescent="0.25">
      <c r="A5935" s="41">
        <v>420120</v>
      </c>
      <c r="B5935" s="39" t="s">
        <v>7478</v>
      </c>
      <c r="C5935" s="40">
        <v>4</v>
      </c>
      <c r="D5935" s="38" t="s">
        <v>266</v>
      </c>
    </row>
    <row r="5936" spans="1:4" x14ac:dyDescent="0.25">
      <c r="A5936" s="41">
        <v>420130</v>
      </c>
      <c r="B5936" s="39" t="s">
        <v>7479</v>
      </c>
      <c r="C5936" s="40">
        <v>4</v>
      </c>
      <c r="D5936" s="38" t="s">
        <v>266</v>
      </c>
    </row>
    <row r="5937" spans="1:4" x14ac:dyDescent="0.25">
      <c r="A5937" s="41">
        <v>420800</v>
      </c>
      <c r="B5937" s="39" t="s">
        <v>7480</v>
      </c>
      <c r="C5937" s="40">
        <v>3</v>
      </c>
      <c r="D5937" s="38" t="s">
        <v>266</v>
      </c>
    </row>
    <row r="5938" spans="1:4" x14ac:dyDescent="0.25">
      <c r="A5938" s="41">
        <v>420810</v>
      </c>
      <c r="B5938" s="39" t="s">
        <v>7481</v>
      </c>
      <c r="C5938" s="40">
        <v>4</v>
      </c>
      <c r="D5938" s="38" t="s">
        <v>266</v>
      </c>
    </row>
    <row r="5939" spans="1:4" x14ac:dyDescent="0.25">
      <c r="A5939" s="41">
        <v>420820</v>
      </c>
      <c r="B5939" s="39" t="s">
        <v>7482</v>
      </c>
      <c r="C5939" s="40">
        <v>4</v>
      </c>
      <c r="D5939" s="38" t="s">
        <v>266</v>
      </c>
    </row>
    <row r="5940" spans="1:4" x14ac:dyDescent="0.25">
      <c r="A5940" s="41">
        <v>420830</v>
      </c>
      <c r="B5940" s="39" t="s">
        <v>7483</v>
      </c>
      <c r="C5940" s="40">
        <v>4</v>
      </c>
      <c r="D5940" s="38" t="s">
        <v>266</v>
      </c>
    </row>
    <row r="5941" spans="1:4" x14ac:dyDescent="0.25">
      <c r="A5941" s="41">
        <v>421000</v>
      </c>
      <c r="B5941" s="39" t="s">
        <v>7484</v>
      </c>
      <c r="C5941" s="40">
        <v>3</v>
      </c>
      <c r="D5941" s="38" t="s">
        <v>266</v>
      </c>
    </row>
    <row r="5942" spans="1:4" x14ac:dyDescent="0.25">
      <c r="A5942" s="41">
        <v>421100</v>
      </c>
      <c r="B5942" s="39" t="s">
        <v>7485</v>
      </c>
      <c r="C5942" s="40">
        <v>3</v>
      </c>
      <c r="D5942" s="38" t="s">
        <v>266</v>
      </c>
    </row>
    <row r="5943" spans="1:4" x14ac:dyDescent="0.25">
      <c r="A5943" s="41">
        <v>421113</v>
      </c>
      <c r="B5943" s="39" t="s">
        <v>7486</v>
      </c>
      <c r="C5943" s="40">
        <v>4</v>
      </c>
      <c r="D5943" s="38" t="s">
        <v>266</v>
      </c>
    </row>
    <row r="5944" spans="1:4" x14ac:dyDescent="0.25">
      <c r="A5944" s="41">
        <v>421116</v>
      </c>
      <c r="B5944" s="39" t="s">
        <v>7487</v>
      </c>
      <c r="C5944" s="40">
        <v>4</v>
      </c>
      <c r="D5944" s="38" t="s">
        <v>266</v>
      </c>
    </row>
    <row r="5945" spans="1:4" x14ac:dyDescent="0.25">
      <c r="A5945" s="41">
        <v>421119</v>
      </c>
      <c r="B5945" s="39" t="s">
        <v>7488</v>
      </c>
      <c r="C5945" s="40">
        <v>4</v>
      </c>
      <c r="D5945" s="38" t="s">
        <v>266</v>
      </c>
    </row>
    <row r="5946" spans="1:4" x14ac:dyDescent="0.25">
      <c r="A5946" s="41">
        <v>421123</v>
      </c>
      <c r="B5946" s="39" t="s">
        <v>7489</v>
      </c>
      <c r="C5946" s="40">
        <v>4</v>
      </c>
      <c r="D5946" s="38" t="s">
        <v>266</v>
      </c>
    </row>
    <row r="5947" spans="1:4" x14ac:dyDescent="0.25">
      <c r="A5947" s="41">
        <v>421200</v>
      </c>
      <c r="B5947" s="39" t="s">
        <v>7490</v>
      </c>
      <c r="C5947" s="40">
        <v>3</v>
      </c>
      <c r="D5947" s="38" t="s">
        <v>266</v>
      </c>
    </row>
    <row r="5948" spans="1:4" x14ac:dyDescent="0.25">
      <c r="A5948" s="41">
        <v>421213</v>
      </c>
      <c r="B5948" s="39" t="s">
        <v>7491</v>
      </c>
      <c r="C5948" s="40">
        <v>4</v>
      </c>
      <c r="D5948" s="38" t="s">
        <v>266</v>
      </c>
    </row>
    <row r="5949" spans="1:4" x14ac:dyDescent="0.25">
      <c r="A5949" s="41">
        <v>421216</v>
      </c>
      <c r="B5949" s="39" t="s">
        <v>7492</v>
      </c>
      <c r="C5949" s="40">
        <v>4</v>
      </c>
      <c r="D5949" s="38" t="s">
        <v>266</v>
      </c>
    </row>
    <row r="5950" spans="1:4" x14ac:dyDescent="0.25">
      <c r="A5950" s="41">
        <v>421219</v>
      </c>
      <c r="B5950" s="39" t="s">
        <v>7493</v>
      </c>
      <c r="C5950" s="40">
        <v>4</v>
      </c>
      <c r="D5950" s="38" t="s">
        <v>266</v>
      </c>
    </row>
    <row r="5951" spans="1:4" x14ac:dyDescent="0.25">
      <c r="A5951" s="41">
        <v>421223</v>
      </c>
      <c r="B5951" s="39" t="s">
        <v>7494</v>
      </c>
      <c r="C5951" s="40">
        <v>4</v>
      </c>
      <c r="D5951" s="38" t="s">
        <v>266</v>
      </c>
    </row>
    <row r="5952" spans="1:4" x14ac:dyDescent="0.25">
      <c r="A5952" s="41">
        <v>421226</v>
      </c>
      <c r="B5952" s="39" t="s">
        <v>7495</v>
      </c>
      <c r="C5952" s="40">
        <v>4</v>
      </c>
      <c r="D5952" s="38" t="s">
        <v>266</v>
      </c>
    </row>
    <row r="5953" spans="1:4" x14ac:dyDescent="0.25">
      <c r="A5953" s="41">
        <v>421300</v>
      </c>
      <c r="B5953" s="39" t="s">
        <v>7496</v>
      </c>
      <c r="C5953" s="40">
        <v>3</v>
      </c>
      <c r="D5953" s="38" t="s">
        <v>266</v>
      </c>
    </row>
    <row r="5954" spans="1:4" x14ac:dyDescent="0.25">
      <c r="A5954" s="41">
        <v>421313</v>
      </c>
      <c r="B5954" s="39" t="s">
        <v>7497</v>
      </c>
      <c r="C5954" s="40">
        <v>4</v>
      </c>
      <c r="D5954" s="38" t="s">
        <v>266</v>
      </c>
    </row>
    <row r="5955" spans="1:4" x14ac:dyDescent="0.25">
      <c r="A5955" s="41">
        <v>421316</v>
      </c>
      <c r="B5955" s="39" t="s">
        <v>7498</v>
      </c>
      <c r="C5955" s="40">
        <v>4</v>
      </c>
      <c r="D5955" s="38" t="s">
        <v>266</v>
      </c>
    </row>
    <row r="5956" spans="1:4" x14ac:dyDescent="0.25">
      <c r="A5956" s="41">
        <v>421319</v>
      </c>
      <c r="B5956" s="39" t="s">
        <v>7499</v>
      </c>
      <c r="C5956" s="40">
        <v>4</v>
      </c>
      <c r="D5956" s="38" t="s">
        <v>266</v>
      </c>
    </row>
    <row r="5957" spans="1:4" x14ac:dyDescent="0.25">
      <c r="A5957" s="41">
        <v>421323</v>
      </c>
      <c r="B5957" s="39" t="s">
        <v>7500</v>
      </c>
      <c r="C5957" s="40">
        <v>4</v>
      </c>
      <c r="D5957" s="38" t="s">
        <v>266</v>
      </c>
    </row>
    <row r="5958" spans="1:4" x14ac:dyDescent="0.25">
      <c r="A5958" s="41">
        <v>421326</v>
      </c>
      <c r="B5958" s="39" t="s">
        <v>7501</v>
      </c>
      <c r="C5958" s="40">
        <v>4</v>
      </c>
      <c r="D5958" s="38" t="s">
        <v>266</v>
      </c>
    </row>
    <row r="5959" spans="1:4" x14ac:dyDescent="0.25">
      <c r="A5959" s="41">
        <v>421400</v>
      </c>
      <c r="B5959" s="39" t="s">
        <v>7502</v>
      </c>
      <c r="C5959" s="40">
        <v>3</v>
      </c>
      <c r="D5959" s="38" t="s">
        <v>266</v>
      </c>
    </row>
    <row r="5960" spans="1:4" x14ac:dyDescent="0.25">
      <c r="A5960" s="41">
        <v>421413</v>
      </c>
      <c r="B5960" s="39" t="s">
        <v>7503</v>
      </c>
      <c r="C5960" s="40">
        <v>4</v>
      </c>
      <c r="D5960" s="38" t="s">
        <v>266</v>
      </c>
    </row>
    <row r="5961" spans="1:4" x14ac:dyDescent="0.25">
      <c r="A5961" s="41">
        <v>421416</v>
      </c>
      <c r="B5961" s="39" t="s">
        <v>7504</v>
      </c>
      <c r="C5961" s="40">
        <v>4</v>
      </c>
      <c r="D5961" s="38" t="s">
        <v>266</v>
      </c>
    </row>
    <row r="5962" spans="1:4" x14ac:dyDescent="0.25">
      <c r="A5962" s="41">
        <v>421419</v>
      </c>
      <c r="B5962" s="39" t="s">
        <v>7505</v>
      </c>
      <c r="C5962" s="40">
        <v>4</v>
      </c>
      <c r="D5962" s="38" t="s">
        <v>266</v>
      </c>
    </row>
    <row r="5963" spans="1:4" x14ac:dyDescent="0.25">
      <c r="A5963" s="41">
        <v>421423</v>
      </c>
      <c r="B5963" s="39" t="s">
        <v>7506</v>
      </c>
      <c r="C5963" s="40">
        <v>4</v>
      </c>
      <c r="D5963" s="38" t="s">
        <v>266</v>
      </c>
    </row>
    <row r="5964" spans="1:4" x14ac:dyDescent="0.25">
      <c r="A5964" s="41">
        <v>421426</v>
      </c>
      <c r="B5964" s="39" t="s">
        <v>7507</v>
      </c>
      <c r="C5964" s="40">
        <v>4</v>
      </c>
      <c r="D5964" s="38" t="s">
        <v>266</v>
      </c>
    </row>
    <row r="5965" spans="1:4" x14ac:dyDescent="0.25">
      <c r="A5965" s="41">
        <v>421429</v>
      </c>
      <c r="B5965" s="39" t="s">
        <v>7508</v>
      </c>
      <c r="C5965" s="40">
        <v>4</v>
      </c>
      <c r="D5965" s="38" t="s">
        <v>266</v>
      </c>
    </row>
    <row r="5966" spans="1:4" x14ac:dyDescent="0.25">
      <c r="A5966" s="41">
        <v>421433</v>
      </c>
      <c r="B5966" s="39" t="s">
        <v>7509</v>
      </c>
      <c r="C5966" s="40">
        <v>4</v>
      </c>
      <c r="D5966" s="38" t="s">
        <v>266</v>
      </c>
    </row>
    <row r="5967" spans="1:4" x14ac:dyDescent="0.25">
      <c r="A5967" s="42">
        <v>421433.13</v>
      </c>
      <c r="B5967" s="39" t="s">
        <v>7510</v>
      </c>
      <c r="C5967" s="40">
        <v>5</v>
      </c>
      <c r="D5967" s="38" t="s">
        <v>266</v>
      </c>
    </row>
    <row r="5968" spans="1:4" x14ac:dyDescent="0.25">
      <c r="A5968" s="42">
        <v>421433.16</v>
      </c>
      <c r="B5968" s="39" t="s">
        <v>7511</v>
      </c>
      <c r="C5968" s="40">
        <v>5</v>
      </c>
      <c r="D5968" s="38" t="s">
        <v>266</v>
      </c>
    </row>
    <row r="5969" spans="1:4" x14ac:dyDescent="0.25">
      <c r="A5969" s="42">
        <v>421433.19</v>
      </c>
      <c r="B5969" s="39" t="s">
        <v>7512</v>
      </c>
      <c r="C5969" s="40">
        <v>5</v>
      </c>
      <c r="D5969" s="38" t="s">
        <v>266</v>
      </c>
    </row>
    <row r="5970" spans="1:4" x14ac:dyDescent="0.25">
      <c r="A5970" s="41">
        <v>421436</v>
      </c>
      <c r="B5970" s="39" t="s">
        <v>7513</v>
      </c>
      <c r="C5970" s="40">
        <v>4</v>
      </c>
      <c r="D5970" s="38" t="s">
        <v>266</v>
      </c>
    </row>
    <row r="5971" spans="1:4" x14ac:dyDescent="0.25">
      <c r="A5971" s="41">
        <v>421443</v>
      </c>
      <c r="B5971" s="39" t="s">
        <v>7514</v>
      </c>
      <c r="C5971" s="40">
        <v>4</v>
      </c>
      <c r="D5971" s="38" t="s">
        <v>266</v>
      </c>
    </row>
    <row r="5972" spans="1:4" x14ac:dyDescent="0.25">
      <c r="A5972" s="41">
        <v>421446</v>
      </c>
      <c r="B5972" s="39" t="s">
        <v>7515</v>
      </c>
      <c r="C5972" s="40">
        <v>4</v>
      </c>
      <c r="D5972" s="38" t="s">
        <v>266</v>
      </c>
    </row>
    <row r="5973" spans="1:4" x14ac:dyDescent="0.25">
      <c r="A5973" s="41">
        <v>421453</v>
      </c>
      <c r="B5973" s="39" t="s">
        <v>7516</v>
      </c>
      <c r="C5973" s="40">
        <v>4</v>
      </c>
      <c r="D5973" s="38" t="s">
        <v>266</v>
      </c>
    </row>
    <row r="5974" spans="1:4" x14ac:dyDescent="0.25">
      <c r="A5974" s="41">
        <v>421456</v>
      </c>
      <c r="B5974" s="39" t="s">
        <v>7517</v>
      </c>
      <c r="C5974" s="40">
        <v>4</v>
      </c>
      <c r="D5974" s="38" t="s">
        <v>266</v>
      </c>
    </row>
    <row r="5975" spans="1:4" x14ac:dyDescent="0.25">
      <c r="A5975" s="41">
        <v>421500</v>
      </c>
      <c r="B5975" s="39" t="s">
        <v>7518</v>
      </c>
      <c r="C5975" s="40">
        <v>3</v>
      </c>
      <c r="D5975" s="38" t="s">
        <v>266</v>
      </c>
    </row>
    <row r="5976" spans="1:4" x14ac:dyDescent="0.25">
      <c r="A5976" s="41">
        <v>421513</v>
      </c>
      <c r="B5976" s="39" t="s">
        <v>7519</v>
      </c>
      <c r="C5976" s="40">
        <v>4</v>
      </c>
      <c r="D5976" s="38" t="s">
        <v>266</v>
      </c>
    </row>
    <row r="5977" spans="1:4" x14ac:dyDescent="0.25">
      <c r="A5977" s="41">
        <v>421516</v>
      </c>
      <c r="B5977" s="39" t="s">
        <v>7520</v>
      </c>
      <c r="C5977" s="40">
        <v>4</v>
      </c>
      <c r="D5977" s="38" t="s">
        <v>266</v>
      </c>
    </row>
    <row r="5978" spans="1:4" x14ac:dyDescent="0.25">
      <c r="A5978" s="41">
        <v>421519</v>
      </c>
      <c r="B5978" s="39" t="s">
        <v>7521</v>
      </c>
      <c r="C5978" s="40">
        <v>4</v>
      </c>
      <c r="D5978" s="38" t="s">
        <v>266</v>
      </c>
    </row>
    <row r="5979" spans="1:4" x14ac:dyDescent="0.25">
      <c r="A5979" s="41">
        <v>422000</v>
      </c>
      <c r="B5979" s="39" t="s">
        <v>7522</v>
      </c>
      <c r="C5979" s="40">
        <v>3</v>
      </c>
      <c r="D5979" s="38" t="s">
        <v>266</v>
      </c>
    </row>
    <row r="5980" spans="1:4" x14ac:dyDescent="0.25">
      <c r="A5980" s="41">
        <v>422100</v>
      </c>
      <c r="B5980" s="39" t="s">
        <v>7523</v>
      </c>
      <c r="C5980" s="40">
        <v>3</v>
      </c>
      <c r="D5980" s="38" t="s">
        <v>266</v>
      </c>
    </row>
    <row r="5981" spans="1:4" x14ac:dyDescent="0.25">
      <c r="A5981" s="41">
        <v>422113</v>
      </c>
      <c r="B5981" s="39" t="s">
        <v>7524</v>
      </c>
      <c r="C5981" s="40">
        <v>4</v>
      </c>
      <c r="D5981" s="38" t="s">
        <v>266</v>
      </c>
    </row>
    <row r="5982" spans="1:4" x14ac:dyDescent="0.25">
      <c r="A5982" s="41">
        <v>422116</v>
      </c>
      <c r="B5982" s="39" t="s">
        <v>7525</v>
      </c>
      <c r="C5982" s="40">
        <v>4</v>
      </c>
      <c r="D5982" s="38" t="s">
        <v>266</v>
      </c>
    </row>
    <row r="5983" spans="1:4" x14ac:dyDescent="0.25">
      <c r="A5983" s="41">
        <v>422200</v>
      </c>
      <c r="B5983" s="39" t="s">
        <v>7526</v>
      </c>
      <c r="C5983" s="40">
        <v>3</v>
      </c>
      <c r="D5983" s="38" t="s">
        <v>266</v>
      </c>
    </row>
    <row r="5984" spans="1:4" x14ac:dyDescent="0.25">
      <c r="A5984" s="41">
        <v>422213</v>
      </c>
      <c r="B5984" s="39" t="s">
        <v>7527</v>
      </c>
      <c r="C5984" s="40">
        <v>4</v>
      </c>
      <c r="D5984" s="38" t="s">
        <v>266</v>
      </c>
    </row>
    <row r="5985" spans="1:4" x14ac:dyDescent="0.25">
      <c r="A5985" s="41">
        <v>422216</v>
      </c>
      <c r="B5985" s="39" t="s">
        <v>7528</v>
      </c>
      <c r="C5985" s="40">
        <v>4</v>
      </c>
      <c r="D5985" s="38" t="s">
        <v>266</v>
      </c>
    </row>
    <row r="5986" spans="1:4" x14ac:dyDescent="0.25">
      <c r="A5986" s="41">
        <v>422219</v>
      </c>
      <c r="B5986" s="39" t="s">
        <v>7529</v>
      </c>
      <c r="C5986" s="40">
        <v>4</v>
      </c>
      <c r="D5986" s="38" t="s">
        <v>266</v>
      </c>
    </row>
    <row r="5987" spans="1:4" x14ac:dyDescent="0.25">
      <c r="A5987" s="41">
        <v>422223</v>
      </c>
      <c r="B5987" s="39" t="s">
        <v>7530</v>
      </c>
      <c r="C5987" s="40">
        <v>4</v>
      </c>
      <c r="D5987" s="38" t="s">
        <v>266</v>
      </c>
    </row>
    <row r="5988" spans="1:4" x14ac:dyDescent="0.25">
      <c r="A5988" s="41">
        <v>422226</v>
      </c>
      <c r="B5988" s="39" t="s">
        <v>7531</v>
      </c>
      <c r="C5988" s="40">
        <v>4</v>
      </c>
      <c r="D5988" s="38" t="s">
        <v>266</v>
      </c>
    </row>
    <row r="5989" spans="1:4" x14ac:dyDescent="0.25">
      <c r="A5989" s="41">
        <v>422300</v>
      </c>
      <c r="B5989" s="39" t="s">
        <v>7532</v>
      </c>
      <c r="C5989" s="40">
        <v>3</v>
      </c>
      <c r="D5989" s="38" t="s">
        <v>266</v>
      </c>
    </row>
    <row r="5990" spans="1:4" x14ac:dyDescent="0.25">
      <c r="A5990" s="41">
        <v>422313</v>
      </c>
      <c r="B5990" s="39" t="s">
        <v>7533</v>
      </c>
      <c r="C5990" s="40">
        <v>4</v>
      </c>
      <c r="D5990" s="38" t="s">
        <v>266</v>
      </c>
    </row>
    <row r="5991" spans="1:4" x14ac:dyDescent="0.25">
      <c r="A5991" s="41">
        <v>422316</v>
      </c>
      <c r="B5991" s="39" t="s">
        <v>7534</v>
      </c>
      <c r="C5991" s="40">
        <v>4</v>
      </c>
      <c r="D5991" s="38" t="s">
        <v>266</v>
      </c>
    </row>
    <row r="5992" spans="1:4" x14ac:dyDescent="0.25">
      <c r="A5992" s="41">
        <v>422319</v>
      </c>
      <c r="B5992" s="39" t="s">
        <v>7535</v>
      </c>
      <c r="C5992" s="40">
        <v>4</v>
      </c>
      <c r="D5992" s="38" t="s">
        <v>266</v>
      </c>
    </row>
    <row r="5993" spans="1:4" x14ac:dyDescent="0.25">
      <c r="A5993" s="41">
        <v>423000</v>
      </c>
      <c r="B5993" s="39" t="s">
        <v>7536</v>
      </c>
      <c r="C5993" s="40">
        <v>3</v>
      </c>
      <c r="D5993" s="38" t="s">
        <v>266</v>
      </c>
    </row>
    <row r="5994" spans="1:4" x14ac:dyDescent="0.25">
      <c r="A5994" s="41">
        <v>423100</v>
      </c>
      <c r="B5994" s="39" t="s">
        <v>7537</v>
      </c>
      <c r="C5994" s="40">
        <v>3</v>
      </c>
      <c r="D5994" s="38" t="s">
        <v>266</v>
      </c>
    </row>
    <row r="5995" spans="1:4" x14ac:dyDescent="0.25">
      <c r="A5995" s="41">
        <v>423113</v>
      </c>
      <c r="B5995" s="39" t="s">
        <v>7538</v>
      </c>
      <c r="C5995" s="40">
        <v>4</v>
      </c>
      <c r="D5995" s="38" t="s">
        <v>266</v>
      </c>
    </row>
    <row r="5996" spans="1:4" x14ac:dyDescent="0.25">
      <c r="A5996" s="41">
        <v>423116</v>
      </c>
      <c r="B5996" s="39" t="s">
        <v>7539</v>
      </c>
      <c r="C5996" s="40">
        <v>4</v>
      </c>
      <c r="D5996" s="38" t="s">
        <v>266</v>
      </c>
    </row>
    <row r="5997" spans="1:4" x14ac:dyDescent="0.25">
      <c r="A5997" s="41">
        <v>423119</v>
      </c>
      <c r="B5997" s="39" t="s">
        <v>7540</v>
      </c>
      <c r="C5997" s="40">
        <v>4</v>
      </c>
      <c r="D5997" s="38" t="s">
        <v>266</v>
      </c>
    </row>
    <row r="5998" spans="1:4" x14ac:dyDescent="0.25">
      <c r="A5998" s="41">
        <v>423123</v>
      </c>
      <c r="B5998" s="39" t="s">
        <v>7541</v>
      </c>
      <c r="C5998" s="40">
        <v>4</v>
      </c>
      <c r="D5998" s="38" t="s">
        <v>266</v>
      </c>
    </row>
    <row r="5999" spans="1:4" x14ac:dyDescent="0.25">
      <c r="A5999" s="41">
        <v>423200</v>
      </c>
      <c r="B5999" s="39" t="s">
        <v>7542</v>
      </c>
      <c r="C5999" s="40">
        <v>3</v>
      </c>
      <c r="D5999" s="38" t="s">
        <v>266</v>
      </c>
    </row>
    <row r="6000" spans="1:4" x14ac:dyDescent="0.25">
      <c r="A6000" s="41">
        <v>423213</v>
      </c>
      <c r="B6000" s="39" t="s">
        <v>7543</v>
      </c>
      <c r="C6000" s="40">
        <v>4</v>
      </c>
      <c r="D6000" s="38" t="s">
        <v>266</v>
      </c>
    </row>
    <row r="6001" spans="1:4" x14ac:dyDescent="0.25">
      <c r="A6001" s="41">
        <v>423216</v>
      </c>
      <c r="B6001" s="39" t="s">
        <v>7544</v>
      </c>
      <c r="C6001" s="40">
        <v>4</v>
      </c>
      <c r="D6001" s="38" t="s">
        <v>266</v>
      </c>
    </row>
    <row r="6002" spans="1:4" x14ac:dyDescent="0.25">
      <c r="A6002" s="41">
        <v>423219</v>
      </c>
      <c r="B6002" s="39" t="s">
        <v>7545</v>
      </c>
      <c r="C6002" s="40">
        <v>4</v>
      </c>
      <c r="D6002" s="38" t="s">
        <v>266</v>
      </c>
    </row>
    <row r="6003" spans="1:4" x14ac:dyDescent="0.25">
      <c r="A6003" s="41">
        <v>423223</v>
      </c>
      <c r="B6003" s="39" t="s">
        <v>7546</v>
      </c>
      <c r="C6003" s="40">
        <v>4</v>
      </c>
      <c r="D6003" s="38" t="s">
        <v>266</v>
      </c>
    </row>
    <row r="6004" spans="1:4" x14ac:dyDescent="0.25">
      <c r="A6004" s="41">
        <v>423226</v>
      </c>
      <c r="B6004" s="39" t="s">
        <v>7547</v>
      </c>
      <c r="C6004" s="40">
        <v>4</v>
      </c>
      <c r="D6004" s="38" t="s">
        <v>266</v>
      </c>
    </row>
    <row r="6005" spans="1:4" x14ac:dyDescent="0.25">
      <c r="A6005" s="41">
        <v>423229</v>
      </c>
      <c r="B6005" s="39" t="s">
        <v>7548</v>
      </c>
      <c r="C6005" s="40">
        <v>4</v>
      </c>
      <c r="D6005" s="38" t="s">
        <v>266</v>
      </c>
    </row>
    <row r="6006" spans="1:4" x14ac:dyDescent="0.25">
      <c r="A6006" s="41">
        <v>423233</v>
      </c>
      <c r="B6006" s="39" t="s">
        <v>7549</v>
      </c>
      <c r="C6006" s="40">
        <v>4</v>
      </c>
      <c r="D6006" s="38" t="s">
        <v>266</v>
      </c>
    </row>
    <row r="6007" spans="1:4" x14ac:dyDescent="0.25">
      <c r="A6007" s="41">
        <v>423236</v>
      </c>
      <c r="B6007" s="39" t="s">
        <v>7550</v>
      </c>
      <c r="C6007" s="40">
        <v>4</v>
      </c>
      <c r="D6007" s="38" t="s">
        <v>266</v>
      </c>
    </row>
    <row r="6008" spans="1:4" x14ac:dyDescent="0.25">
      <c r="A6008" s="41">
        <v>423239</v>
      </c>
      <c r="B6008" s="39" t="s">
        <v>7551</v>
      </c>
      <c r="C6008" s="40">
        <v>4</v>
      </c>
      <c r="D6008" s="38" t="s">
        <v>266</v>
      </c>
    </row>
    <row r="6009" spans="1:4" x14ac:dyDescent="0.25">
      <c r="A6009" s="41">
        <v>423243</v>
      </c>
      <c r="B6009" s="39" t="s">
        <v>7552</v>
      </c>
      <c r="C6009" s="40">
        <v>4</v>
      </c>
      <c r="D6009" s="38" t="s">
        <v>266</v>
      </c>
    </row>
    <row r="6010" spans="1:4" x14ac:dyDescent="0.25">
      <c r="A6010" s="41">
        <v>430000</v>
      </c>
      <c r="B6010" s="39" t="s">
        <v>7553</v>
      </c>
      <c r="C6010" s="40">
        <v>2</v>
      </c>
      <c r="D6010" s="38" t="s">
        <v>266</v>
      </c>
    </row>
    <row r="6011" spans="1:4" x14ac:dyDescent="0.25">
      <c r="A6011" s="41">
        <v>430100</v>
      </c>
      <c r="B6011" s="39" t="s">
        <v>7554</v>
      </c>
      <c r="C6011" s="40">
        <v>3</v>
      </c>
      <c r="D6011" s="38" t="s">
        <v>266</v>
      </c>
    </row>
    <row r="6012" spans="1:4" x14ac:dyDescent="0.25">
      <c r="A6012" s="41">
        <v>430110</v>
      </c>
      <c r="B6012" s="39" t="s">
        <v>7555</v>
      </c>
      <c r="C6012" s="40">
        <v>4</v>
      </c>
      <c r="D6012" s="38" t="s">
        <v>266</v>
      </c>
    </row>
    <row r="6013" spans="1:4" x14ac:dyDescent="0.25">
      <c r="A6013" s="42">
        <v>430110.13</v>
      </c>
      <c r="B6013" s="39" t="s">
        <v>7556</v>
      </c>
      <c r="C6013" s="40">
        <v>5</v>
      </c>
      <c r="D6013" s="38" t="s">
        <v>266</v>
      </c>
    </row>
    <row r="6014" spans="1:4" x14ac:dyDescent="0.25">
      <c r="A6014" s="42">
        <v>430110.16</v>
      </c>
      <c r="B6014" s="39" t="s">
        <v>7557</v>
      </c>
      <c r="C6014" s="40">
        <v>5</v>
      </c>
      <c r="D6014" s="38" t="s">
        <v>266</v>
      </c>
    </row>
    <row r="6015" spans="1:4" x14ac:dyDescent="0.25">
      <c r="A6015" s="41">
        <v>430120</v>
      </c>
      <c r="B6015" s="39" t="s">
        <v>7558</v>
      </c>
      <c r="C6015" s="40">
        <v>4</v>
      </c>
      <c r="D6015" s="38" t="s">
        <v>266</v>
      </c>
    </row>
    <row r="6016" spans="1:4" x14ac:dyDescent="0.25">
      <c r="A6016" s="42">
        <v>430120.13</v>
      </c>
      <c r="B6016" s="39" t="s">
        <v>7559</v>
      </c>
      <c r="C6016" s="40">
        <v>5</v>
      </c>
      <c r="D6016" s="38" t="s">
        <v>266</v>
      </c>
    </row>
    <row r="6017" spans="1:4" x14ac:dyDescent="0.25">
      <c r="A6017" s="42">
        <v>430120.16</v>
      </c>
      <c r="B6017" s="39" t="s">
        <v>7560</v>
      </c>
      <c r="C6017" s="40">
        <v>5</v>
      </c>
      <c r="D6017" s="38" t="s">
        <v>266</v>
      </c>
    </row>
    <row r="6018" spans="1:4" x14ac:dyDescent="0.25">
      <c r="A6018" s="41">
        <v>430130</v>
      </c>
      <c r="B6018" s="39" t="s">
        <v>7561</v>
      </c>
      <c r="C6018" s="40">
        <v>4</v>
      </c>
      <c r="D6018" s="38" t="s">
        <v>266</v>
      </c>
    </row>
    <row r="6019" spans="1:4" x14ac:dyDescent="0.25">
      <c r="A6019" s="41">
        <v>430140</v>
      </c>
      <c r="B6019" s="39" t="s">
        <v>7562</v>
      </c>
      <c r="C6019" s="40">
        <v>4</v>
      </c>
      <c r="D6019" s="38" t="s">
        <v>266</v>
      </c>
    </row>
    <row r="6020" spans="1:4" x14ac:dyDescent="0.25">
      <c r="A6020" s="42">
        <v>430140.13</v>
      </c>
      <c r="B6020" s="39" t="s">
        <v>7563</v>
      </c>
      <c r="C6020" s="40">
        <v>5</v>
      </c>
      <c r="D6020" s="38" t="s">
        <v>266</v>
      </c>
    </row>
    <row r="6021" spans="1:4" x14ac:dyDescent="0.25">
      <c r="A6021" s="42">
        <v>430140.15999999997</v>
      </c>
      <c r="B6021" s="39" t="s">
        <v>7564</v>
      </c>
      <c r="C6021" s="40">
        <v>5</v>
      </c>
      <c r="D6021" s="38" t="s">
        <v>266</v>
      </c>
    </row>
    <row r="6022" spans="1:4" x14ac:dyDescent="0.25">
      <c r="A6022" s="41">
        <v>430500</v>
      </c>
      <c r="B6022" s="39" t="s">
        <v>7565</v>
      </c>
      <c r="C6022" s="40">
        <v>3</v>
      </c>
      <c r="D6022" s="38" t="s">
        <v>266</v>
      </c>
    </row>
    <row r="6023" spans="1:4" x14ac:dyDescent="0.25">
      <c r="A6023" s="41">
        <v>430510</v>
      </c>
      <c r="B6023" s="39" t="s">
        <v>7566</v>
      </c>
      <c r="C6023" s="40">
        <v>4</v>
      </c>
      <c r="D6023" s="38" t="s">
        <v>266</v>
      </c>
    </row>
    <row r="6024" spans="1:4" x14ac:dyDescent="0.25">
      <c r="A6024" s="41">
        <v>430520</v>
      </c>
      <c r="B6024" s="39" t="s">
        <v>7567</v>
      </c>
      <c r="C6024" s="40">
        <v>4</v>
      </c>
      <c r="D6024" s="38" t="s">
        <v>266</v>
      </c>
    </row>
    <row r="6025" spans="1:4" x14ac:dyDescent="0.25">
      <c r="A6025" s="41">
        <v>430530</v>
      </c>
      <c r="B6025" s="39" t="s">
        <v>7568</v>
      </c>
      <c r="C6025" s="40">
        <v>4</v>
      </c>
      <c r="D6025" s="38" t="s">
        <v>266</v>
      </c>
    </row>
    <row r="6026" spans="1:4" x14ac:dyDescent="0.25">
      <c r="A6026" s="41">
        <v>430540</v>
      </c>
      <c r="B6026" s="39" t="s">
        <v>7569</v>
      </c>
      <c r="C6026" s="40">
        <v>4</v>
      </c>
      <c r="D6026" s="38" t="s">
        <v>266</v>
      </c>
    </row>
    <row r="6027" spans="1:4" x14ac:dyDescent="0.25">
      <c r="A6027" s="41">
        <v>430800</v>
      </c>
      <c r="B6027" s="39" t="s">
        <v>7570</v>
      </c>
      <c r="C6027" s="40">
        <v>3</v>
      </c>
      <c r="D6027" s="38" t="s">
        <v>266</v>
      </c>
    </row>
    <row r="6028" spans="1:4" x14ac:dyDescent="0.25">
      <c r="A6028" s="41">
        <v>430810</v>
      </c>
      <c r="B6028" s="39" t="s">
        <v>7571</v>
      </c>
      <c r="C6028" s="40">
        <v>4</v>
      </c>
      <c r="D6028" s="38" t="s">
        <v>266</v>
      </c>
    </row>
    <row r="6029" spans="1:4" x14ac:dyDescent="0.25">
      <c r="A6029" s="41">
        <v>430820</v>
      </c>
      <c r="B6029" s="39" t="s">
        <v>7572</v>
      </c>
      <c r="C6029" s="40">
        <v>4</v>
      </c>
      <c r="D6029" s="38" t="s">
        <v>266</v>
      </c>
    </row>
    <row r="6030" spans="1:4" x14ac:dyDescent="0.25">
      <c r="A6030" s="41">
        <v>430830</v>
      </c>
      <c r="B6030" s="39" t="s">
        <v>7573</v>
      </c>
      <c r="C6030" s="40">
        <v>4</v>
      </c>
      <c r="D6030" s="38" t="s">
        <v>266</v>
      </c>
    </row>
    <row r="6031" spans="1:4" x14ac:dyDescent="0.25">
      <c r="A6031" s="41">
        <v>430840</v>
      </c>
      <c r="B6031" s="39" t="s">
        <v>7574</v>
      </c>
      <c r="C6031" s="40">
        <v>4</v>
      </c>
      <c r="D6031" s="38" t="s">
        <v>266</v>
      </c>
    </row>
    <row r="6032" spans="1:4" x14ac:dyDescent="0.25">
      <c r="A6032" s="41">
        <v>431000</v>
      </c>
      <c r="B6032" s="39" t="s">
        <v>7575</v>
      </c>
      <c r="C6032" s="40">
        <v>3</v>
      </c>
      <c r="D6032" s="38" t="s">
        <v>266</v>
      </c>
    </row>
    <row r="6033" spans="1:4" x14ac:dyDescent="0.25">
      <c r="A6033" s="41">
        <v>431100</v>
      </c>
      <c r="B6033" s="39" t="s">
        <v>7576</v>
      </c>
      <c r="C6033" s="40">
        <v>3</v>
      </c>
      <c r="D6033" s="38" t="s">
        <v>266</v>
      </c>
    </row>
    <row r="6034" spans="1:4" x14ac:dyDescent="0.25">
      <c r="A6034" s="41">
        <v>431111</v>
      </c>
      <c r="B6034" s="39" t="s">
        <v>7577</v>
      </c>
      <c r="C6034" s="40">
        <v>4</v>
      </c>
      <c r="D6034" s="38" t="s">
        <v>266</v>
      </c>
    </row>
    <row r="6035" spans="1:4" x14ac:dyDescent="0.25">
      <c r="A6035" s="41">
        <v>431112</v>
      </c>
      <c r="B6035" s="39" t="s">
        <v>7578</v>
      </c>
      <c r="C6035" s="40">
        <v>4</v>
      </c>
      <c r="D6035" s="38" t="s">
        <v>266</v>
      </c>
    </row>
    <row r="6036" spans="1:4" x14ac:dyDescent="0.25">
      <c r="A6036" s="41">
        <v>431113</v>
      </c>
      <c r="B6036" s="39" t="s">
        <v>7579</v>
      </c>
      <c r="C6036" s="40">
        <v>4</v>
      </c>
      <c r="D6036" s="38" t="s">
        <v>266</v>
      </c>
    </row>
    <row r="6037" spans="1:4" x14ac:dyDescent="0.25">
      <c r="A6037" s="41">
        <v>431114</v>
      </c>
      <c r="B6037" s="39" t="s">
        <v>7580</v>
      </c>
      <c r="C6037" s="40">
        <v>4</v>
      </c>
      <c r="D6037" s="38" t="s">
        <v>266</v>
      </c>
    </row>
    <row r="6038" spans="1:4" x14ac:dyDescent="0.25">
      <c r="A6038" s="41">
        <v>431117</v>
      </c>
      <c r="B6038" s="39" t="s">
        <v>7581</v>
      </c>
      <c r="C6038" s="40">
        <v>4</v>
      </c>
      <c r="D6038" s="38" t="s">
        <v>266</v>
      </c>
    </row>
    <row r="6039" spans="1:4" x14ac:dyDescent="0.25">
      <c r="A6039" s="41">
        <v>431118</v>
      </c>
      <c r="B6039" s="39" t="s">
        <v>7582</v>
      </c>
      <c r="C6039" s="40">
        <v>4</v>
      </c>
      <c r="D6039" s="38" t="s">
        <v>266</v>
      </c>
    </row>
    <row r="6040" spans="1:4" x14ac:dyDescent="0.25">
      <c r="A6040" s="41">
        <v>431119</v>
      </c>
      <c r="B6040" s="39" t="s">
        <v>7583</v>
      </c>
      <c r="C6040" s="40">
        <v>4</v>
      </c>
      <c r="D6040" s="38" t="s">
        <v>266</v>
      </c>
    </row>
    <row r="6041" spans="1:4" x14ac:dyDescent="0.25">
      <c r="A6041" s="41">
        <v>431123</v>
      </c>
      <c r="B6041" s="39" t="s">
        <v>7584</v>
      </c>
      <c r="C6041" s="40">
        <v>4</v>
      </c>
      <c r="D6041" s="38" t="s">
        <v>266</v>
      </c>
    </row>
    <row r="6042" spans="1:4" x14ac:dyDescent="0.25">
      <c r="A6042" s="41">
        <v>431126</v>
      </c>
      <c r="B6042" s="39" t="s">
        <v>7585</v>
      </c>
      <c r="C6042" s="40">
        <v>4</v>
      </c>
      <c r="D6042" s="38" t="s">
        <v>266</v>
      </c>
    </row>
    <row r="6043" spans="1:4" x14ac:dyDescent="0.25">
      <c r="A6043" s="41">
        <v>431131</v>
      </c>
      <c r="B6043" s="39" t="s">
        <v>7586</v>
      </c>
      <c r="C6043" s="40">
        <v>4</v>
      </c>
      <c r="D6043" s="38" t="s">
        <v>266</v>
      </c>
    </row>
    <row r="6044" spans="1:4" x14ac:dyDescent="0.25">
      <c r="A6044" s="41">
        <v>431133</v>
      </c>
      <c r="B6044" s="39" t="s">
        <v>7587</v>
      </c>
      <c r="C6044" s="40">
        <v>4</v>
      </c>
      <c r="D6044" s="38" t="s">
        <v>266</v>
      </c>
    </row>
    <row r="6045" spans="1:4" x14ac:dyDescent="0.25">
      <c r="A6045" s="41">
        <v>431134</v>
      </c>
      <c r="B6045" s="39" t="s">
        <v>7588</v>
      </c>
      <c r="C6045" s="40">
        <v>4</v>
      </c>
      <c r="D6045" s="38" t="s">
        <v>266</v>
      </c>
    </row>
    <row r="6046" spans="1:4" x14ac:dyDescent="0.25">
      <c r="A6046" s="41">
        <v>431136</v>
      </c>
      <c r="B6046" s="39" t="s">
        <v>7589</v>
      </c>
      <c r="C6046" s="40">
        <v>4</v>
      </c>
      <c r="D6046" s="38" t="s">
        <v>266</v>
      </c>
    </row>
    <row r="6047" spans="1:4" x14ac:dyDescent="0.25">
      <c r="A6047" s="41">
        <v>431141</v>
      </c>
      <c r="B6047" s="39" t="s">
        <v>7590</v>
      </c>
      <c r="C6047" s="40">
        <v>4</v>
      </c>
      <c r="D6047" s="38" t="s">
        <v>266</v>
      </c>
    </row>
    <row r="6048" spans="1:4" x14ac:dyDescent="0.25">
      <c r="A6048" s="41">
        <v>431143</v>
      </c>
      <c r="B6048" s="39" t="s">
        <v>7591</v>
      </c>
      <c r="C6048" s="40">
        <v>4</v>
      </c>
      <c r="D6048" s="38" t="s">
        <v>266</v>
      </c>
    </row>
    <row r="6049" spans="1:4" x14ac:dyDescent="0.25">
      <c r="A6049" s="41">
        <v>431146</v>
      </c>
      <c r="B6049" s="39" t="s">
        <v>7592</v>
      </c>
      <c r="C6049" s="40">
        <v>4</v>
      </c>
      <c r="D6049" s="38" t="s">
        <v>266</v>
      </c>
    </row>
    <row r="6050" spans="1:4" x14ac:dyDescent="0.25">
      <c r="A6050" s="41">
        <v>431200</v>
      </c>
      <c r="B6050" s="39" t="s">
        <v>7593</v>
      </c>
      <c r="C6050" s="40">
        <v>3</v>
      </c>
      <c r="D6050" s="38" t="s">
        <v>266</v>
      </c>
    </row>
    <row r="6051" spans="1:4" x14ac:dyDescent="0.25">
      <c r="A6051" s="41">
        <v>431211</v>
      </c>
      <c r="B6051" s="39" t="s">
        <v>7594</v>
      </c>
      <c r="C6051" s="40">
        <v>4</v>
      </c>
      <c r="D6051" s="38" t="s">
        <v>266</v>
      </c>
    </row>
    <row r="6052" spans="1:4" x14ac:dyDescent="0.25">
      <c r="A6052" s="41">
        <v>431213</v>
      </c>
      <c r="B6052" s="39" t="s">
        <v>7595</v>
      </c>
      <c r="C6052" s="40">
        <v>4</v>
      </c>
      <c r="D6052" s="38" t="s">
        <v>266</v>
      </c>
    </row>
    <row r="6053" spans="1:4" x14ac:dyDescent="0.25">
      <c r="A6053" s="41">
        <v>431216</v>
      </c>
      <c r="B6053" s="39" t="s">
        <v>7596</v>
      </c>
      <c r="C6053" s="40">
        <v>4</v>
      </c>
      <c r="D6053" s="38" t="s">
        <v>266</v>
      </c>
    </row>
    <row r="6054" spans="1:4" x14ac:dyDescent="0.25">
      <c r="A6054" s="41">
        <v>431233</v>
      </c>
      <c r="B6054" s="39" t="s">
        <v>7597</v>
      </c>
      <c r="C6054" s="40">
        <v>4</v>
      </c>
      <c r="D6054" s="38" t="s">
        <v>266</v>
      </c>
    </row>
    <row r="6055" spans="1:4" x14ac:dyDescent="0.25">
      <c r="A6055" s="41">
        <v>431234</v>
      </c>
      <c r="B6055" s="39" t="s">
        <v>7598</v>
      </c>
      <c r="C6055" s="40">
        <v>4</v>
      </c>
      <c r="D6055" s="38" t="s">
        <v>266</v>
      </c>
    </row>
    <row r="6056" spans="1:4" x14ac:dyDescent="0.25">
      <c r="A6056" s="41">
        <v>431237</v>
      </c>
      <c r="B6056" s="39" t="s">
        <v>7599</v>
      </c>
      <c r="C6056" s="40">
        <v>4</v>
      </c>
      <c r="D6056" s="38" t="s">
        <v>266</v>
      </c>
    </row>
    <row r="6057" spans="1:4" x14ac:dyDescent="0.25">
      <c r="A6057" s="41">
        <v>431251</v>
      </c>
      <c r="B6057" s="39" t="s">
        <v>7600</v>
      </c>
      <c r="C6057" s="40">
        <v>4</v>
      </c>
      <c r="D6057" s="38" t="s">
        <v>266</v>
      </c>
    </row>
    <row r="6058" spans="1:4" x14ac:dyDescent="0.25">
      <c r="A6058" s="41">
        <v>431253</v>
      </c>
      <c r="B6058" s="39" t="s">
        <v>7601</v>
      </c>
      <c r="C6058" s="40">
        <v>4</v>
      </c>
      <c r="D6058" s="38" t="s">
        <v>266</v>
      </c>
    </row>
    <row r="6059" spans="1:4" x14ac:dyDescent="0.25">
      <c r="A6059" s="41">
        <v>431256</v>
      </c>
      <c r="B6059" s="39" t="s">
        <v>7602</v>
      </c>
      <c r="C6059" s="40">
        <v>4</v>
      </c>
      <c r="D6059" s="38" t="s">
        <v>266</v>
      </c>
    </row>
    <row r="6060" spans="1:4" x14ac:dyDescent="0.25">
      <c r="A6060" s="41">
        <v>431257</v>
      </c>
      <c r="B6060" s="39" t="s">
        <v>7603</v>
      </c>
      <c r="C6060" s="40">
        <v>4</v>
      </c>
      <c r="D6060" s="38" t="s">
        <v>266</v>
      </c>
    </row>
    <row r="6061" spans="1:4" x14ac:dyDescent="0.25">
      <c r="A6061" s="41">
        <v>431300</v>
      </c>
      <c r="B6061" s="39" t="s">
        <v>7604</v>
      </c>
      <c r="C6061" s="40">
        <v>3</v>
      </c>
      <c r="D6061" s="38" t="s">
        <v>266</v>
      </c>
    </row>
    <row r="6062" spans="1:4" x14ac:dyDescent="0.25">
      <c r="A6062" s="41">
        <v>431313</v>
      </c>
      <c r="B6062" s="39" t="s">
        <v>7605</v>
      </c>
      <c r="C6062" s="40">
        <v>4</v>
      </c>
      <c r="D6062" s="38" t="s">
        <v>266</v>
      </c>
    </row>
    <row r="6063" spans="1:4" x14ac:dyDescent="0.25">
      <c r="A6063" s="41">
        <v>431319</v>
      </c>
      <c r="B6063" s="39" t="s">
        <v>7606</v>
      </c>
      <c r="C6063" s="40">
        <v>4</v>
      </c>
      <c r="D6063" s="38" t="s">
        <v>266</v>
      </c>
    </row>
    <row r="6064" spans="1:4" x14ac:dyDescent="0.25">
      <c r="A6064" s="41">
        <v>431323</v>
      </c>
      <c r="B6064" s="39" t="s">
        <v>7607</v>
      </c>
      <c r="C6064" s="40">
        <v>4</v>
      </c>
      <c r="D6064" s="38" t="s">
        <v>266</v>
      </c>
    </row>
    <row r="6065" spans="1:4" x14ac:dyDescent="0.25">
      <c r="A6065" s="41">
        <v>431331</v>
      </c>
      <c r="B6065" s="39" t="s">
        <v>7608</v>
      </c>
      <c r="C6065" s="40">
        <v>4</v>
      </c>
      <c r="D6065" s="38" t="s">
        <v>266</v>
      </c>
    </row>
    <row r="6066" spans="1:4" x14ac:dyDescent="0.25">
      <c r="A6066" s="41">
        <v>431333</v>
      </c>
      <c r="B6066" s="39" t="s">
        <v>7609</v>
      </c>
      <c r="C6066" s="40">
        <v>4</v>
      </c>
      <c r="D6066" s="38" t="s">
        <v>266</v>
      </c>
    </row>
    <row r="6067" spans="1:4" x14ac:dyDescent="0.25">
      <c r="A6067" s="41">
        <v>431336</v>
      </c>
      <c r="B6067" s="39" t="s">
        <v>7610</v>
      </c>
      <c r="C6067" s="40">
        <v>4</v>
      </c>
      <c r="D6067" s="38" t="s">
        <v>266</v>
      </c>
    </row>
    <row r="6068" spans="1:4" x14ac:dyDescent="0.25">
      <c r="A6068" s="41">
        <v>431339</v>
      </c>
      <c r="B6068" s="39" t="s">
        <v>7611</v>
      </c>
      <c r="C6068" s="40">
        <v>4</v>
      </c>
      <c r="D6068" s="38" t="s">
        <v>266</v>
      </c>
    </row>
    <row r="6069" spans="1:4" x14ac:dyDescent="0.25">
      <c r="A6069" s="41">
        <v>431343</v>
      </c>
      <c r="B6069" s="39" t="s">
        <v>7612</v>
      </c>
      <c r="C6069" s="40">
        <v>4</v>
      </c>
      <c r="D6069" s="38" t="s">
        <v>266</v>
      </c>
    </row>
    <row r="6070" spans="1:4" x14ac:dyDescent="0.25">
      <c r="A6070" s="41">
        <v>431346</v>
      </c>
      <c r="B6070" s="39" t="s">
        <v>7613</v>
      </c>
      <c r="C6070" s="40">
        <v>4</v>
      </c>
      <c r="D6070" s="38" t="s">
        <v>266</v>
      </c>
    </row>
    <row r="6071" spans="1:4" x14ac:dyDescent="0.25">
      <c r="A6071" s="41">
        <v>431500</v>
      </c>
      <c r="B6071" s="39" t="s">
        <v>7614</v>
      </c>
      <c r="C6071" s="40">
        <v>3</v>
      </c>
      <c r="D6071" s="38" t="s">
        <v>266</v>
      </c>
    </row>
    <row r="6072" spans="1:4" x14ac:dyDescent="0.25">
      <c r="A6072" s="41">
        <v>431513</v>
      </c>
      <c r="B6072" s="39" t="s">
        <v>7615</v>
      </c>
      <c r="C6072" s="40">
        <v>4</v>
      </c>
      <c r="D6072" s="38" t="s">
        <v>266</v>
      </c>
    </row>
    <row r="6073" spans="1:4" x14ac:dyDescent="0.25">
      <c r="A6073" s="42">
        <v>431513.13</v>
      </c>
      <c r="B6073" s="39" t="s">
        <v>7616</v>
      </c>
      <c r="C6073" s="40">
        <v>5</v>
      </c>
      <c r="D6073" s="38" t="s">
        <v>266</v>
      </c>
    </row>
    <row r="6074" spans="1:4" x14ac:dyDescent="0.25">
      <c r="A6074" s="42">
        <v>431513.16</v>
      </c>
      <c r="B6074" s="39" t="s">
        <v>7617</v>
      </c>
      <c r="C6074" s="40">
        <v>5</v>
      </c>
      <c r="D6074" s="38" t="s">
        <v>266</v>
      </c>
    </row>
    <row r="6075" spans="1:4" x14ac:dyDescent="0.25">
      <c r="A6075" s="42">
        <v>431513.19</v>
      </c>
      <c r="B6075" s="39" t="s">
        <v>7618</v>
      </c>
      <c r="C6075" s="40">
        <v>5</v>
      </c>
      <c r="D6075" s="38" t="s">
        <v>266</v>
      </c>
    </row>
    <row r="6076" spans="1:4" x14ac:dyDescent="0.25">
      <c r="A6076" s="42">
        <v>431513.23</v>
      </c>
      <c r="B6076" s="39" t="s">
        <v>7619</v>
      </c>
      <c r="C6076" s="40">
        <v>5</v>
      </c>
      <c r="D6076" s="38" t="s">
        <v>266</v>
      </c>
    </row>
    <row r="6077" spans="1:4" x14ac:dyDescent="0.25">
      <c r="A6077" s="41">
        <v>431533</v>
      </c>
      <c r="B6077" s="39" t="s">
        <v>7620</v>
      </c>
      <c r="C6077" s="40">
        <v>4</v>
      </c>
      <c r="D6077" s="38" t="s">
        <v>266</v>
      </c>
    </row>
    <row r="6078" spans="1:4" x14ac:dyDescent="0.25">
      <c r="A6078" s="41">
        <v>431543</v>
      </c>
      <c r="B6078" s="39" t="s">
        <v>7621</v>
      </c>
      <c r="C6078" s="40">
        <v>4</v>
      </c>
      <c r="D6078" s="38" t="s">
        <v>266</v>
      </c>
    </row>
    <row r="6079" spans="1:4" x14ac:dyDescent="0.25">
      <c r="A6079" s="41">
        <v>431563</v>
      </c>
      <c r="B6079" s="39" t="s">
        <v>7622</v>
      </c>
      <c r="C6079" s="40">
        <v>4</v>
      </c>
      <c r="D6079" s="38" t="s">
        <v>266</v>
      </c>
    </row>
    <row r="6080" spans="1:4" x14ac:dyDescent="0.25">
      <c r="A6080" s="41">
        <v>431573</v>
      </c>
      <c r="B6080" s="39" t="s">
        <v>7623</v>
      </c>
      <c r="C6080" s="40">
        <v>4</v>
      </c>
      <c r="D6080" s="38" t="s">
        <v>266</v>
      </c>
    </row>
    <row r="6081" spans="1:4" x14ac:dyDescent="0.25">
      <c r="A6081" s="42">
        <v>431573.11</v>
      </c>
      <c r="B6081" s="39" t="s">
        <v>7624</v>
      </c>
      <c r="C6081" s="40">
        <v>5</v>
      </c>
      <c r="D6081" s="38" t="s">
        <v>266</v>
      </c>
    </row>
    <row r="6082" spans="1:4" x14ac:dyDescent="0.25">
      <c r="A6082" s="42">
        <v>431573.12</v>
      </c>
      <c r="B6082" s="39" t="s">
        <v>7625</v>
      </c>
      <c r="C6082" s="40">
        <v>5</v>
      </c>
      <c r="D6082" s="38" t="s">
        <v>266</v>
      </c>
    </row>
    <row r="6083" spans="1:4" x14ac:dyDescent="0.25">
      <c r="A6083" s="42">
        <v>431573.13</v>
      </c>
      <c r="B6083" s="39" t="s">
        <v>7626</v>
      </c>
      <c r="C6083" s="40">
        <v>5</v>
      </c>
      <c r="D6083" s="38" t="s">
        <v>266</v>
      </c>
    </row>
    <row r="6084" spans="1:4" x14ac:dyDescent="0.25">
      <c r="A6084" s="42">
        <v>431573.15</v>
      </c>
      <c r="B6084" s="39" t="s">
        <v>7627</v>
      </c>
      <c r="C6084" s="40">
        <v>5</v>
      </c>
      <c r="D6084" s="38" t="s">
        <v>266</v>
      </c>
    </row>
    <row r="6085" spans="1:4" x14ac:dyDescent="0.25">
      <c r="A6085" s="42">
        <v>431573.17</v>
      </c>
      <c r="B6085" s="39" t="s">
        <v>7628</v>
      </c>
      <c r="C6085" s="40">
        <v>5</v>
      </c>
      <c r="D6085" s="38" t="s">
        <v>266</v>
      </c>
    </row>
    <row r="6086" spans="1:4" x14ac:dyDescent="0.25">
      <c r="A6086" s="41">
        <v>431576</v>
      </c>
      <c r="B6086" s="39" t="s">
        <v>7629</v>
      </c>
      <c r="C6086" s="40">
        <v>4</v>
      </c>
      <c r="D6086" s="38" t="s">
        <v>266</v>
      </c>
    </row>
    <row r="6087" spans="1:4" x14ac:dyDescent="0.25">
      <c r="A6087" s="41">
        <v>432000</v>
      </c>
      <c r="B6087" s="39" t="s">
        <v>7630</v>
      </c>
      <c r="C6087" s="40">
        <v>3</v>
      </c>
      <c r="D6087" s="38" t="s">
        <v>266</v>
      </c>
    </row>
    <row r="6088" spans="1:4" x14ac:dyDescent="0.25">
      <c r="A6088" s="41">
        <v>432100</v>
      </c>
      <c r="B6088" s="39" t="s">
        <v>7631</v>
      </c>
      <c r="C6088" s="40">
        <v>3</v>
      </c>
      <c r="D6088" s="38" t="s">
        <v>266</v>
      </c>
    </row>
    <row r="6089" spans="1:4" x14ac:dyDescent="0.25">
      <c r="A6089" s="41">
        <v>432113</v>
      </c>
      <c r="B6089" s="39" t="s">
        <v>7632</v>
      </c>
      <c r="C6089" s="40">
        <v>4</v>
      </c>
      <c r="D6089" s="38" t="s">
        <v>266</v>
      </c>
    </row>
    <row r="6090" spans="1:4" x14ac:dyDescent="0.25">
      <c r="A6090" s="41">
        <v>432116</v>
      </c>
      <c r="B6090" s="39" t="s">
        <v>7633</v>
      </c>
      <c r="C6090" s="40">
        <v>4</v>
      </c>
      <c r="D6090" s="38" t="s">
        <v>266</v>
      </c>
    </row>
    <row r="6091" spans="1:4" x14ac:dyDescent="0.25">
      <c r="A6091" s="41">
        <v>432119</v>
      </c>
      <c r="B6091" s="39" t="s">
        <v>7634</v>
      </c>
      <c r="C6091" s="40">
        <v>4</v>
      </c>
      <c r="D6091" s="38" t="s">
        <v>266</v>
      </c>
    </row>
    <row r="6092" spans="1:4" x14ac:dyDescent="0.25">
      <c r="A6092" s="41">
        <v>432123</v>
      </c>
      <c r="B6092" s="39" t="s">
        <v>7635</v>
      </c>
      <c r="C6092" s="40">
        <v>4</v>
      </c>
      <c r="D6092" s="38" t="s">
        <v>266</v>
      </c>
    </row>
    <row r="6093" spans="1:4" x14ac:dyDescent="0.25">
      <c r="A6093" s="41">
        <v>432126</v>
      </c>
      <c r="B6093" s="39" t="s">
        <v>7636</v>
      </c>
      <c r="C6093" s="40">
        <v>4</v>
      </c>
      <c r="D6093" s="38" t="s">
        <v>266</v>
      </c>
    </row>
    <row r="6094" spans="1:4" x14ac:dyDescent="0.25">
      <c r="A6094" s="41">
        <v>432129</v>
      </c>
      <c r="B6094" s="39" t="s">
        <v>7637</v>
      </c>
      <c r="C6094" s="40">
        <v>4</v>
      </c>
      <c r="D6094" s="38" t="s">
        <v>266</v>
      </c>
    </row>
    <row r="6095" spans="1:4" x14ac:dyDescent="0.25">
      <c r="A6095" s="41">
        <v>432133</v>
      </c>
      <c r="B6095" s="39" t="s">
        <v>7638</v>
      </c>
      <c r="C6095" s="40">
        <v>4</v>
      </c>
      <c r="D6095" s="38" t="s">
        <v>266</v>
      </c>
    </row>
    <row r="6096" spans="1:4" x14ac:dyDescent="0.25">
      <c r="A6096" s="41">
        <v>432136</v>
      </c>
      <c r="B6096" s="39" t="s">
        <v>7639</v>
      </c>
      <c r="C6096" s="40">
        <v>4</v>
      </c>
      <c r="D6096" s="38" t="s">
        <v>266</v>
      </c>
    </row>
    <row r="6097" spans="1:4" x14ac:dyDescent="0.25">
      <c r="A6097" s="41">
        <v>432139</v>
      </c>
      <c r="B6097" s="39" t="s">
        <v>7640</v>
      </c>
      <c r="C6097" s="40">
        <v>4</v>
      </c>
      <c r="D6097" s="38" t="s">
        <v>266</v>
      </c>
    </row>
    <row r="6098" spans="1:4" x14ac:dyDescent="0.25">
      <c r="A6098" s="41">
        <v>432143</v>
      </c>
      <c r="B6098" s="39" t="s">
        <v>7641</v>
      </c>
      <c r="C6098" s="40">
        <v>4</v>
      </c>
      <c r="D6098" s="38" t="s">
        <v>266</v>
      </c>
    </row>
    <row r="6099" spans="1:4" x14ac:dyDescent="0.25">
      <c r="A6099" s="41">
        <v>432146</v>
      </c>
      <c r="B6099" s="39" t="s">
        <v>7642</v>
      </c>
      <c r="C6099" s="40">
        <v>4</v>
      </c>
      <c r="D6099" s="38" t="s">
        <v>266</v>
      </c>
    </row>
    <row r="6100" spans="1:4" x14ac:dyDescent="0.25">
      <c r="A6100" s="41">
        <v>432200</v>
      </c>
      <c r="B6100" s="39" t="s">
        <v>7643</v>
      </c>
      <c r="C6100" s="40">
        <v>3</v>
      </c>
      <c r="D6100" s="38" t="s">
        <v>266</v>
      </c>
    </row>
    <row r="6101" spans="1:4" x14ac:dyDescent="0.25">
      <c r="A6101" s="41">
        <v>432213</v>
      </c>
      <c r="B6101" s="39" t="s">
        <v>7644</v>
      </c>
      <c r="C6101" s="40">
        <v>4</v>
      </c>
      <c r="D6101" s="38" t="s">
        <v>266</v>
      </c>
    </row>
    <row r="6102" spans="1:4" x14ac:dyDescent="0.25">
      <c r="A6102" s="41">
        <v>432216</v>
      </c>
      <c r="B6102" s="39" t="s">
        <v>7645</v>
      </c>
      <c r="C6102" s="40">
        <v>4</v>
      </c>
      <c r="D6102" s="38" t="s">
        <v>266</v>
      </c>
    </row>
    <row r="6103" spans="1:4" x14ac:dyDescent="0.25">
      <c r="A6103" s="41">
        <v>432219</v>
      </c>
      <c r="B6103" s="39" t="s">
        <v>7646</v>
      </c>
      <c r="C6103" s="40">
        <v>4</v>
      </c>
      <c r="D6103" s="38" t="s">
        <v>266</v>
      </c>
    </row>
    <row r="6104" spans="1:4" x14ac:dyDescent="0.25">
      <c r="A6104" s="41">
        <v>432223</v>
      </c>
      <c r="B6104" s="39" t="s">
        <v>7647</v>
      </c>
      <c r="C6104" s="40">
        <v>4</v>
      </c>
      <c r="D6104" s="38" t="s">
        <v>266</v>
      </c>
    </row>
    <row r="6105" spans="1:4" x14ac:dyDescent="0.25">
      <c r="A6105" s="41">
        <v>432226</v>
      </c>
      <c r="B6105" s="39" t="s">
        <v>7648</v>
      </c>
      <c r="C6105" s="40">
        <v>4</v>
      </c>
      <c r="D6105" s="38" t="s">
        <v>266</v>
      </c>
    </row>
    <row r="6106" spans="1:4" x14ac:dyDescent="0.25">
      <c r="A6106" s="41">
        <v>432229</v>
      </c>
      <c r="B6106" s="39" t="s">
        <v>7649</v>
      </c>
      <c r="C6106" s="40">
        <v>4</v>
      </c>
      <c r="D6106" s="38" t="s">
        <v>266</v>
      </c>
    </row>
    <row r="6107" spans="1:4" x14ac:dyDescent="0.25">
      <c r="A6107" s="41">
        <v>432233</v>
      </c>
      <c r="B6107" s="39" t="s">
        <v>7650</v>
      </c>
      <c r="C6107" s="40">
        <v>4</v>
      </c>
      <c r="D6107" s="38" t="s">
        <v>266</v>
      </c>
    </row>
    <row r="6108" spans="1:4" x14ac:dyDescent="0.25">
      <c r="A6108" s="41">
        <v>432236</v>
      </c>
      <c r="B6108" s="39" t="s">
        <v>7651</v>
      </c>
      <c r="C6108" s="40">
        <v>4</v>
      </c>
      <c r="D6108" s="38" t="s">
        <v>266</v>
      </c>
    </row>
    <row r="6109" spans="1:4" x14ac:dyDescent="0.25">
      <c r="A6109" s="41">
        <v>432239</v>
      </c>
      <c r="B6109" s="39" t="s">
        <v>7652</v>
      </c>
      <c r="C6109" s="40">
        <v>4</v>
      </c>
      <c r="D6109" s="38" t="s">
        <v>266</v>
      </c>
    </row>
    <row r="6110" spans="1:4" x14ac:dyDescent="0.25">
      <c r="A6110" s="41">
        <v>432256</v>
      </c>
      <c r="B6110" s="39" t="s">
        <v>7653</v>
      </c>
      <c r="C6110" s="40">
        <v>4</v>
      </c>
      <c r="D6110" s="38" t="s">
        <v>266</v>
      </c>
    </row>
    <row r="6111" spans="1:4" x14ac:dyDescent="0.25">
      <c r="A6111" s="41">
        <v>432259</v>
      </c>
      <c r="B6111" s="39" t="s">
        <v>7654</v>
      </c>
      <c r="C6111" s="40">
        <v>4</v>
      </c>
      <c r="D6111" s="38" t="s">
        <v>266</v>
      </c>
    </row>
    <row r="6112" spans="1:4" x14ac:dyDescent="0.25">
      <c r="A6112" s="41">
        <v>432263</v>
      </c>
      <c r="B6112" s="39" t="s">
        <v>7655</v>
      </c>
      <c r="C6112" s="40">
        <v>4</v>
      </c>
      <c r="D6112" s="38" t="s">
        <v>266</v>
      </c>
    </row>
    <row r="6113" spans="1:4" x14ac:dyDescent="0.25">
      <c r="A6113" s="41">
        <v>432266</v>
      </c>
      <c r="B6113" s="39" t="s">
        <v>7656</v>
      </c>
      <c r="C6113" s="40">
        <v>4</v>
      </c>
      <c r="D6113" s="38" t="s">
        <v>266</v>
      </c>
    </row>
    <row r="6114" spans="1:4" x14ac:dyDescent="0.25">
      <c r="A6114" s="41">
        <v>432269</v>
      </c>
      <c r="B6114" s="39" t="s">
        <v>7657</v>
      </c>
      <c r="C6114" s="40">
        <v>4</v>
      </c>
      <c r="D6114" s="38" t="s">
        <v>266</v>
      </c>
    </row>
    <row r="6115" spans="1:4" x14ac:dyDescent="0.25">
      <c r="A6115" s="41">
        <v>432273</v>
      </c>
      <c r="B6115" s="39" t="s">
        <v>7658</v>
      </c>
      <c r="C6115" s="40">
        <v>4</v>
      </c>
      <c r="D6115" s="38" t="s">
        <v>266</v>
      </c>
    </row>
    <row r="6116" spans="1:4" x14ac:dyDescent="0.25">
      <c r="A6116" s="41">
        <v>432276</v>
      </c>
      <c r="B6116" s="39" t="s">
        <v>7659</v>
      </c>
      <c r="C6116" s="40">
        <v>4</v>
      </c>
      <c r="D6116" s="38" t="s">
        <v>266</v>
      </c>
    </row>
    <row r="6117" spans="1:4" x14ac:dyDescent="0.25">
      <c r="A6117" s="41">
        <v>432279</v>
      </c>
      <c r="B6117" s="39" t="s">
        <v>7660</v>
      </c>
      <c r="C6117" s="40">
        <v>4</v>
      </c>
      <c r="D6117" s="38" t="s">
        <v>266</v>
      </c>
    </row>
    <row r="6118" spans="1:4" x14ac:dyDescent="0.25">
      <c r="A6118" s="41">
        <v>432283</v>
      </c>
      <c r="B6118" s="39" t="s">
        <v>7661</v>
      </c>
      <c r="C6118" s="40">
        <v>4</v>
      </c>
      <c r="D6118" s="38" t="s">
        <v>266</v>
      </c>
    </row>
    <row r="6119" spans="1:4" x14ac:dyDescent="0.25">
      <c r="A6119" s="41">
        <v>432286</v>
      </c>
      <c r="B6119" s="39" t="s">
        <v>7662</v>
      </c>
      <c r="C6119" s="40">
        <v>4</v>
      </c>
      <c r="D6119" s="38" t="s">
        <v>266</v>
      </c>
    </row>
    <row r="6120" spans="1:4" x14ac:dyDescent="0.25">
      <c r="A6120" s="41">
        <v>432289</v>
      </c>
      <c r="B6120" s="39" t="s">
        <v>7663</v>
      </c>
      <c r="C6120" s="40">
        <v>4</v>
      </c>
      <c r="D6120" s="38" t="s">
        <v>266</v>
      </c>
    </row>
    <row r="6121" spans="1:4" x14ac:dyDescent="0.25">
      <c r="A6121" s="41">
        <v>432296</v>
      </c>
      <c r="B6121" s="39" t="s">
        <v>7664</v>
      </c>
      <c r="C6121" s="40">
        <v>4</v>
      </c>
      <c r="D6121" s="38" t="s">
        <v>266</v>
      </c>
    </row>
    <row r="6122" spans="1:4" x14ac:dyDescent="0.25">
      <c r="A6122" s="41">
        <v>432299</v>
      </c>
      <c r="B6122" s="39" t="s">
        <v>7665</v>
      </c>
      <c r="C6122" s="40">
        <v>4</v>
      </c>
      <c r="D6122" s="38" t="s">
        <v>266</v>
      </c>
    </row>
    <row r="6123" spans="1:4" x14ac:dyDescent="0.25">
      <c r="A6123" s="41">
        <v>432700</v>
      </c>
      <c r="B6123" s="39" t="s">
        <v>7666</v>
      </c>
      <c r="C6123" s="40">
        <v>3</v>
      </c>
      <c r="D6123" s="38" t="s">
        <v>266</v>
      </c>
    </row>
    <row r="6124" spans="1:4" x14ac:dyDescent="0.25">
      <c r="A6124" s="42">
        <v>432763.13</v>
      </c>
      <c r="B6124" s="39" t="s">
        <v>7667</v>
      </c>
      <c r="C6124" s="40">
        <v>5</v>
      </c>
      <c r="D6124" s="38" t="s">
        <v>266</v>
      </c>
    </row>
    <row r="6125" spans="1:4" x14ac:dyDescent="0.25">
      <c r="A6125" s="42">
        <v>432763.23</v>
      </c>
      <c r="B6125" s="39" t="s">
        <v>7668</v>
      </c>
      <c r="C6125" s="40">
        <v>5</v>
      </c>
      <c r="D6125" s="38" t="s">
        <v>266</v>
      </c>
    </row>
    <row r="6126" spans="1:4" x14ac:dyDescent="0.25">
      <c r="A6126" s="42">
        <v>432763.33</v>
      </c>
      <c r="B6126" s="39" t="s">
        <v>7669</v>
      </c>
      <c r="C6126" s="40">
        <v>5</v>
      </c>
      <c r="D6126" s="38" t="s">
        <v>266</v>
      </c>
    </row>
    <row r="6127" spans="1:4" x14ac:dyDescent="0.25">
      <c r="A6127" s="42">
        <v>432763.43</v>
      </c>
      <c r="B6127" s="39" t="s">
        <v>7670</v>
      </c>
      <c r="C6127" s="40">
        <v>5</v>
      </c>
      <c r="D6127" s="38" t="s">
        <v>266</v>
      </c>
    </row>
    <row r="6128" spans="1:4" x14ac:dyDescent="0.25">
      <c r="A6128" s="42">
        <v>432763.53</v>
      </c>
      <c r="B6128" s="39" t="s">
        <v>7671</v>
      </c>
      <c r="C6128" s="40">
        <v>5</v>
      </c>
      <c r="D6128" s="38" t="s">
        <v>266</v>
      </c>
    </row>
    <row r="6129" spans="1:4" x14ac:dyDescent="0.25">
      <c r="A6129" s="42">
        <v>432773.13</v>
      </c>
      <c r="B6129" s="39" t="s">
        <v>7672</v>
      </c>
      <c r="C6129" s="40">
        <v>5</v>
      </c>
      <c r="D6129" s="38" t="s">
        <v>266</v>
      </c>
    </row>
    <row r="6130" spans="1:4" x14ac:dyDescent="0.25">
      <c r="A6130" s="42">
        <v>432773.23</v>
      </c>
      <c r="B6130" s="39" t="s">
        <v>7673</v>
      </c>
      <c r="C6130" s="40">
        <v>5</v>
      </c>
      <c r="D6130" s="38" t="s">
        <v>266</v>
      </c>
    </row>
    <row r="6131" spans="1:4" x14ac:dyDescent="0.25">
      <c r="A6131" s="41">
        <v>432713</v>
      </c>
      <c r="B6131" s="39" t="s">
        <v>7674</v>
      </c>
      <c r="C6131" s="40">
        <v>4</v>
      </c>
      <c r="D6131" s="38" t="s">
        <v>266</v>
      </c>
    </row>
    <row r="6132" spans="1:4" x14ac:dyDescent="0.25">
      <c r="A6132" s="41">
        <v>432716</v>
      </c>
      <c r="B6132" s="39" t="s">
        <v>7675</v>
      </c>
      <c r="C6132" s="40">
        <v>4</v>
      </c>
      <c r="D6132" s="38" t="s">
        <v>266</v>
      </c>
    </row>
    <row r="6133" spans="1:4" x14ac:dyDescent="0.25">
      <c r="A6133" s="41">
        <v>432719</v>
      </c>
      <c r="B6133" s="39" t="s">
        <v>7676</v>
      </c>
      <c r="C6133" s="40">
        <v>4</v>
      </c>
      <c r="D6133" s="38" t="s">
        <v>266</v>
      </c>
    </row>
    <row r="6134" spans="1:4" x14ac:dyDescent="0.25">
      <c r="A6134" s="41">
        <v>432723</v>
      </c>
      <c r="B6134" s="39" t="s">
        <v>7677</v>
      </c>
      <c r="C6134" s="40">
        <v>4</v>
      </c>
      <c r="D6134" s="38" t="s">
        <v>266</v>
      </c>
    </row>
    <row r="6135" spans="1:4" x14ac:dyDescent="0.25">
      <c r="A6135" s="41">
        <v>432733</v>
      </c>
      <c r="B6135" s="39" t="s">
        <v>7678</v>
      </c>
      <c r="C6135" s="40">
        <v>4</v>
      </c>
      <c r="D6135" s="38" t="s">
        <v>266</v>
      </c>
    </row>
    <row r="6136" spans="1:4" x14ac:dyDescent="0.25">
      <c r="A6136" s="41">
        <v>432743</v>
      </c>
      <c r="B6136" s="39" t="s">
        <v>7679</v>
      </c>
      <c r="C6136" s="40">
        <v>4</v>
      </c>
      <c r="D6136" s="38" t="s">
        <v>266</v>
      </c>
    </row>
    <row r="6137" spans="1:4" x14ac:dyDescent="0.25">
      <c r="A6137" s="41">
        <v>432753</v>
      </c>
      <c r="B6137" s="39" t="s">
        <v>7680</v>
      </c>
      <c r="C6137" s="40">
        <v>4</v>
      </c>
      <c r="D6137" s="38" t="s">
        <v>266</v>
      </c>
    </row>
    <row r="6138" spans="1:4" x14ac:dyDescent="0.25">
      <c r="A6138" s="41">
        <v>432763</v>
      </c>
      <c r="B6138" s="39" t="s">
        <v>7681</v>
      </c>
      <c r="C6138" s="40">
        <v>4</v>
      </c>
      <c r="D6138" s="38" t="s">
        <v>266</v>
      </c>
    </row>
    <row r="6139" spans="1:4" x14ac:dyDescent="0.25">
      <c r="A6139" s="41">
        <v>432773</v>
      </c>
      <c r="B6139" s="39" t="s">
        <v>7682</v>
      </c>
      <c r="C6139" s="40">
        <v>4</v>
      </c>
      <c r="D6139" s="38" t="s">
        <v>266</v>
      </c>
    </row>
    <row r="6140" spans="1:4" x14ac:dyDescent="0.25">
      <c r="A6140" s="41">
        <v>433000</v>
      </c>
      <c r="B6140" s="39" t="s">
        <v>7683</v>
      </c>
      <c r="C6140" s="40">
        <v>3</v>
      </c>
      <c r="D6140" s="38" t="s">
        <v>266</v>
      </c>
    </row>
    <row r="6141" spans="1:4" x14ac:dyDescent="0.25">
      <c r="A6141" s="41">
        <v>433100</v>
      </c>
      <c r="B6141" s="39" t="s">
        <v>7684</v>
      </c>
      <c r="C6141" s="40">
        <v>3</v>
      </c>
      <c r="D6141" s="38" t="s">
        <v>266</v>
      </c>
    </row>
    <row r="6142" spans="1:4" x14ac:dyDescent="0.25">
      <c r="A6142" s="41">
        <v>433113</v>
      </c>
      <c r="B6142" s="39" t="s">
        <v>7685</v>
      </c>
      <c r="C6142" s="40">
        <v>4</v>
      </c>
      <c r="D6142" s="38" t="s">
        <v>266</v>
      </c>
    </row>
    <row r="6143" spans="1:4" x14ac:dyDescent="0.25">
      <c r="A6143" s="42">
        <v>433113.13</v>
      </c>
      <c r="B6143" s="39" t="s">
        <v>7686</v>
      </c>
      <c r="C6143" s="40">
        <v>5</v>
      </c>
      <c r="D6143" s="38" t="s">
        <v>266</v>
      </c>
    </row>
    <row r="6144" spans="1:4" x14ac:dyDescent="0.25">
      <c r="A6144" s="42">
        <v>433113.16</v>
      </c>
      <c r="B6144" s="39" t="s">
        <v>7687</v>
      </c>
      <c r="C6144" s="40">
        <v>5</v>
      </c>
      <c r="D6144" s="38" t="s">
        <v>266</v>
      </c>
    </row>
    <row r="6145" spans="1:4" x14ac:dyDescent="0.25">
      <c r="A6145" s="42">
        <v>433113.19</v>
      </c>
      <c r="B6145" s="39" t="s">
        <v>7688</v>
      </c>
      <c r="C6145" s="40">
        <v>5</v>
      </c>
      <c r="D6145" s="38" t="s">
        <v>266</v>
      </c>
    </row>
    <row r="6146" spans="1:4" x14ac:dyDescent="0.25">
      <c r="A6146" s="42">
        <v>433113.23</v>
      </c>
      <c r="B6146" s="39" t="s">
        <v>7689</v>
      </c>
      <c r="C6146" s="40">
        <v>5</v>
      </c>
      <c r="D6146" s="38" t="s">
        <v>266</v>
      </c>
    </row>
    <row r="6147" spans="1:4" x14ac:dyDescent="0.25">
      <c r="A6147" s="42">
        <v>433113.26</v>
      </c>
      <c r="B6147" s="39" t="s">
        <v>7690</v>
      </c>
      <c r="C6147" s="40">
        <v>5</v>
      </c>
      <c r="D6147" s="38" t="s">
        <v>266</v>
      </c>
    </row>
    <row r="6148" spans="1:4" x14ac:dyDescent="0.25">
      <c r="A6148" s="42">
        <v>433113.29</v>
      </c>
      <c r="B6148" s="39" t="s">
        <v>7691</v>
      </c>
      <c r="C6148" s="40">
        <v>5</v>
      </c>
      <c r="D6148" s="38" t="s">
        <v>266</v>
      </c>
    </row>
    <row r="6149" spans="1:4" x14ac:dyDescent="0.25">
      <c r="A6149" s="42">
        <v>433113.33</v>
      </c>
      <c r="B6149" s="39" t="s">
        <v>7692</v>
      </c>
      <c r="C6149" s="40">
        <v>5</v>
      </c>
      <c r="D6149" s="38" t="s">
        <v>266</v>
      </c>
    </row>
    <row r="6150" spans="1:4" x14ac:dyDescent="0.25">
      <c r="A6150" s="41">
        <v>433200</v>
      </c>
      <c r="B6150" s="39" t="s">
        <v>7693</v>
      </c>
      <c r="C6150" s="40">
        <v>3</v>
      </c>
      <c r="D6150" s="38" t="s">
        <v>266</v>
      </c>
    </row>
    <row r="6151" spans="1:4" x14ac:dyDescent="0.25">
      <c r="A6151" s="41">
        <v>433213</v>
      </c>
      <c r="B6151" s="39" t="s">
        <v>7694</v>
      </c>
      <c r="C6151" s="40">
        <v>4</v>
      </c>
      <c r="D6151" s="38" t="s">
        <v>266</v>
      </c>
    </row>
    <row r="6152" spans="1:4" x14ac:dyDescent="0.25">
      <c r="A6152" s="42">
        <v>433213.13</v>
      </c>
      <c r="B6152" s="39" t="s">
        <v>7695</v>
      </c>
      <c r="C6152" s="40">
        <v>5</v>
      </c>
      <c r="D6152" s="38" t="s">
        <v>266</v>
      </c>
    </row>
    <row r="6153" spans="1:4" x14ac:dyDescent="0.25">
      <c r="A6153" s="42">
        <v>433213.16</v>
      </c>
      <c r="B6153" s="39" t="s">
        <v>7696</v>
      </c>
      <c r="C6153" s="40">
        <v>5</v>
      </c>
      <c r="D6153" s="38" t="s">
        <v>266</v>
      </c>
    </row>
    <row r="6154" spans="1:4" x14ac:dyDescent="0.25">
      <c r="A6154" s="41">
        <v>433223</v>
      </c>
      <c r="B6154" s="39" t="s">
        <v>7697</v>
      </c>
      <c r="C6154" s="40">
        <v>4</v>
      </c>
      <c r="D6154" s="38" t="s">
        <v>266</v>
      </c>
    </row>
    <row r="6155" spans="1:4" x14ac:dyDescent="0.25">
      <c r="A6155" s="41">
        <v>433226</v>
      </c>
      <c r="B6155" s="39" t="s">
        <v>7698</v>
      </c>
      <c r="C6155" s="40">
        <v>4</v>
      </c>
      <c r="D6155" s="38" t="s">
        <v>266</v>
      </c>
    </row>
    <row r="6156" spans="1:4" x14ac:dyDescent="0.25">
      <c r="A6156" s="41">
        <v>433229</v>
      </c>
      <c r="B6156" s="39" t="s">
        <v>7699</v>
      </c>
      <c r="C6156" s="40">
        <v>4</v>
      </c>
      <c r="D6156" s="38" t="s">
        <v>266</v>
      </c>
    </row>
    <row r="6157" spans="1:4" x14ac:dyDescent="0.25">
      <c r="A6157" s="41">
        <v>433233</v>
      </c>
      <c r="B6157" s="39" t="s">
        <v>7700</v>
      </c>
      <c r="C6157" s="40">
        <v>4</v>
      </c>
      <c r="D6157" s="38" t="s">
        <v>266</v>
      </c>
    </row>
    <row r="6158" spans="1:4" x14ac:dyDescent="0.25">
      <c r="A6158" s="41">
        <v>433236</v>
      </c>
      <c r="B6158" s="39" t="s">
        <v>7701</v>
      </c>
      <c r="C6158" s="40">
        <v>4</v>
      </c>
      <c r="D6158" s="38" t="s">
        <v>266</v>
      </c>
    </row>
    <row r="6159" spans="1:4" x14ac:dyDescent="0.25">
      <c r="A6159" s="41">
        <v>433239</v>
      </c>
      <c r="B6159" s="39" t="s">
        <v>7702</v>
      </c>
      <c r="C6159" s="40">
        <v>4</v>
      </c>
      <c r="D6159" s="38" t="s">
        <v>266</v>
      </c>
    </row>
    <row r="6160" spans="1:4" x14ac:dyDescent="0.25">
      <c r="A6160" s="42">
        <v>433239.13</v>
      </c>
      <c r="B6160" s="39" t="s">
        <v>7703</v>
      </c>
      <c r="C6160" s="40">
        <v>5</v>
      </c>
      <c r="D6160" s="38" t="s">
        <v>266</v>
      </c>
    </row>
    <row r="6161" spans="1:4" x14ac:dyDescent="0.25">
      <c r="A6161" s="42">
        <v>433239.16</v>
      </c>
      <c r="B6161" s="39" t="s">
        <v>7704</v>
      </c>
      <c r="C6161" s="40">
        <v>5</v>
      </c>
      <c r="D6161" s="38" t="s">
        <v>266</v>
      </c>
    </row>
    <row r="6162" spans="1:4" x14ac:dyDescent="0.25">
      <c r="A6162" s="41">
        <v>433253</v>
      </c>
      <c r="B6162" s="39" t="s">
        <v>7705</v>
      </c>
      <c r="C6162" s="40">
        <v>4</v>
      </c>
      <c r="D6162" s="38" t="s">
        <v>266</v>
      </c>
    </row>
    <row r="6163" spans="1:4" x14ac:dyDescent="0.25">
      <c r="A6163" s="41">
        <v>433256</v>
      </c>
      <c r="B6163" s="39" t="s">
        <v>7706</v>
      </c>
      <c r="C6163" s="40">
        <v>4</v>
      </c>
      <c r="D6163" s="38" t="s">
        <v>266</v>
      </c>
    </row>
    <row r="6164" spans="1:4" x14ac:dyDescent="0.25">
      <c r="A6164" s="41">
        <v>433259</v>
      </c>
      <c r="B6164" s="39" t="s">
        <v>7707</v>
      </c>
      <c r="C6164" s="40">
        <v>4</v>
      </c>
      <c r="D6164" s="38" t="s">
        <v>266</v>
      </c>
    </row>
    <row r="6165" spans="1:4" x14ac:dyDescent="0.25">
      <c r="A6165" s="41">
        <v>433263</v>
      </c>
      <c r="B6165" s="39" t="s">
        <v>7708</v>
      </c>
      <c r="C6165" s="40">
        <v>4</v>
      </c>
      <c r="D6165" s="38" t="s">
        <v>266</v>
      </c>
    </row>
    <row r="6166" spans="1:4" x14ac:dyDescent="0.25">
      <c r="A6166" s="41">
        <v>433266</v>
      </c>
      <c r="B6166" s="39" t="s">
        <v>7709</v>
      </c>
      <c r="C6166" s="40">
        <v>4</v>
      </c>
      <c r="D6166" s="38" t="s">
        <v>266</v>
      </c>
    </row>
    <row r="6167" spans="1:4" x14ac:dyDescent="0.25">
      <c r="A6167" s="41">
        <v>433269</v>
      </c>
      <c r="B6167" s="39" t="s">
        <v>7710</v>
      </c>
      <c r="C6167" s="40">
        <v>4</v>
      </c>
      <c r="D6167" s="38" t="s">
        <v>266</v>
      </c>
    </row>
    <row r="6168" spans="1:4" x14ac:dyDescent="0.25">
      <c r="A6168" s="41">
        <v>433273</v>
      </c>
      <c r="B6168" s="39" t="s">
        <v>7711</v>
      </c>
      <c r="C6168" s="40">
        <v>4</v>
      </c>
      <c r="D6168" s="38" t="s">
        <v>266</v>
      </c>
    </row>
    <row r="6169" spans="1:4" x14ac:dyDescent="0.25">
      <c r="A6169" s="41">
        <v>433276</v>
      </c>
      <c r="B6169" s="39" t="s">
        <v>7712</v>
      </c>
      <c r="C6169" s="40">
        <v>4</v>
      </c>
      <c r="D6169" s="38" t="s">
        <v>266</v>
      </c>
    </row>
    <row r="6170" spans="1:4" x14ac:dyDescent="0.25">
      <c r="A6170" s="41">
        <v>434000</v>
      </c>
      <c r="B6170" s="39" t="s">
        <v>7713</v>
      </c>
      <c r="C6170" s="40">
        <v>3</v>
      </c>
      <c r="D6170" s="38" t="s">
        <v>266</v>
      </c>
    </row>
    <row r="6171" spans="1:4" x14ac:dyDescent="0.25">
      <c r="A6171" s="41">
        <v>434100</v>
      </c>
      <c r="B6171" s="39" t="s">
        <v>7714</v>
      </c>
      <c r="C6171" s="40">
        <v>3</v>
      </c>
      <c r="D6171" s="38" t="s">
        <v>266</v>
      </c>
    </row>
    <row r="6172" spans="1:4" x14ac:dyDescent="0.25">
      <c r="A6172" s="41">
        <v>434111</v>
      </c>
      <c r="B6172" s="39" t="s">
        <v>7715</v>
      </c>
      <c r="C6172" s="40">
        <v>4</v>
      </c>
      <c r="D6172" s="38" t="s">
        <v>266</v>
      </c>
    </row>
    <row r="6173" spans="1:4" x14ac:dyDescent="0.25">
      <c r="A6173" s="41">
        <v>434113</v>
      </c>
      <c r="B6173" s="39" t="s">
        <v>7716</v>
      </c>
      <c r="C6173" s="40">
        <v>4</v>
      </c>
      <c r="D6173" s="38" t="s">
        <v>266</v>
      </c>
    </row>
    <row r="6174" spans="1:4" x14ac:dyDescent="0.25">
      <c r="A6174" s="42">
        <v>434113.13</v>
      </c>
      <c r="B6174" s="39" t="s">
        <v>7717</v>
      </c>
      <c r="C6174" s="40">
        <v>5</v>
      </c>
      <c r="D6174" s="38" t="s">
        <v>266</v>
      </c>
    </row>
    <row r="6175" spans="1:4" x14ac:dyDescent="0.25">
      <c r="A6175" s="42">
        <v>434113.23</v>
      </c>
      <c r="B6175" s="39" t="s">
        <v>7718</v>
      </c>
      <c r="C6175" s="40">
        <v>5</v>
      </c>
      <c r="D6175" s="38" t="s">
        <v>266</v>
      </c>
    </row>
    <row r="6176" spans="1:4" x14ac:dyDescent="0.25">
      <c r="A6176" s="42">
        <v>434113.33</v>
      </c>
      <c r="B6176" s="39" t="s">
        <v>7719</v>
      </c>
      <c r="C6176" s="40">
        <v>5</v>
      </c>
      <c r="D6176" s="38" t="s">
        <v>266</v>
      </c>
    </row>
    <row r="6177" spans="1:4" x14ac:dyDescent="0.25">
      <c r="A6177" s="42">
        <v>434113.43</v>
      </c>
      <c r="B6177" s="39" t="s">
        <v>7720</v>
      </c>
      <c r="C6177" s="40">
        <v>5</v>
      </c>
      <c r="D6177" s="38" t="s">
        <v>266</v>
      </c>
    </row>
    <row r="6178" spans="1:4" x14ac:dyDescent="0.25">
      <c r="A6178" s="41">
        <v>434123</v>
      </c>
      <c r="B6178" s="39" t="s">
        <v>7721</v>
      </c>
      <c r="C6178" s="40">
        <v>4</v>
      </c>
      <c r="D6178" s="38" t="s">
        <v>266</v>
      </c>
    </row>
    <row r="6179" spans="1:4" x14ac:dyDescent="0.25">
      <c r="A6179" s="41">
        <v>434126</v>
      </c>
      <c r="B6179" s="39" t="s">
        <v>7722</v>
      </c>
      <c r="C6179" s="40">
        <v>4</v>
      </c>
      <c r="D6179" s="38" t="s">
        <v>266</v>
      </c>
    </row>
    <row r="6180" spans="1:4" x14ac:dyDescent="0.25">
      <c r="A6180" s="41">
        <v>434131</v>
      </c>
      <c r="B6180" s="39" t="s">
        <v>7723</v>
      </c>
      <c r="C6180" s="40">
        <v>4</v>
      </c>
      <c r="D6180" s="38" t="s">
        <v>266</v>
      </c>
    </row>
    <row r="6181" spans="1:4" x14ac:dyDescent="0.25">
      <c r="A6181" s="41">
        <v>434141</v>
      </c>
      <c r="B6181" s="39" t="s">
        <v>7724</v>
      </c>
      <c r="C6181" s="40">
        <v>4</v>
      </c>
      <c r="D6181" s="38" t="s">
        <v>266</v>
      </c>
    </row>
    <row r="6182" spans="1:4" x14ac:dyDescent="0.25">
      <c r="A6182" s="41">
        <v>434143</v>
      </c>
      <c r="B6182" s="39" t="s">
        <v>7725</v>
      </c>
      <c r="C6182" s="40">
        <v>4</v>
      </c>
      <c r="D6182" s="38" t="s">
        <v>266</v>
      </c>
    </row>
    <row r="6183" spans="1:4" x14ac:dyDescent="0.25">
      <c r="A6183" s="41">
        <v>434145</v>
      </c>
      <c r="B6183" s="39" t="s">
        <v>7726</v>
      </c>
      <c r="C6183" s="40">
        <v>4</v>
      </c>
      <c r="D6183" s="38" t="s">
        <v>266</v>
      </c>
    </row>
    <row r="6184" spans="1:4" x14ac:dyDescent="0.25">
      <c r="A6184" s="41">
        <v>434153</v>
      </c>
      <c r="B6184" s="39" t="s">
        <v>7727</v>
      </c>
      <c r="C6184" s="40">
        <v>4</v>
      </c>
      <c r="D6184" s="38" t="s">
        <v>266</v>
      </c>
    </row>
    <row r="6185" spans="1:4" x14ac:dyDescent="0.25">
      <c r="A6185" s="41">
        <v>434163</v>
      </c>
      <c r="B6185" s="39" t="s">
        <v>7728</v>
      </c>
      <c r="C6185" s="40">
        <v>4</v>
      </c>
      <c r="D6185" s="38" t="s">
        <v>266</v>
      </c>
    </row>
    <row r="6186" spans="1:4" x14ac:dyDescent="0.25">
      <c r="A6186" s="41">
        <v>434173</v>
      </c>
      <c r="B6186" s="39" t="s">
        <v>7729</v>
      </c>
      <c r="C6186" s="40">
        <v>4</v>
      </c>
      <c r="D6186" s="38" t="s">
        <v>266</v>
      </c>
    </row>
    <row r="6187" spans="1:4" x14ac:dyDescent="0.25">
      <c r="A6187" s="41">
        <v>434183</v>
      </c>
      <c r="B6187" s="39" t="s">
        <v>7730</v>
      </c>
      <c r="C6187" s="40">
        <v>4</v>
      </c>
      <c r="D6187" s="38" t="s">
        <v>266</v>
      </c>
    </row>
    <row r="6188" spans="1:4" x14ac:dyDescent="0.25">
      <c r="A6188" s="41">
        <v>434200</v>
      </c>
      <c r="B6188" s="39" t="s">
        <v>7731</v>
      </c>
      <c r="C6188" s="40">
        <v>3</v>
      </c>
      <c r="D6188" s="38" t="s">
        <v>266</v>
      </c>
    </row>
    <row r="6189" spans="1:4" x14ac:dyDescent="0.25">
      <c r="A6189" s="41">
        <v>434211</v>
      </c>
      <c r="B6189" s="39" t="s">
        <v>7732</v>
      </c>
      <c r="C6189" s="40">
        <v>4</v>
      </c>
      <c r="D6189" s="38" t="s">
        <v>266</v>
      </c>
    </row>
    <row r="6190" spans="1:4" x14ac:dyDescent="0.25">
      <c r="A6190" s="41">
        <v>434213</v>
      </c>
      <c r="B6190" s="39" t="s">
        <v>7733</v>
      </c>
      <c r="C6190" s="40">
        <v>4</v>
      </c>
      <c r="D6190" s="38" t="s">
        <v>266</v>
      </c>
    </row>
    <row r="6191" spans="1:4" x14ac:dyDescent="0.25">
      <c r="A6191" s="41">
        <v>434221</v>
      </c>
      <c r="B6191" s="39" t="s">
        <v>7734</v>
      </c>
      <c r="C6191" s="40">
        <v>4</v>
      </c>
      <c r="D6191" s="38" t="s">
        <v>266</v>
      </c>
    </row>
    <row r="6192" spans="1:4" x14ac:dyDescent="0.25">
      <c r="A6192" s="41">
        <v>434223</v>
      </c>
      <c r="B6192" s="39" t="s">
        <v>7735</v>
      </c>
      <c r="C6192" s="40">
        <v>4</v>
      </c>
      <c r="D6192" s="38" t="s">
        <v>266</v>
      </c>
    </row>
    <row r="6193" spans="1:4" x14ac:dyDescent="0.25">
      <c r="A6193" s="41">
        <v>434226</v>
      </c>
      <c r="B6193" s="39" t="s">
        <v>7736</v>
      </c>
      <c r="C6193" s="40">
        <v>4</v>
      </c>
      <c r="D6193" s="38" t="s">
        <v>266</v>
      </c>
    </row>
    <row r="6194" spans="1:4" x14ac:dyDescent="0.25">
      <c r="A6194" s="41">
        <v>434233</v>
      </c>
      <c r="B6194" s="39" t="s">
        <v>7737</v>
      </c>
      <c r="C6194" s="40">
        <v>4</v>
      </c>
      <c r="D6194" s="38" t="s">
        <v>266</v>
      </c>
    </row>
    <row r="6195" spans="1:4" x14ac:dyDescent="0.25">
      <c r="A6195" s="41">
        <v>434236</v>
      </c>
      <c r="B6195" s="39" t="s">
        <v>7738</v>
      </c>
      <c r="C6195" s="40">
        <v>4</v>
      </c>
      <c r="D6195" s="38" t="s">
        <v>266</v>
      </c>
    </row>
    <row r="6196" spans="1:4" x14ac:dyDescent="0.25">
      <c r="A6196" s="41">
        <v>434241</v>
      </c>
      <c r="B6196" s="39" t="s">
        <v>7739</v>
      </c>
      <c r="C6196" s="40">
        <v>4</v>
      </c>
      <c r="D6196" s="38" t="s">
        <v>266</v>
      </c>
    </row>
    <row r="6197" spans="1:4" x14ac:dyDescent="0.25">
      <c r="A6197" s="41">
        <v>434253</v>
      </c>
      <c r="B6197" s="39" t="s">
        <v>7740</v>
      </c>
      <c r="C6197" s="40">
        <v>4</v>
      </c>
      <c r="D6197" s="38" t="s">
        <v>266</v>
      </c>
    </row>
    <row r="6198" spans="1:4" x14ac:dyDescent="0.25">
      <c r="A6198" s="41">
        <v>434283</v>
      </c>
      <c r="B6198" s="39" t="s">
        <v>7741</v>
      </c>
      <c r="C6198" s="40">
        <v>4</v>
      </c>
      <c r="D6198" s="38" t="s">
        <v>266</v>
      </c>
    </row>
    <row r="6199" spans="1:4" x14ac:dyDescent="0.25">
      <c r="A6199" s="41">
        <v>440000</v>
      </c>
      <c r="B6199" s="39" t="s">
        <v>7742</v>
      </c>
      <c r="C6199" s="40">
        <v>2</v>
      </c>
      <c r="D6199" s="38" t="s">
        <v>266</v>
      </c>
    </row>
    <row r="6200" spans="1:4" x14ac:dyDescent="0.25">
      <c r="A6200" s="41">
        <v>440100</v>
      </c>
      <c r="B6200" s="39" t="s">
        <v>7743</v>
      </c>
      <c r="C6200" s="40">
        <v>3</v>
      </c>
      <c r="D6200" s="38" t="s">
        <v>266</v>
      </c>
    </row>
    <row r="6201" spans="1:4" x14ac:dyDescent="0.25">
      <c r="A6201" s="41">
        <v>440110</v>
      </c>
      <c r="B6201" s="39" t="s">
        <v>7744</v>
      </c>
      <c r="C6201" s="40">
        <v>4</v>
      </c>
      <c r="D6201" s="38" t="s">
        <v>266</v>
      </c>
    </row>
    <row r="6202" spans="1:4" x14ac:dyDescent="0.25">
      <c r="A6202" s="41">
        <v>440120</v>
      </c>
      <c r="B6202" s="39" t="s">
        <v>7745</v>
      </c>
      <c r="C6202" s="40">
        <v>4</v>
      </c>
      <c r="D6202" s="38" t="s">
        <v>266</v>
      </c>
    </row>
    <row r="6203" spans="1:4" x14ac:dyDescent="0.25">
      <c r="A6203" s="41">
        <v>440130</v>
      </c>
      <c r="B6203" s="39" t="s">
        <v>7746</v>
      </c>
      <c r="C6203" s="40">
        <v>4</v>
      </c>
      <c r="D6203" s="38" t="s">
        <v>266</v>
      </c>
    </row>
    <row r="6204" spans="1:4" x14ac:dyDescent="0.25">
      <c r="A6204" s="41">
        <v>440140</v>
      </c>
      <c r="B6204" s="39" t="s">
        <v>7747</v>
      </c>
      <c r="C6204" s="40">
        <v>4</v>
      </c>
      <c r="D6204" s="38" t="s">
        <v>266</v>
      </c>
    </row>
    <row r="6205" spans="1:4" x14ac:dyDescent="0.25">
      <c r="A6205" s="41">
        <v>440150</v>
      </c>
      <c r="B6205" s="39" t="s">
        <v>7748</v>
      </c>
      <c r="C6205" s="40">
        <v>4</v>
      </c>
      <c r="D6205" s="38" t="s">
        <v>266</v>
      </c>
    </row>
    <row r="6206" spans="1:4" x14ac:dyDescent="0.25">
      <c r="A6206" s="41">
        <v>440160</v>
      </c>
      <c r="B6206" s="39" t="s">
        <v>7749</v>
      </c>
      <c r="C6206" s="40">
        <v>4</v>
      </c>
      <c r="D6206" s="38" t="s">
        <v>266</v>
      </c>
    </row>
    <row r="6207" spans="1:4" x14ac:dyDescent="0.25">
      <c r="A6207" s="41">
        <v>440500</v>
      </c>
      <c r="B6207" s="39" t="s">
        <v>7750</v>
      </c>
      <c r="C6207" s="40">
        <v>3</v>
      </c>
      <c r="D6207" s="38" t="s">
        <v>266</v>
      </c>
    </row>
    <row r="6208" spans="1:4" x14ac:dyDescent="0.25">
      <c r="A6208" s="41">
        <v>440800</v>
      </c>
      <c r="B6208" s="39" t="s">
        <v>7751</v>
      </c>
      <c r="C6208" s="40">
        <v>3</v>
      </c>
      <c r="D6208" s="38" t="s">
        <v>266</v>
      </c>
    </row>
    <row r="6209" spans="1:4" x14ac:dyDescent="0.25">
      <c r="A6209" s="41">
        <v>440810</v>
      </c>
      <c r="B6209" s="39" t="s">
        <v>7752</v>
      </c>
      <c r="C6209" s="40">
        <v>4</v>
      </c>
      <c r="D6209" s="38" t="s">
        <v>266</v>
      </c>
    </row>
    <row r="6210" spans="1:4" x14ac:dyDescent="0.25">
      <c r="A6210" s="41">
        <v>440820</v>
      </c>
      <c r="B6210" s="39" t="s">
        <v>7753</v>
      </c>
      <c r="C6210" s="40">
        <v>4</v>
      </c>
      <c r="D6210" s="38" t="s">
        <v>266</v>
      </c>
    </row>
    <row r="6211" spans="1:4" x14ac:dyDescent="0.25">
      <c r="A6211" s="41">
        <v>440830</v>
      </c>
      <c r="B6211" s="39" t="s">
        <v>7754</v>
      </c>
      <c r="C6211" s="40">
        <v>4</v>
      </c>
      <c r="D6211" s="38" t="s">
        <v>266</v>
      </c>
    </row>
    <row r="6212" spans="1:4" x14ac:dyDescent="0.25">
      <c r="A6212" s="41">
        <v>440840</v>
      </c>
      <c r="B6212" s="39" t="s">
        <v>7755</v>
      </c>
      <c r="C6212" s="40">
        <v>4</v>
      </c>
      <c r="D6212" s="38" t="s">
        <v>266</v>
      </c>
    </row>
    <row r="6213" spans="1:4" x14ac:dyDescent="0.25">
      <c r="A6213" s="41">
        <v>440850</v>
      </c>
      <c r="B6213" s="39" t="s">
        <v>7756</v>
      </c>
      <c r="C6213" s="40">
        <v>4</v>
      </c>
      <c r="D6213" s="38" t="s">
        <v>266</v>
      </c>
    </row>
    <row r="6214" spans="1:4" x14ac:dyDescent="0.25">
      <c r="A6214" s="41">
        <v>440860</v>
      </c>
      <c r="B6214" s="39" t="s">
        <v>7757</v>
      </c>
      <c r="C6214" s="40">
        <v>4</v>
      </c>
      <c r="D6214" s="38" t="s">
        <v>266</v>
      </c>
    </row>
    <row r="6215" spans="1:4" x14ac:dyDescent="0.25">
      <c r="A6215" s="41">
        <v>441000</v>
      </c>
      <c r="B6215" s="39" t="s">
        <v>7758</v>
      </c>
      <c r="C6215" s="40">
        <v>3</v>
      </c>
      <c r="D6215" s="38" t="s">
        <v>266</v>
      </c>
    </row>
    <row r="6216" spans="1:4" x14ac:dyDescent="0.25">
      <c r="A6216" s="41">
        <v>441100</v>
      </c>
      <c r="B6216" s="39" t="s">
        <v>7759</v>
      </c>
      <c r="C6216" s="40">
        <v>3</v>
      </c>
      <c r="D6216" s="38" t="s">
        <v>266</v>
      </c>
    </row>
    <row r="6217" spans="1:4" x14ac:dyDescent="0.25">
      <c r="A6217" s="41">
        <v>441113</v>
      </c>
      <c r="B6217" s="39" t="s">
        <v>7760</v>
      </c>
      <c r="C6217" s="40">
        <v>4</v>
      </c>
      <c r="D6217" s="38" t="s">
        <v>266</v>
      </c>
    </row>
    <row r="6218" spans="1:4" x14ac:dyDescent="0.25">
      <c r="A6218" s="41">
        <v>441116</v>
      </c>
      <c r="B6218" s="39" t="s">
        <v>7761</v>
      </c>
      <c r="C6218" s="40">
        <v>4</v>
      </c>
      <c r="D6218" s="38" t="s">
        <v>266</v>
      </c>
    </row>
    <row r="6219" spans="1:4" x14ac:dyDescent="0.25">
      <c r="A6219" s="41">
        <v>441119</v>
      </c>
      <c r="B6219" s="39" t="s">
        <v>7762</v>
      </c>
      <c r="C6219" s="40">
        <v>4</v>
      </c>
      <c r="D6219" s="38" t="s">
        <v>266</v>
      </c>
    </row>
    <row r="6220" spans="1:4" x14ac:dyDescent="0.25">
      <c r="A6220" s="41">
        <v>441120</v>
      </c>
      <c r="B6220" s="39" t="s">
        <v>7763</v>
      </c>
      <c r="C6220" s="40">
        <v>4</v>
      </c>
      <c r="D6220" s="38" t="s">
        <v>266</v>
      </c>
    </row>
    <row r="6221" spans="1:4" x14ac:dyDescent="0.25">
      <c r="A6221" s="41">
        <v>441131</v>
      </c>
      <c r="B6221" s="39" t="s">
        <v>7764</v>
      </c>
      <c r="C6221" s="40">
        <v>4</v>
      </c>
      <c r="D6221" s="38" t="s">
        <v>266</v>
      </c>
    </row>
    <row r="6222" spans="1:4" x14ac:dyDescent="0.25">
      <c r="A6222" s="41">
        <v>441133</v>
      </c>
      <c r="B6222" s="39" t="s">
        <v>7765</v>
      </c>
      <c r="C6222" s="40">
        <v>4</v>
      </c>
      <c r="D6222" s="38" t="s">
        <v>266</v>
      </c>
    </row>
    <row r="6223" spans="1:4" x14ac:dyDescent="0.25">
      <c r="A6223" s="41">
        <v>441136</v>
      </c>
      <c r="B6223" s="39" t="s">
        <v>7766</v>
      </c>
      <c r="C6223" s="40">
        <v>4</v>
      </c>
      <c r="D6223" s="38" t="s">
        <v>266</v>
      </c>
    </row>
    <row r="6224" spans="1:4" x14ac:dyDescent="0.25">
      <c r="A6224" s="41">
        <v>441151</v>
      </c>
      <c r="B6224" s="39" t="s">
        <v>7767</v>
      </c>
      <c r="C6224" s="40">
        <v>4</v>
      </c>
      <c r="D6224" s="38" t="s">
        <v>266</v>
      </c>
    </row>
    <row r="6225" spans="1:4" x14ac:dyDescent="0.25">
      <c r="A6225" s="41">
        <v>441153</v>
      </c>
      <c r="B6225" s="39" t="s">
        <v>7768</v>
      </c>
      <c r="C6225" s="40">
        <v>4</v>
      </c>
      <c r="D6225" s="38" t="s">
        <v>266</v>
      </c>
    </row>
    <row r="6226" spans="1:4" x14ac:dyDescent="0.25">
      <c r="A6226" s="41">
        <v>441154</v>
      </c>
      <c r="B6226" s="39" t="s">
        <v>7769</v>
      </c>
      <c r="C6226" s="40">
        <v>4</v>
      </c>
      <c r="D6226" s="38" t="s">
        <v>266</v>
      </c>
    </row>
    <row r="6227" spans="1:4" x14ac:dyDescent="0.25">
      <c r="A6227" s="41">
        <v>441156</v>
      </c>
      <c r="B6227" s="39" t="s">
        <v>7770</v>
      </c>
      <c r="C6227" s="40">
        <v>4</v>
      </c>
      <c r="D6227" s="38" t="s">
        <v>266</v>
      </c>
    </row>
    <row r="6228" spans="1:4" x14ac:dyDescent="0.25">
      <c r="A6228" s="41">
        <v>441159</v>
      </c>
      <c r="B6228" s="39" t="s">
        <v>7771</v>
      </c>
      <c r="C6228" s="40">
        <v>4</v>
      </c>
      <c r="D6228" s="38" t="s">
        <v>266</v>
      </c>
    </row>
    <row r="6229" spans="1:4" x14ac:dyDescent="0.25">
      <c r="A6229" s="41">
        <v>441171</v>
      </c>
      <c r="B6229" s="39" t="s">
        <v>7772</v>
      </c>
      <c r="C6229" s="40">
        <v>4</v>
      </c>
      <c r="D6229" s="38" t="s">
        <v>266</v>
      </c>
    </row>
    <row r="6230" spans="1:4" x14ac:dyDescent="0.25">
      <c r="A6230" s="41">
        <v>441173</v>
      </c>
      <c r="B6230" s="39" t="s">
        <v>7773</v>
      </c>
      <c r="C6230" s="40">
        <v>4</v>
      </c>
      <c r="D6230" s="38" t="s">
        <v>266</v>
      </c>
    </row>
    <row r="6231" spans="1:4" x14ac:dyDescent="0.25">
      <c r="A6231" s="41">
        <v>441176</v>
      </c>
      <c r="B6231" s="39" t="s">
        <v>7774</v>
      </c>
      <c r="C6231" s="40">
        <v>4</v>
      </c>
      <c r="D6231" s="38" t="s">
        <v>266</v>
      </c>
    </row>
    <row r="6232" spans="1:4" x14ac:dyDescent="0.25">
      <c r="A6232" s="41">
        <v>441193</v>
      </c>
      <c r="B6232" s="39" t="s">
        <v>7775</v>
      </c>
      <c r="C6232" s="40">
        <v>4</v>
      </c>
      <c r="D6232" s="38" t="s">
        <v>266</v>
      </c>
    </row>
    <row r="6233" spans="1:4" x14ac:dyDescent="0.25">
      <c r="A6233" s="41">
        <v>441196</v>
      </c>
      <c r="B6233" s="39" t="s">
        <v>7776</v>
      </c>
      <c r="C6233" s="40">
        <v>4</v>
      </c>
      <c r="D6233" s="38" t="s">
        <v>266</v>
      </c>
    </row>
    <row r="6234" spans="1:4" x14ac:dyDescent="0.25">
      <c r="A6234" s="41">
        <v>441300</v>
      </c>
      <c r="B6234" s="39" t="s">
        <v>7777</v>
      </c>
      <c r="C6234" s="40">
        <v>3</v>
      </c>
      <c r="D6234" s="38" t="s">
        <v>266</v>
      </c>
    </row>
    <row r="6235" spans="1:4" x14ac:dyDescent="0.25">
      <c r="A6235" s="41">
        <v>441311</v>
      </c>
      <c r="B6235" s="39" t="s">
        <v>7778</v>
      </c>
      <c r="C6235" s="40">
        <v>4</v>
      </c>
      <c r="D6235" s="38" t="s">
        <v>266</v>
      </c>
    </row>
    <row r="6236" spans="1:4" x14ac:dyDescent="0.25">
      <c r="A6236" s="41">
        <v>441313</v>
      </c>
      <c r="B6236" s="39" t="s">
        <v>7779</v>
      </c>
      <c r="C6236" s="40">
        <v>4</v>
      </c>
      <c r="D6236" s="38" t="s">
        <v>266</v>
      </c>
    </row>
    <row r="6237" spans="1:4" x14ac:dyDescent="0.25">
      <c r="A6237" s="41">
        <v>441314</v>
      </c>
      <c r="B6237" s="39" t="s">
        <v>7780</v>
      </c>
      <c r="C6237" s="40">
        <v>4</v>
      </c>
      <c r="D6237" s="38" t="s">
        <v>266</v>
      </c>
    </row>
    <row r="6238" spans="1:4" x14ac:dyDescent="0.25">
      <c r="A6238" s="41">
        <v>441316</v>
      </c>
      <c r="B6238" s="39" t="s">
        <v>7781</v>
      </c>
      <c r="C6238" s="40">
        <v>4</v>
      </c>
      <c r="D6238" s="38" t="s">
        <v>266</v>
      </c>
    </row>
    <row r="6239" spans="1:4" x14ac:dyDescent="0.25">
      <c r="A6239" s="41">
        <v>441317</v>
      </c>
      <c r="B6239" s="39" t="s">
        <v>7782</v>
      </c>
      <c r="C6239" s="40">
        <v>4</v>
      </c>
      <c r="D6239" s="38" t="s">
        <v>266</v>
      </c>
    </row>
    <row r="6240" spans="1:4" x14ac:dyDescent="0.25">
      <c r="A6240" s="41">
        <v>441320</v>
      </c>
      <c r="B6240" s="39" t="s">
        <v>7783</v>
      </c>
      <c r="C6240" s="40">
        <v>4</v>
      </c>
      <c r="D6240" s="38" t="s">
        <v>266</v>
      </c>
    </row>
    <row r="6241" spans="1:4" x14ac:dyDescent="0.25">
      <c r="A6241" s="41">
        <v>441331</v>
      </c>
      <c r="B6241" s="39" t="s">
        <v>7784</v>
      </c>
      <c r="C6241" s="40">
        <v>4</v>
      </c>
      <c r="D6241" s="38" t="s">
        <v>266</v>
      </c>
    </row>
    <row r="6242" spans="1:4" x14ac:dyDescent="0.25">
      <c r="A6242" s="41">
        <v>441333</v>
      </c>
      <c r="B6242" s="39" t="s">
        <v>7785</v>
      </c>
      <c r="C6242" s="40">
        <v>4</v>
      </c>
      <c r="D6242" s="38" t="s">
        <v>266</v>
      </c>
    </row>
    <row r="6243" spans="1:4" x14ac:dyDescent="0.25">
      <c r="A6243" s="41">
        <v>441334</v>
      </c>
      <c r="B6243" s="39" t="s">
        <v>7786</v>
      </c>
      <c r="C6243" s="40">
        <v>4</v>
      </c>
      <c r="D6243" s="38" t="s">
        <v>266</v>
      </c>
    </row>
    <row r="6244" spans="1:4" x14ac:dyDescent="0.25">
      <c r="A6244" s="41">
        <v>441336</v>
      </c>
      <c r="B6244" s="39" t="s">
        <v>7787</v>
      </c>
      <c r="C6244" s="40">
        <v>4</v>
      </c>
      <c r="D6244" s="38" t="s">
        <v>266</v>
      </c>
    </row>
    <row r="6245" spans="1:4" x14ac:dyDescent="0.25">
      <c r="A6245" s="41">
        <v>441339</v>
      </c>
      <c r="B6245" s="39" t="s">
        <v>7788</v>
      </c>
      <c r="C6245" s="40">
        <v>4</v>
      </c>
      <c r="D6245" s="38" t="s">
        <v>266</v>
      </c>
    </row>
    <row r="6246" spans="1:4" x14ac:dyDescent="0.25">
      <c r="A6246" s="41">
        <v>441351</v>
      </c>
      <c r="B6246" s="39" t="s">
        <v>7789</v>
      </c>
      <c r="C6246" s="40">
        <v>4</v>
      </c>
      <c r="D6246" s="38" t="s">
        <v>266</v>
      </c>
    </row>
    <row r="6247" spans="1:4" x14ac:dyDescent="0.25">
      <c r="A6247" s="41">
        <v>441353</v>
      </c>
      <c r="B6247" s="39" t="s">
        <v>7790</v>
      </c>
      <c r="C6247" s="40">
        <v>4</v>
      </c>
      <c r="D6247" s="38" t="s">
        <v>266</v>
      </c>
    </row>
    <row r="6248" spans="1:4" x14ac:dyDescent="0.25">
      <c r="A6248" s="41">
        <v>441356</v>
      </c>
      <c r="B6248" s="39" t="s">
        <v>7791</v>
      </c>
      <c r="C6248" s="40">
        <v>4</v>
      </c>
      <c r="D6248" s="38" t="s">
        <v>266</v>
      </c>
    </row>
    <row r="6249" spans="1:4" x14ac:dyDescent="0.25">
      <c r="A6249" s="41">
        <v>441359</v>
      </c>
      <c r="B6249" s="39" t="s">
        <v>7792</v>
      </c>
      <c r="C6249" s="40">
        <v>4</v>
      </c>
      <c r="D6249" s="38" t="s">
        <v>266</v>
      </c>
    </row>
    <row r="6250" spans="1:4" x14ac:dyDescent="0.25">
      <c r="A6250" s="41">
        <v>441371</v>
      </c>
      <c r="B6250" s="39" t="s">
        <v>7793</v>
      </c>
      <c r="C6250" s="40">
        <v>4</v>
      </c>
      <c r="D6250" s="38" t="s">
        <v>266</v>
      </c>
    </row>
    <row r="6251" spans="1:4" x14ac:dyDescent="0.25">
      <c r="A6251" s="41">
        <v>441373</v>
      </c>
      <c r="B6251" s="39" t="s">
        <v>7794</v>
      </c>
      <c r="C6251" s="40">
        <v>4</v>
      </c>
      <c r="D6251" s="38" t="s">
        <v>266</v>
      </c>
    </row>
    <row r="6252" spans="1:4" x14ac:dyDescent="0.25">
      <c r="A6252" s="41">
        <v>441376</v>
      </c>
      <c r="B6252" s="39" t="s">
        <v>7795</v>
      </c>
      <c r="C6252" s="40">
        <v>4</v>
      </c>
      <c r="D6252" s="38" t="s">
        <v>266</v>
      </c>
    </row>
    <row r="6253" spans="1:4" x14ac:dyDescent="0.25">
      <c r="A6253" s="41">
        <v>441377</v>
      </c>
      <c r="B6253" s="39" t="s">
        <v>7796</v>
      </c>
      <c r="C6253" s="40">
        <v>4</v>
      </c>
      <c r="D6253" s="38" t="s">
        <v>266</v>
      </c>
    </row>
    <row r="6254" spans="1:4" x14ac:dyDescent="0.25">
      <c r="A6254" s="41">
        <v>441381</v>
      </c>
      <c r="B6254" s="39" t="s">
        <v>7797</v>
      </c>
      <c r="C6254" s="40">
        <v>4</v>
      </c>
      <c r="D6254" s="38" t="s">
        <v>266</v>
      </c>
    </row>
    <row r="6255" spans="1:4" x14ac:dyDescent="0.25">
      <c r="A6255" s="41">
        <v>441383</v>
      </c>
      <c r="B6255" s="39" t="s">
        <v>7798</v>
      </c>
      <c r="C6255" s="40">
        <v>4</v>
      </c>
      <c r="D6255" s="38" t="s">
        <v>266</v>
      </c>
    </row>
    <row r="6256" spans="1:4" x14ac:dyDescent="0.25">
      <c r="A6256" s="41">
        <v>441386</v>
      </c>
      <c r="B6256" s="39" t="s">
        <v>7799</v>
      </c>
      <c r="C6256" s="40">
        <v>4</v>
      </c>
      <c r="D6256" s="38" t="s">
        <v>266</v>
      </c>
    </row>
    <row r="6257" spans="1:4" x14ac:dyDescent="0.25">
      <c r="A6257" s="41">
        <v>441391</v>
      </c>
      <c r="B6257" s="39" t="s">
        <v>7800</v>
      </c>
      <c r="C6257" s="40">
        <v>4</v>
      </c>
      <c r="D6257" s="38" t="s">
        <v>266</v>
      </c>
    </row>
    <row r="6258" spans="1:4" x14ac:dyDescent="0.25">
      <c r="A6258" s="41">
        <v>441393</v>
      </c>
      <c r="B6258" s="39" t="s">
        <v>7801</v>
      </c>
      <c r="C6258" s="40">
        <v>4</v>
      </c>
      <c r="D6258" s="38" t="s">
        <v>266</v>
      </c>
    </row>
    <row r="6259" spans="1:4" x14ac:dyDescent="0.25">
      <c r="A6259" s="41">
        <v>441396</v>
      </c>
      <c r="B6259" s="39" t="s">
        <v>7802</v>
      </c>
      <c r="C6259" s="40">
        <v>4</v>
      </c>
      <c r="D6259" s="38" t="s">
        <v>266</v>
      </c>
    </row>
    <row r="6260" spans="1:4" x14ac:dyDescent="0.25">
      <c r="A6260" s="41">
        <v>441397</v>
      </c>
      <c r="B6260" s="39" t="s">
        <v>7803</v>
      </c>
      <c r="C6260" s="40">
        <v>4</v>
      </c>
      <c r="D6260" s="38" t="s">
        <v>266</v>
      </c>
    </row>
    <row r="6261" spans="1:4" x14ac:dyDescent="0.25">
      <c r="A6261" s="41">
        <v>442000</v>
      </c>
      <c r="B6261" s="39" t="s">
        <v>7804</v>
      </c>
      <c r="C6261" s="40">
        <v>3</v>
      </c>
      <c r="D6261" s="38" t="s">
        <v>266</v>
      </c>
    </row>
    <row r="6262" spans="1:4" x14ac:dyDescent="0.25">
      <c r="A6262" s="41">
        <v>442100</v>
      </c>
      <c r="B6262" s="39" t="s">
        <v>7805</v>
      </c>
      <c r="C6262" s="40">
        <v>3</v>
      </c>
      <c r="D6262" s="38" t="s">
        <v>266</v>
      </c>
    </row>
    <row r="6263" spans="1:4" x14ac:dyDescent="0.25">
      <c r="A6263" s="41">
        <v>442113</v>
      </c>
      <c r="B6263" s="39" t="s">
        <v>7806</v>
      </c>
      <c r="C6263" s="40">
        <v>4</v>
      </c>
      <c r="D6263" s="38" t="s">
        <v>266</v>
      </c>
    </row>
    <row r="6264" spans="1:4" x14ac:dyDescent="0.25">
      <c r="A6264" s="41">
        <v>442116</v>
      </c>
      <c r="B6264" s="39" t="s">
        <v>7807</v>
      </c>
      <c r="C6264" s="40">
        <v>4</v>
      </c>
      <c r="D6264" s="38" t="s">
        <v>266</v>
      </c>
    </row>
    <row r="6265" spans="1:4" x14ac:dyDescent="0.25">
      <c r="A6265" s="41">
        <v>442119</v>
      </c>
      <c r="B6265" s="39" t="s">
        <v>7808</v>
      </c>
      <c r="C6265" s="40">
        <v>4</v>
      </c>
      <c r="D6265" s="38" t="s">
        <v>266</v>
      </c>
    </row>
    <row r="6266" spans="1:4" x14ac:dyDescent="0.25">
      <c r="A6266" s="41">
        <v>442123</v>
      </c>
      <c r="B6266" s="39" t="s">
        <v>7809</v>
      </c>
      <c r="C6266" s="40">
        <v>4</v>
      </c>
      <c r="D6266" s="38" t="s">
        <v>266</v>
      </c>
    </row>
    <row r="6267" spans="1:4" x14ac:dyDescent="0.25">
      <c r="A6267" s="41">
        <v>442126</v>
      </c>
      <c r="B6267" s="39" t="s">
        <v>7810</v>
      </c>
      <c r="C6267" s="40">
        <v>4</v>
      </c>
      <c r="D6267" s="38" t="s">
        <v>266</v>
      </c>
    </row>
    <row r="6268" spans="1:4" x14ac:dyDescent="0.25">
      <c r="A6268" s="41">
        <v>443000</v>
      </c>
      <c r="B6268" s="39" t="s">
        <v>7811</v>
      </c>
      <c r="C6268" s="40">
        <v>3</v>
      </c>
      <c r="D6268" s="38" t="s">
        <v>266</v>
      </c>
    </row>
    <row r="6269" spans="1:4" x14ac:dyDescent="0.25">
      <c r="A6269" s="41">
        <v>443100</v>
      </c>
      <c r="B6269" s="39" t="s">
        <v>7812</v>
      </c>
      <c r="C6269" s="40">
        <v>3</v>
      </c>
      <c r="D6269" s="38" t="s">
        <v>266</v>
      </c>
    </row>
    <row r="6270" spans="1:4" x14ac:dyDescent="0.25">
      <c r="A6270" s="41">
        <v>443111</v>
      </c>
      <c r="B6270" s="39" t="s">
        <v>7813</v>
      </c>
      <c r="C6270" s="40">
        <v>4</v>
      </c>
      <c r="D6270" s="38" t="s">
        <v>266</v>
      </c>
    </row>
    <row r="6271" spans="1:4" x14ac:dyDescent="0.25">
      <c r="A6271" s="41">
        <v>443113</v>
      </c>
      <c r="B6271" s="39" t="s">
        <v>7814</v>
      </c>
      <c r="C6271" s="40">
        <v>4</v>
      </c>
      <c r="D6271" s="38" t="s">
        <v>266</v>
      </c>
    </row>
    <row r="6272" spans="1:4" x14ac:dyDescent="0.25">
      <c r="A6272" s="41">
        <v>443116</v>
      </c>
      <c r="B6272" s="39" t="s">
        <v>7815</v>
      </c>
      <c r="C6272" s="40">
        <v>4</v>
      </c>
      <c r="D6272" s="38" t="s">
        <v>266</v>
      </c>
    </row>
    <row r="6273" spans="1:4" x14ac:dyDescent="0.25">
      <c r="A6273" s="41">
        <v>443119</v>
      </c>
      <c r="B6273" s="39" t="s">
        <v>7816</v>
      </c>
      <c r="C6273" s="40">
        <v>4</v>
      </c>
      <c r="D6273" s="38" t="s">
        <v>266</v>
      </c>
    </row>
    <row r="6274" spans="1:4" x14ac:dyDescent="0.25">
      <c r="A6274" s="41">
        <v>443121</v>
      </c>
      <c r="B6274" s="39" t="s">
        <v>7817</v>
      </c>
      <c r="C6274" s="40">
        <v>4</v>
      </c>
      <c r="D6274" s="38" t="s">
        <v>266</v>
      </c>
    </row>
    <row r="6275" spans="1:4" x14ac:dyDescent="0.25">
      <c r="A6275" s="41">
        <v>443128</v>
      </c>
      <c r="B6275" s="39" t="s">
        <v>7818</v>
      </c>
      <c r="C6275" s="40">
        <v>4</v>
      </c>
      <c r="D6275" s="38" t="s">
        <v>266</v>
      </c>
    </row>
    <row r="6276" spans="1:4" x14ac:dyDescent="0.25">
      <c r="A6276" s="41">
        <v>443129</v>
      </c>
      <c r="B6276" s="39" t="s">
        <v>7819</v>
      </c>
      <c r="C6276" s="40">
        <v>4</v>
      </c>
      <c r="D6276" s="38" t="s">
        <v>266</v>
      </c>
    </row>
    <row r="6277" spans="1:4" x14ac:dyDescent="0.25">
      <c r="A6277" s="41">
        <v>443131</v>
      </c>
      <c r="B6277" s="39" t="s">
        <v>7820</v>
      </c>
      <c r="C6277" s="40">
        <v>4</v>
      </c>
      <c r="D6277" s="38" t="s">
        <v>266</v>
      </c>
    </row>
    <row r="6278" spans="1:4" x14ac:dyDescent="0.25">
      <c r="A6278" s="41">
        <v>443133</v>
      </c>
      <c r="B6278" s="39" t="s">
        <v>7821</v>
      </c>
      <c r="C6278" s="40">
        <v>4</v>
      </c>
      <c r="D6278" s="38" t="s">
        <v>266</v>
      </c>
    </row>
    <row r="6279" spans="1:4" x14ac:dyDescent="0.25">
      <c r="A6279" s="41">
        <v>443141</v>
      </c>
      <c r="B6279" s="39" t="s">
        <v>7822</v>
      </c>
      <c r="C6279" s="40">
        <v>4</v>
      </c>
      <c r="D6279" s="38" t="s">
        <v>266</v>
      </c>
    </row>
    <row r="6280" spans="1:4" x14ac:dyDescent="0.25">
      <c r="A6280" s="41">
        <v>443183</v>
      </c>
      <c r="B6280" s="39" t="s">
        <v>7823</v>
      </c>
      <c r="C6280" s="40">
        <v>4</v>
      </c>
      <c r="D6280" s="38" t="s">
        <v>266</v>
      </c>
    </row>
    <row r="6281" spans="1:4" x14ac:dyDescent="0.25">
      <c r="A6281" s="41">
        <v>443200</v>
      </c>
      <c r="B6281" s="39" t="s">
        <v>7824</v>
      </c>
      <c r="C6281" s="40">
        <v>3</v>
      </c>
      <c r="D6281" s="38" t="s">
        <v>266</v>
      </c>
    </row>
    <row r="6282" spans="1:4" x14ac:dyDescent="0.25">
      <c r="A6282" s="41">
        <v>443213</v>
      </c>
      <c r="B6282" s="39" t="s">
        <v>7825</v>
      </c>
      <c r="C6282" s="40">
        <v>4</v>
      </c>
      <c r="D6282" s="38" t="s">
        <v>266</v>
      </c>
    </row>
    <row r="6283" spans="1:4" x14ac:dyDescent="0.25">
      <c r="A6283" s="42">
        <v>443213.13</v>
      </c>
      <c r="B6283" s="39" t="s">
        <v>7826</v>
      </c>
      <c r="C6283" s="40">
        <v>5</v>
      </c>
      <c r="D6283" s="38" t="s">
        <v>266</v>
      </c>
    </row>
    <row r="6284" spans="1:4" x14ac:dyDescent="0.25">
      <c r="A6284" s="41">
        <v>443223</v>
      </c>
      <c r="B6284" s="39" t="s">
        <v>7827</v>
      </c>
      <c r="C6284" s="40">
        <v>4</v>
      </c>
      <c r="D6284" s="38" t="s">
        <v>266</v>
      </c>
    </row>
    <row r="6285" spans="1:4" x14ac:dyDescent="0.25">
      <c r="A6285" s="41">
        <v>444000</v>
      </c>
      <c r="B6285" s="39" t="s">
        <v>7828</v>
      </c>
      <c r="C6285" s="40">
        <v>3</v>
      </c>
      <c r="D6285" s="38" t="s">
        <v>266</v>
      </c>
    </row>
    <row r="6286" spans="1:4" x14ac:dyDescent="0.25">
      <c r="A6286" s="41">
        <v>444100</v>
      </c>
      <c r="B6286" s="39" t="s">
        <v>7829</v>
      </c>
      <c r="C6286" s="40">
        <v>3</v>
      </c>
      <c r="D6286" s="38" t="s">
        <v>266</v>
      </c>
    </row>
    <row r="6287" spans="1:4" x14ac:dyDescent="0.25">
      <c r="A6287" s="41">
        <v>444113</v>
      </c>
      <c r="B6287" s="39" t="s">
        <v>7830</v>
      </c>
      <c r="C6287" s="40">
        <v>4</v>
      </c>
      <c r="D6287" s="38" t="s">
        <v>266</v>
      </c>
    </row>
    <row r="6288" spans="1:4" x14ac:dyDescent="0.25">
      <c r="A6288" s="41">
        <v>444121</v>
      </c>
      <c r="B6288" s="39" t="s">
        <v>7831</v>
      </c>
      <c r="C6288" s="40">
        <v>4</v>
      </c>
      <c r="D6288" s="38" t="s">
        <v>266</v>
      </c>
    </row>
    <row r="6289" spans="1:4" x14ac:dyDescent="0.25">
      <c r="A6289" s="41">
        <v>444123</v>
      </c>
      <c r="B6289" s="39" t="s">
        <v>7832</v>
      </c>
      <c r="C6289" s="40">
        <v>4</v>
      </c>
      <c r="D6289" s="38" t="s">
        <v>266</v>
      </c>
    </row>
    <row r="6290" spans="1:4" x14ac:dyDescent="0.25">
      <c r="A6290" s="41">
        <v>444131</v>
      </c>
      <c r="B6290" s="39" t="s">
        <v>7833</v>
      </c>
      <c r="C6290" s="40">
        <v>4</v>
      </c>
      <c r="D6290" s="38" t="s">
        <v>266</v>
      </c>
    </row>
    <row r="6291" spans="1:4" x14ac:dyDescent="0.25">
      <c r="A6291" s="41">
        <v>444132</v>
      </c>
      <c r="B6291" s="39" t="s">
        <v>7834</v>
      </c>
      <c r="C6291" s="40">
        <v>4</v>
      </c>
      <c r="D6291" s="38" t="s">
        <v>266</v>
      </c>
    </row>
    <row r="6292" spans="1:4" x14ac:dyDescent="0.25">
      <c r="A6292" s="41">
        <v>444133</v>
      </c>
      <c r="B6292" s="39" t="s">
        <v>7835</v>
      </c>
      <c r="C6292" s="40">
        <v>4</v>
      </c>
      <c r="D6292" s="38" t="s">
        <v>266</v>
      </c>
    </row>
    <row r="6293" spans="1:4" x14ac:dyDescent="0.25">
      <c r="A6293" s="41">
        <v>444134</v>
      </c>
      <c r="B6293" s="39" t="s">
        <v>7836</v>
      </c>
      <c r="C6293" s="40">
        <v>4</v>
      </c>
      <c r="D6293" s="38" t="s">
        <v>266</v>
      </c>
    </row>
    <row r="6294" spans="1:4" x14ac:dyDescent="0.25">
      <c r="A6294" s="41">
        <v>444136</v>
      </c>
      <c r="B6294" s="39" t="s">
        <v>7837</v>
      </c>
      <c r="C6294" s="40">
        <v>4</v>
      </c>
      <c r="D6294" s="38" t="s">
        <v>266</v>
      </c>
    </row>
    <row r="6295" spans="1:4" x14ac:dyDescent="0.25">
      <c r="A6295" s="41">
        <v>444137</v>
      </c>
      <c r="B6295" s="39" t="s">
        <v>7838</v>
      </c>
      <c r="C6295" s="40">
        <v>4</v>
      </c>
      <c r="D6295" s="38" t="s">
        <v>266</v>
      </c>
    </row>
    <row r="6296" spans="1:4" x14ac:dyDescent="0.25">
      <c r="A6296" s="41">
        <v>444141</v>
      </c>
      <c r="B6296" s="39" t="s">
        <v>7839</v>
      </c>
      <c r="C6296" s="40">
        <v>4</v>
      </c>
      <c r="D6296" s="38" t="s">
        <v>266</v>
      </c>
    </row>
    <row r="6297" spans="1:4" x14ac:dyDescent="0.25">
      <c r="A6297" s="41">
        <v>445000</v>
      </c>
      <c r="B6297" s="39" t="s">
        <v>7840</v>
      </c>
      <c r="C6297" s="40">
        <v>3</v>
      </c>
      <c r="D6297" s="38" t="s">
        <v>266</v>
      </c>
    </row>
    <row r="6298" spans="1:4" x14ac:dyDescent="0.25">
      <c r="A6298" s="41">
        <v>445100</v>
      </c>
      <c r="B6298" s="39" t="s">
        <v>7841</v>
      </c>
      <c r="C6298" s="40">
        <v>3</v>
      </c>
      <c r="D6298" s="38" t="s">
        <v>266</v>
      </c>
    </row>
    <row r="6299" spans="1:4" x14ac:dyDescent="0.25">
      <c r="A6299" s="41">
        <v>445113</v>
      </c>
      <c r="B6299" s="39" t="s">
        <v>7842</v>
      </c>
      <c r="C6299" s="40">
        <v>4</v>
      </c>
      <c r="D6299" s="38" t="s">
        <v>266</v>
      </c>
    </row>
    <row r="6300" spans="1:4" x14ac:dyDescent="0.25">
      <c r="A6300" s="41">
        <v>445116</v>
      </c>
      <c r="B6300" s="39" t="s">
        <v>7843</v>
      </c>
      <c r="C6300" s="40">
        <v>4</v>
      </c>
      <c r="D6300" s="38" t="s">
        <v>266</v>
      </c>
    </row>
    <row r="6301" spans="1:4" x14ac:dyDescent="0.25">
      <c r="A6301" s="41">
        <v>445123</v>
      </c>
      <c r="B6301" s="39" t="s">
        <v>7844</v>
      </c>
      <c r="C6301" s="40">
        <v>4</v>
      </c>
      <c r="D6301" s="38" t="s">
        <v>266</v>
      </c>
    </row>
    <row r="6302" spans="1:4" x14ac:dyDescent="0.25">
      <c r="A6302" s="41">
        <v>445300</v>
      </c>
      <c r="B6302" s="39" t="s">
        <v>7845</v>
      </c>
      <c r="C6302" s="40">
        <v>3</v>
      </c>
      <c r="D6302" s="38" t="s">
        <v>266</v>
      </c>
    </row>
    <row r="6303" spans="1:4" x14ac:dyDescent="0.25">
      <c r="A6303" s="41">
        <v>445311</v>
      </c>
      <c r="B6303" s="39" t="s">
        <v>7846</v>
      </c>
      <c r="C6303" s="40">
        <v>4</v>
      </c>
      <c r="D6303" s="38" t="s">
        <v>266</v>
      </c>
    </row>
    <row r="6304" spans="1:4" x14ac:dyDescent="0.25">
      <c r="A6304" s="41">
        <v>445313</v>
      </c>
      <c r="B6304" s="39" t="s">
        <v>7847</v>
      </c>
      <c r="C6304" s="40">
        <v>4</v>
      </c>
      <c r="D6304" s="38" t="s">
        <v>266</v>
      </c>
    </row>
    <row r="6305" spans="1:4" x14ac:dyDescent="0.25">
      <c r="A6305" s="41">
        <v>445316</v>
      </c>
      <c r="B6305" s="39" t="s">
        <v>7848</v>
      </c>
      <c r="C6305" s="40">
        <v>4</v>
      </c>
      <c r="D6305" s="38" t="s">
        <v>266</v>
      </c>
    </row>
    <row r="6306" spans="1:4" x14ac:dyDescent="0.25">
      <c r="A6306" s="41">
        <v>445321</v>
      </c>
      <c r="B6306" s="39" t="s">
        <v>7849</v>
      </c>
      <c r="C6306" s="40">
        <v>4</v>
      </c>
      <c r="D6306" s="38" t="s">
        <v>266</v>
      </c>
    </row>
    <row r="6307" spans="1:4" x14ac:dyDescent="0.25">
      <c r="A6307" s="41">
        <v>445323</v>
      </c>
      <c r="B6307" s="39" t="s">
        <v>7850</v>
      </c>
      <c r="C6307" s="40">
        <v>4</v>
      </c>
      <c r="D6307" s="38" t="s">
        <v>266</v>
      </c>
    </row>
    <row r="6308" spans="1:4" x14ac:dyDescent="0.25">
      <c r="A6308" s="41">
        <v>445326</v>
      </c>
      <c r="B6308" s="39" t="s">
        <v>7851</v>
      </c>
      <c r="C6308" s="40">
        <v>4</v>
      </c>
      <c r="D6308" s="38" t="s">
        <v>266</v>
      </c>
    </row>
    <row r="6309" spans="1:4" x14ac:dyDescent="0.25">
      <c r="A6309" s="41">
        <v>445327</v>
      </c>
      <c r="B6309" s="39" t="s">
        <v>7852</v>
      </c>
      <c r="C6309" s="40">
        <v>4</v>
      </c>
      <c r="D6309" s="38" t="s">
        <v>266</v>
      </c>
    </row>
    <row r="6310" spans="1:4" x14ac:dyDescent="0.25">
      <c r="A6310" s="41">
        <v>445331</v>
      </c>
      <c r="B6310" s="39" t="s">
        <v>7853</v>
      </c>
      <c r="C6310" s="40">
        <v>4</v>
      </c>
      <c r="D6310" s="38" t="s">
        <v>266</v>
      </c>
    </row>
    <row r="6311" spans="1:4" x14ac:dyDescent="0.25">
      <c r="A6311" s="41">
        <v>445333</v>
      </c>
      <c r="B6311" s="39" t="s">
        <v>7854</v>
      </c>
      <c r="C6311" s="40">
        <v>4</v>
      </c>
      <c r="D6311" s="38" t="s">
        <v>266</v>
      </c>
    </row>
    <row r="6312" spans="1:4" x14ac:dyDescent="0.25">
      <c r="A6312" s="41">
        <v>445336</v>
      </c>
      <c r="B6312" s="39" t="s">
        <v>7855</v>
      </c>
      <c r="C6312" s="40">
        <v>4</v>
      </c>
      <c r="D6312" s="38" t="s">
        <v>266</v>
      </c>
    </row>
    <row r="6313" spans="1:4" x14ac:dyDescent="0.25">
      <c r="A6313" s="41">
        <v>445339</v>
      </c>
      <c r="B6313" s="39" t="s">
        <v>7856</v>
      </c>
      <c r="C6313" s="40">
        <v>4</v>
      </c>
      <c r="D6313" s="38" t="s">
        <v>266</v>
      </c>
    </row>
    <row r="6314" spans="1:4" x14ac:dyDescent="0.25">
      <c r="A6314" s="41">
        <v>445341</v>
      </c>
      <c r="B6314" s="39" t="s">
        <v>7857</v>
      </c>
      <c r="C6314" s="40">
        <v>4</v>
      </c>
      <c r="D6314" s="38" t="s">
        <v>266</v>
      </c>
    </row>
    <row r="6315" spans="1:4" x14ac:dyDescent="0.25">
      <c r="A6315" s="41">
        <v>445343</v>
      </c>
      <c r="B6315" s="39" t="s">
        <v>7858</v>
      </c>
      <c r="C6315" s="40">
        <v>4</v>
      </c>
      <c r="D6315" s="38" t="s">
        <v>266</v>
      </c>
    </row>
    <row r="6316" spans="1:4" x14ac:dyDescent="0.25">
      <c r="A6316" s="41">
        <v>445344</v>
      </c>
      <c r="B6316" s="39" t="s">
        <v>7859</v>
      </c>
      <c r="C6316" s="40">
        <v>4</v>
      </c>
      <c r="D6316" s="38" t="s">
        <v>266</v>
      </c>
    </row>
    <row r="6317" spans="1:4" x14ac:dyDescent="0.25">
      <c r="A6317" s="41">
        <v>445346</v>
      </c>
      <c r="B6317" s="39" t="s">
        <v>7860</v>
      </c>
      <c r="C6317" s="40">
        <v>4</v>
      </c>
      <c r="D6317" s="38" t="s">
        <v>266</v>
      </c>
    </row>
    <row r="6318" spans="1:4" x14ac:dyDescent="0.25">
      <c r="A6318" s="41">
        <v>445349</v>
      </c>
      <c r="B6318" s="39" t="s">
        <v>7861</v>
      </c>
      <c r="C6318" s="40">
        <v>4</v>
      </c>
      <c r="D6318" s="38" t="s">
        <v>266</v>
      </c>
    </row>
    <row r="6319" spans="1:4" x14ac:dyDescent="0.25">
      <c r="A6319" s="41">
        <v>445351</v>
      </c>
      <c r="B6319" s="39" t="s">
        <v>7862</v>
      </c>
      <c r="C6319" s="40">
        <v>4</v>
      </c>
      <c r="D6319" s="38" t="s">
        <v>266</v>
      </c>
    </row>
    <row r="6320" spans="1:4" x14ac:dyDescent="0.25">
      <c r="A6320" s="41">
        <v>445352</v>
      </c>
      <c r="B6320" s="39" t="s">
        <v>7863</v>
      </c>
      <c r="C6320" s="40">
        <v>4</v>
      </c>
      <c r="D6320" s="38" t="s">
        <v>266</v>
      </c>
    </row>
    <row r="6321" spans="1:4" x14ac:dyDescent="0.25">
      <c r="A6321" s="41">
        <v>445353</v>
      </c>
      <c r="B6321" s="39" t="s">
        <v>7864</v>
      </c>
      <c r="C6321" s="40">
        <v>4</v>
      </c>
      <c r="D6321" s="38" t="s">
        <v>266</v>
      </c>
    </row>
    <row r="6322" spans="1:4" x14ac:dyDescent="0.25">
      <c r="A6322" s="41">
        <v>445356</v>
      </c>
      <c r="B6322" s="39" t="s">
        <v>7865</v>
      </c>
      <c r="C6322" s="40">
        <v>4</v>
      </c>
      <c r="D6322" s="38" t="s">
        <v>266</v>
      </c>
    </row>
    <row r="6323" spans="1:4" x14ac:dyDescent="0.25">
      <c r="A6323" s="41">
        <v>445359</v>
      </c>
      <c r="B6323" s="39" t="s">
        <v>7866</v>
      </c>
      <c r="C6323" s="40">
        <v>4</v>
      </c>
      <c r="D6323" s="38" t="s">
        <v>266</v>
      </c>
    </row>
    <row r="6324" spans="1:4" x14ac:dyDescent="0.25">
      <c r="A6324" s="41">
        <v>445361</v>
      </c>
      <c r="B6324" s="39" t="s">
        <v>7867</v>
      </c>
      <c r="C6324" s="40">
        <v>4</v>
      </c>
      <c r="D6324" s="38" t="s">
        <v>266</v>
      </c>
    </row>
    <row r="6325" spans="1:4" x14ac:dyDescent="0.25">
      <c r="A6325" s="41">
        <v>445363</v>
      </c>
      <c r="B6325" s="39" t="s">
        <v>7868</v>
      </c>
      <c r="C6325" s="40">
        <v>4</v>
      </c>
      <c r="D6325" s="38" t="s">
        <v>266</v>
      </c>
    </row>
    <row r="6326" spans="1:4" x14ac:dyDescent="0.25">
      <c r="A6326" s="41">
        <v>445364</v>
      </c>
      <c r="B6326" s="39" t="s">
        <v>7869</v>
      </c>
      <c r="C6326" s="40">
        <v>4</v>
      </c>
      <c r="D6326" s="38" t="s">
        <v>266</v>
      </c>
    </row>
    <row r="6327" spans="1:4" x14ac:dyDescent="0.25">
      <c r="A6327" s="41">
        <v>445366</v>
      </c>
      <c r="B6327" s="39" t="s">
        <v>7870</v>
      </c>
      <c r="C6327" s="40">
        <v>4</v>
      </c>
      <c r="D6327" s="38" t="s">
        <v>266</v>
      </c>
    </row>
    <row r="6328" spans="1:4" x14ac:dyDescent="0.25">
      <c r="A6328" s="41">
        <v>445373</v>
      </c>
      <c r="B6328" s="39" t="s">
        <v>7871</v>
      </c>
      <c r="C6328" s="40">
        <v>4</v>
      </c>
      <c r="D6328" s="38" t="s">
        <v>266</v>
      </c>
    </row>
    <row r="6329" spans="1:4" x14ac:dyDescent="0.25">
      <c r="A6329" s="41">
        <v>445500</v>
      </c>
      <c r="B6329" s="39" t="s">
        <v>3993</v>
      </c>
      <c r="C6329" s="40">
        <v>3</v>
      </c>
      <c r="D6329" s="38" t="s">
        <v>266</v>
      </c>
    </row>
    <row r="6330" spans="1:4" x14ac:dyDescent="0.25">
      <c r="A6330" s="41">
        <v>445511</v>
      </c>
      <c r="B6330" s="39" t="s">
        <v>7872</v>
      </c>
      <c r="C6330" s="40">
        <v>4</v>
      </c>
      <c r="D6330" s="38" t="s">
        <v>266</v>
      </c>
    </row>
    <row r="6331" spans="1:4" x14ac:dyDescent="0.25">
      <c r="A6331" s="41">
        <v>445513</v>
      </c>
      <c r="B6331" s="39" t="s">
        <v>7873</v>
      </c>
      <c r="C6331" s="40">
        <v>4</v>
      </c>
      <c r="D6331" s="38" t="s">
        <v>266</v>
      </c>
    </row>
    <row r="6332" spans="1:4" x14ac:dyDescent="0.25">
      <c r="A6332" s="41">
        <v>445516</v>
      </c>
      <c r="B6332" s="39" t="s">
        <v>7874</v>
      </c>
      <c r="C6332" s="40">
        <v>4</v>
      </c>
      <c r="D6332" s="38" t="s">
        <v>266</v>
      </c>
    </row>
    <row r="6333" spans="1:4" x14ac:dyDescent="0.25">
      <c r="A6333" s="41">
        <v>445523</v>
      </c>
      <c r="B6333" s="39" t="s">
        <v>7875</v>
      </c>
      <c r="C6333" s="40">
        <v>4</v>
      </c>
      <c r="D6333" s="38" t="s">
        <v>266</v>
      </c>
    </row>
    <row r="6334" spans="1:4" x14ac:dyDescent="0.25">
      <c r="A6334" s="41">
        <v>445526</v>
      </c>
      <c r="B6334" s="39" t="s">
        <v>7876</v>
      </c>
      <c r="C6334" s="40">
        <v>4</v>
      </c>
      <c r="D6334" s="38" t="s">
        <v>266</v>
      </c>
    </row>
    <row r="6335" spans="1:4" x14ac:dyDescent="0.25">
      <c r="A6335" s="41">
        <v>445533</v>
      </c>
      <c r="B6335" s="39" t="s">
        <v>7877</v>
      </c>
      <c r="C6335" s="40">
        <v>4</v>
      </c>
      <c r="D6335" s="38" t="s">
        <v>266</v>
      </c>
    </row>
    <row r="6336" spans="1:4" x14ac:dyDescent="0.25">
      <c r="A6336" s="41">
        <v>445543</v>
      </c>
      <c r="B6336" s="39" t="s">
        <v>7878</v>
      </c>
      <c r="C6336" s="40">
        <v>4</v>
      </c>
      <c r="D6336" s="38" t="s">
        <v>266</v>
      </c>
    </row>
    <row r="6337" spans="1:4" x14ac:dyDescent="0.25">
      <c r="A6337" s="41">
        <v>445573</v>
      </c>
      <c r="B6337" s="39" t="s">
        <v>7879</v>
      </c>
      <c r="C6337" s="40">
        <v>4</v>
      </c>
      <c r="D6337" s="38" t="s">
        <v>266</v>
      </c>
    </row>
    <row r="6338" spans="1:4" x14ac:dyDescent="0.25">
      <c r="A6338" s="41">
        <v>446000</v>
      </c>
      <c r="B6338" s="39" t="s">
        <v>7880</v>
      </c>
      <c r="C6338" s="40">
        <v>3</v>
      </c>
      <c r="D6338" s="38" t="s">
        <v>266</v>
      </c>
    </row>
    <row r="6339" spans="1:4" x14ac:dyDescent="0.25">
      <c r="A6339" s="41">
        <v>446100</v>
      </c>
      <c r="B6339" s="39" t="s">
        <v>7881</v>
      </c>
      <c r="C6339" s="40">
        <v>3</v>
      </c>
      <c r="D6339" s="38" t="s">
        <v>266</v>
      </c>
    </row>
    <row r="6340" spans="1:4" x14ac:dyDescent="0.25">
      <c r="A6340" s="41">
        <v>446113</v>
      </c>
      <c r="B6340" s="39" t="s">
        <v>7882</v>
      </c>
      <c r="C6340" s="40">
        <v>4</v>
      </c>
      <c r="D6340" s="38" t="s">
        <v>266</v>
      </c>
    </row>
    <row r="6341" spans="1:4" x14ac:dyDescent="0.25">
      <c r="A6341" s="41">
        <v>446116</v>
      </c>
      <c r="B6341" s="39" t="s">
        <v>7883</v>
      </c>
      <c r="C6341" s="40">
        <v>4</v>
      </c>
      <c r="D6341" s="38" t="s">
        <v>266</v>
      </c>
    </row>
    <row r="6342" spans="1:4" x14ac:dyDescent="0.25">
      <c r="A6342" s="41">
        <v>446123</v>
      </c>
      <c r="B6342" s="39" t="s">
        <v>7884</v>
      </c>
      <c r="C6342" s="40">
        <v>4</v>
      </c>
      <c r="D6342" s="38" t="s">
        <v>266</v>
      </c>
    </row>
    <row r="6343" spans="1:4" x14ac:dyDescent="0.25">
      <c r="A6343" s="41">
        <v>446126</v>
      </c>
      <c r="B6343" s="39" t="s">
        <v>7885</v>
      </c>
      <c r="C6343" s="40">
        <v>4</v>
      </c>
      <c r="D6343" s="38" t="s">
        <v>266</v>
      </c>
    </row>
    <row r="6344" spans="1:4" x14ac:dyDescent="0.25">
      <c r="A6344" s="41">
        <v>446129</v>
      </c>
      <c r="B6344" s="39" t="s">
        <v>7886</v>
      </c>
      <c r="C6344" s="40">
        <v>4</v>
      </c>
      <c r="D6344" s="38" t="s">
        <v>266</v>
      </c>
    </row>
    <row r="6345" spans="1:4" x14ac:dyDescent="0.25">
      <c r="A6345" s="41">
        <v>446131</v>
      </c>
      <c r="B6345" s="39" t="s">
        <v>7887</v>
      </c>
      <c r="C6345" s="40">
        <v>4</v>
      </c>
      <c r="D6345" s="38" t="s">
        <v>266</v>
      </c>
    </row>
    <row r="6346" spans="1:4" x14ac:dyDescent="0.25">
      <c r="A6346" s="41">
        <v>446133</v>
      </c>
      <c r="B6346" s="39" t="s">
        <v>7888</v>
      </c>
      <c r="C6346" s="40">
        <v>4</v>
      </c>
      <c r="D6346" s="38" t="s">
        <v>266</v>
      </c>
    </row>
    <row r="6347" spans="1:4" x14ac:dyDescent="0.25">
      <c r="A6347" s="41">
        <v>446136</v>
      </c>
      <c r="B6347" s="39" t="s">
        <v>7889</v>
      </c>
      <c r="C6347" s="40">
        <v>4</v>
      </c>
      <c r="D6347" s="38" t="s">
        <v>266</v>
      </c>
    </row>
    <row r="6348" spans="1:4" x14ac:dyDescent="0.25">
      <c r="A6348" s="41">
        <v>446200</v>
      </c>
      <c r="B6348" s="39" t="s">
        <v>7890</v>
      </c>
      <c r="C6348" s="40">
        <v>3</v>
      </c>
      <c r="D6348" s="38" t="s">
        <v>266</v>
      </c>
    </row>
    <row r="6349" spans="1:4" x14ac:dyDescent="0.25">
      <c r="A6349" s="41">
        <v>446300</v>
      </c>
      <c r="B6349" s="39" t="s">
        <v>7891</v>
      </c>
      <c r="C6349" s="40">
        <v>3</v>
      </c>
      <c r="D6349" s="38" t="s">
        <v>266</v>
      </c>
    </row>
    <row r="6350" spans="1:4" x14ac:dyDescent="0.25">
      <c r="A6350" s="41">
        <v>446400</v>
      </c>
      <c r="B6350" s="39" t="s">
        <v>7892</v>
      </c>
      <c r="C6350" s="40">
        <v>3</v>
      </c>
      <c r="D6350" s="38" t="s">
        <v>266</v>
      </c>
    </row>
    <row r="6351" spans="1:4" x14ac:dyDescent="0.25">
      <c r="A6351" s="41">
        <v>446413</v>
      </c>
      <c r="B6351" s="39" t="s">
        <v>7893</v>
      </c>
      <c r="C6351" s="40">
        <v>4</v>
      </c>
      <c r="D6351" s="38" t="s">
        <v>266</v>
      </c>
    </row>
    <row r="6352" spans="1:4" x14ac:dyDescent="0.25">
      <c r="A6352" s="41">
        <v>446423</v>
      </c>
      <c r="B6352" s="39" t="s">
        <v>7894</v>
      </c>
      <c r="C6352" s="40">
        <v>4</v>
      </c>
      <c r="D6352" s="38" t="s">
        <v>266</v>
      </c>
    </row>
    <row r="6353" spans="1:4" x14ac:dyDescent="0.25">
      <c r="A6353" s="41">
        <v>446433</v>
      </c>
      <c r="B6353" s="39" t="s">
        <v>7895</v>
      </c>
      <c r="C6353" s="40">
        <v>4</v>
      </c>
      <c r="D6353" s="38" t="s">
        <v>266</v>
      </c>
    </row>
    <row r="6354" spans="1:4" x14ac:dyDescent="0.25">
      <c r="A6354" s="41">
        <v>446443</v>
      </c>
      <c r="B6354" s="39" t="s">
        <v>7896</v>
      </c>
      <c r="C6354" s="40">
        <v>4</v>
      </c>
      <c r="D6354" s="38" t="s">
        <v>266</v>
      </c>
    </row>
    <row r="6355" spans="1:4" x14ac:dyDescent="0.25">
      <c r="A6355" s="41">
        <v>446453</v>
      </c>
      <c r="B6355" s="39" t="s">
        <v>7897</v>
      </c>
      <c r="C6355" s="40">
        <v>4</v>
      </c>
      <c r="D6355" s="38" t="s">
        <v>266</v>
      </c>
    </row>
    <row r="6356" spans="1:4" x14ac:dyDescent="0.25">
      <c r="A6356" s="41">
        <v>446500</v>
      </c>
      <c r="B6356" s="39" t="s">
        <v>7898</v>
      </c>
      <c r="C6356" s="40">
        <v>3</v>
      </c>
      <c r="D6356" s="38" t="s">
        <v>266</v>
      </c>
    </row>
    <row r="6357" spans="1:4" x14ac:dyDescent="0.25">
      <c r="A6357" s="41">
        <v>446600</v>
      </c>
      <c r="B6357" s="39" t="s">
        <v>7899</v>
      </c>
      <c r="C6357" s="40">
        <v>3</v>
      </c>
      <c r="D6357" s="38" t="s">
        <v>266</v>
      </c>
    </row>
    <row r="6358" spans="1:4" x14ac:dyDescent="0.25">
      <c r="A6358" s="41">
        <v>446700</v>
      </c>
      <c r="B6358" s="39" t="s">
        <v>7900</v>
      </c>
      <c r="C6358" s="40">
        <v>3</v>
      </c>
      <c r="D6358" s="38" t="s">
        <v>266</v>
      </c>
    </row>
    <row r="6359" spans="1:4" x14ac:dyDescent="0.25">
      <c r="A6359" s="41">
        <v>446800</v>
      </c>
      <c r="B6359" s="39" t="s">
        <v>7901</v>
      </c>
      <c r="C6359" s="40">
        <v>3</v>
      </c>
      <c r="D6359" s="38" t="s">
        <v>266</v>
      </c>
    </row>
    <row r="6360" spans="1:4" x14ac:dyDescent="0.25">
      <c r="A6360" s="41">
        <v>450000</v>
      </c>
      <c r="B6360" s="39" t="s">
        <v>7902</v>
      </c>
      <c r="C6360" s="40">
        <v>2</v>
      </c>
      <c r="D6360" s="38" t="s">
        <v>266</v>
      </c>
    </row>
    <row r="6361" spans="1:4" x14ac:dyDescent="0.25">
      <c r="A6361" s="41">
        <v>450800</v>
      </c>
      <c r="B6361" s="39" t="s">
        <v>7903</v>
      </c>
      <c r="C6361" s="40">
        <v>3</v>
      </c>
      <c r="D6361" s="38" t="s">
        <v>266</v>
      </c>
    </row>
    <row r="6362" spans="1:4" x14ac:dyDescent="0.25">
      <c r="A6362" s="41">
        <v>451100</v>
      </c>
      <c r="B6362" s="39" t="s">
        <v>7904</v>
      </c>
      <c r="C6362" s="40">
        <v>3</v>
      </c>
      <c r="D6362" s="38" t="s">
        <v>266</v>
      </c>
    </row>
    <row r="6363" spans="1:4" x14ac:dyDescent="0.25">
      <c r="A6363" s="41">
        <v>451101</v>
      </c>
      <c r="B6363" s="39" t="s">
        <v>7905</v>
      </c>
      <c r="C6363" s="40">
        <v>4</v>
      </c>
      <c r="D6363" s="38" t="s">
        <v>266</v>
      </c>
    </row>
    <row r="6364" spans="1:4" x14ac:dyDescent="0.25">
      <c r="A6364" s="41">
        <v>451110</v>
      </c>
      <c r="B6364" s="39" t="s">
        <v>7906</v>
      </c>
      <c r="C6364" s="40">
        <v>4</v>
      </c>
      <c r="D6364" s="38" t="s">
        <v>266</v>
      </c>
    </row>
    <row r="6365" spans="1:4" x14ac:dyDescent="0.25">
      <c r="A6365" s="41">
        <v>451300</v>
      </c>
      <c r="B6365" s="39" t="s">
        <v>7907</v>
      </c>
      <c r="C6365" s="40">
        <v>3</v>
      </c>
      <c r="D6365" s="38" t="s">
        <v>266</v>
      </c>
    </row>
    <row r="6366" spans="1:4" x14ac:dyDescent="0.25">
      <c r="A6366" s="41">
        <v>451301</v>
      </c>
      <c r="B6366" s="39" t="s">
        <v>7908</v>
      </c>
      <c r="C6366" s="40">
        <v>4</v>
      </c>
      <c r="D6366" s="38" t="s">
        <v>266</v>
      </c>
    </row>
    <row r="6367" spans="1:4" x14ac:dyDescent="0.25">
      <c r="A6367" s="41">
        <v>451310</v>
      </c>
      <c r="B6367" s="39" t="s">
        <v>7909</v>
      </c>
      <c r="C6367" s="40">
        <v>4</v>
      </c>
      <c r="D6367" s="38" t="s">
        <v>266</v>
      </c>
    </row>
    <row r="6368" spans="1:4" x14ac:dyDescent="0.25">
      <c r="A6368" s="41">
        <v>451500</v>
      </c>
      <c r="B6368" s="39" t="s">
        <v>7910</v>
      </c>
      <c r="C6368" s="40">
        <v>3</v>
      </c>
      <c r="D6368" s="38" t="s">
        <v>266</v>
      </c>
    </row>
    <row r="6369" spans="1:4" x14ac:dyDescent="0.25">
      <c r="A6369" s="41">
        <v>451501</v>
      </c>
      <c r="B6369" s="39" t="s">
        <v>7911</v>
      </c>
      <c r="C6369" s="40">
        <v>4</v>
      </c>
      <c r="D6369" s="38" t="s">
        <v>266</v>
      </c>
    </row>
    <row r="6370" spans="1:4" x14ac:dyDescent="0.25">
      <c r="A6370" s="41">
        <v>451510</v>
      </c>
      <c r="B6370" s="39" t="s">
        <v>7912</v>
      </c>
      <c r="C6370" s="40">
        <v>4</v>
      </c>
      <c r="D6370" s="38" t="s">
        <v>266</v>
      </c>
    </row>
    <row r="6371" spans="1:4" x14ac:dyDescent="0.25">
      <c r="A6371" s="41">
        <v>451700</v>
      </c>
      <c r="B6371" s="39" t="s">
        <v>7913</v>
      </c>
      <c r="C6371" s="40">
        <v>3</v>
      </c>
      <c r="D6371" s="38" t="s">
        <v>266</v>
      </c>
    </row>
    <row r="6372" spans="1:4" x14ac:dyDescent="0.25">
      <c r="A6372" s="41">
        <v>451701</v>
      </c>
      <c r="B6372" s="39" t="s">
        <v>7914</v>
      </c>
      <c r="C6372" s="40">
        <v>4</v>
      </c>
      <c r="D6372" s="38" t="s">
        <v>266</v>
      </c>
    </row>
    <row r="6373" spans="1:4" x14ac:dyDescent="0.25">
      <c r="A6373" s="41">
        <v>451710</v>
      </c>
      <c r="B6373" s="39" t="s">
        <v>7915</v>
      </c>
      <c r="C6373" s="40">
        <v>4</v>
      </c>
      <c r="D6373" s="38" t="s">
        <v>266</v>
      </c>
    </row>
    <row r="6374" spans="1:4" x14ac:dyDescent="0.25">
      <c r="A6374" s="41">
        <v>451900</v>
      </c>
      <c r="B6374" s="39" t="s">
        <v>7916</v>
      </c>
      <c r="C6374" s="40">
        <v>3</v>
      </c>
      <c r="D6374" s="38" t="s">
        <v>266</v>
      </c>
    </row>
    <row r="6375" spans="1:4" x14ac:dyDescent="0.25">
      <c r="A6375" s="41">
        <v>451901</v>
      </c>
      <c r="B6375" s="39" t="s">
        <v>7917</v>
      </c>
      <c r="C6375" s="40">
        <v>4</v>
      </c>
      <c r="D6375" s="38" t="s">
        <v>266</v>
      </c>
    </row>
    <row r="6376" spans="1:4" x14ac:dyDescent="0.25">
      <c r="A6376" s="41">
        <v>451910</v>
      </c>
      <c r="B6376" s="39" t="s">
        <v>7918</v>
      </c>
      <c r="C6376" s="40">
        <v>4</v>
      </c>
      <c r="D6376" s="38" t="s">
        <v>266</v>
      </c>
    </row>
    <row r="6377" spans="1:4" x14ac:dyDescent="0.25">
      <c r="A6377" s="41">
        <v>452100</v>
      </c>
      <c r="B6377" s="39" t="s">
        <v>7919</v>
      </c>
      <c r="C6377" s="40">
        <v>3</v>
      </c>
      <c r="D6377" s="38" t="s">
        <v>266</v>
      </c>
    </row>
    <row r="6378" spans="1:4" x14ac:dyDescent="0.25">
      <c r="A6378" s="41">
        <v>452101</v>
      </c>
      <c r="B6378" s="39" t="s">
        <v>7920</v>
      </c>
      <c r="C6378" s="40">
        <v>4</v>
      </c>
      <c r="D6378" s="38" t="s">
        <v>266</v>
      </c>
    </row>
    <row r="6379" spans="1:4" x14ac:dyDescent="0.25">
      <c r="A6379" s="41">
        <v>452110</v>
      </c>
      <c r="B6379" s="39" t="s">
        <v>7921</v>
      </c>
      <c r="C6379" s="40">
        <v>4</v>
      </c>
      <c r="D6379" s="38" t="s">
        <v>266</v>
      </c>
    </row>
    <row r="6380" spans="1:4" x14ac:dyDescent="0.25">
      <c r="A6380" s="41">
        <v>452300</v>
      </c>
      <c r="B6380" s="39" t="s">
        <v>7922</v>
      </c>
      <c r="C6380" s="40">
        <v>3</v>
      </c>
      <c r="D6380" s="38" t="s">
        <v>266</v>
      </c>
    </row>
    <row r="6381" spans="1:4" x14ac:dyDescent="0.25">
      <c r="A6381" s="41">
        <v>452301</v>
      </c>
      <c r="B6381" s="39" t="s">
        <v>7923</v>
      </c>
      <c r="C6381" s="40">
        <v>4</v>
      </c>
      <c r="D6381" s="38" t="s">
        <v>266</v>
      </c>
    </row>
    <row r="6382" spans="1:4" x14ac:dyDescent="0.25">
      <c r="A6382" s="41">
        <v>452310</v>
      </c>
      <c r="B6382" s="39" t="s">
        <v>7924</v>
      </c>
      <c r="C6382" s="40">
        <v>4</v>
      </c>
      <c r="D6382" s="38" t="s">
        <v>266</v>
      </c>
    </row>
    <row r="6383" spans="1:4" x14ac:dyDescent="0.25">
      <c r="A6383" s="41">
        <v>452500</v>
      </c>
      <c r="B6383" s="39" t="s">
        <v>7925</v>
      </c>
      <c r="C6383" s="40">
        <v>3</v>
      </c>
      <c r="D6383" s="38" t="s">
        <v>266</v>
      </c>
    </row>
    <row r="6384" spans="1:4" x14ac:dyDescent="0.25">
      <c r="A6384" s="41">
        <v>452501</v>
      </c>
      <c r="B6384" s="39" t="s">
        <v>7926</v>
      </c>
      <c r="C6384" s="40">
        <v>4</v>
      </c>
      <c r="D6384" s="38" t="s">
        <v>266</v>
      </c>
    </row>
    <row r="6385" spans="1:4" x14ac:dyDescent="0.25">
      <c r="A6385" s="41">
        <v>452510</v>
      </c>
      <c r="B6385" s="39" t="s">
        <v>7927</v>
      </c>
      <c r="C6385" s="40">
        <v>4</v>
      </c>
      <c r="D6385" s="38" t="s">
        <v>266</v>
      </c>
    </row>
    <row r="6386" spans="1:4" x14ac:dyDescent="0.25">
      <c r="A6386" s="41">
        <v>452700</v>
      </c>
      <c r="B6386" s="39" t="s">
        <v>7928</v>
      </c>
      <c r="C6386" s="40">
        <v>3</v>
      </c>
      <c r="D6386" s="38" t="s">
        <v>266</v>
      </c>
    </row>
    <row r="6387" spans="1:4" x14ac:dyDescent="0.25">
      <c r="A6387" s="41">
        <v>452701</v>
      </c>
      <c r="B6387" s="39" t="s">
        <v>7929</v>
      </c>
      <c r="C6387" s="40">
        <v>4</v>
      </c>
      <c r="D6387" s="38" t="s">
        <v>266</v>
      </c>
    </row>
    <row r="6388" spans="1:4" x14ac:dyDescent="0.25">
      <c r="A6388" s="41">
        <v>452710</v>
      </c>
      <c r="B6388" s="39" t="s">
        <v>7930</v>
      </c>
      <c r="C6388" s="40">
        <v>4</v>
      </c>
      <c r="D6388" s="38" t="s">
        <v>266</v>
      </c>
    </row>
    <row r="6389" spans="1:4" x14ac:dyDescent="0.25">
      <c r="A6389" s="41">
        <v>452900</v>
      </c>
      <c r="B6389" s="39" t="s">
        <v>7931</v>
      </c>
      <c r="C6389" s="40">
        <v>3</v>
      </c>
      <c r="D6389" s="38" t="s">
        <v>266</v>
      </c>
    </row>
    <row r="6390" spans="1:4" x14ac:dyDescent="0.25">
      <c r="A6390" s="41">
        <v>452901</v>
      </c>
      <c r="B6390" s="39" t="s">
        <v>7932</v>
      </c>
      <c r="C6390" s="40">
        <v>4</v>
      </c>
      <c r="D6390" s="38" t="s">
        <v>266</v>
      </c>
    </row>
    <row r="6391" spans="1:4" x14ac:dyDescent="0.25">
      <c r="A6391" s="41">
        <v>452910</v>
      </c>
      <c r="B6391" s="39" t="s">
        <v>7933</v>
      </c>
      <c r="C6391" s="40">
        <v>4</v>
      </c>
      <c r="D6391" s="38" t="s">
        <v>266</v>
      </c>
    </row>
    <row r="6392" spans="1:4" x14ac:dyDescent="0.25">
      <c r="A6392" s="41">
        <v>453100</v>
      </c>
      <c r="B6392" s="39" t="s">
        <v>7934</v>
      </c>
      <c r="C6392" s="40">
        <v>3</v>
      </c>
      <c r="D6392" s="38" t="s">
        <v>266</v>
      </c>
    </row>
    <row r="6393" spans="1:4" x14ac:dyDescent="0.25">
      <c r="A6393" s="41">
        <v>453101</v>
      </c>
      <c r="B6393" s="39" t="s">
        <v>7935</v>
      </c>
      <c r="C6393" s="40">
        <v>4</v>
      </c>
      <c r="D6393" s="38" t="s">
        <v>266</v>
      </c>
    </row>
    <row r="6394" spans="1:4" x14ac:dyDescent="0.25">
      <c r="A6394" s="41">
        <v>453110</v>
      </c>
      <c r="B6394" s="39" t="s">
        <v>7936</v>
      </c>
      <c r="C6394" s="40">
        <v>4</v>
      </c>
      <c r="D6394" s="38" t="s">
        <v>266</v>
      </c>
    </row>
    <row r="6395" spans="1:4" x14ac:dyDescent="0.25">
      <c r="A6395" s="41">
        <v>453300</v>
      </c>
      <c r="B6395" s="39" t="s">
        <v>7937</v>
      </c>
      <c r="C6395" s="40">
        <v>3</v>
      </c>
      <c r="D6395" s="38" t="s">
        <v>266</v>
      </c>
    </row>
    <row r="6396" spans="1:4" x14ac:dyDescent="0.25">
      <c r="A6396" s="41">
        <v>453301</v>
      </c>
      <c r="B6396" s="39" t="s">
        <v>7938</v>
      </c>
      <c r="C6396" s="40">
        <v>4</v>
      </c>
      <c r="D6396" s="38" t="s">
        <v>266</v>
      </c>
    </row>
    <row r="6397" spans="1:4" x14ac:dyDescent="0.25">
      <c r="A6397" s="41">
        <v>453310</v>
      </c>
      <c r="B6397" s="39" t="s">
        <v>7939</v>
      </c>
      <c r="C6397" s="40">
        <v>4</v>
      </c>
      <c r="D6397" s="38" t="s">
        <v>266</v>
      </c>
    </row>
    <row r="6398" spans="1:4" x14ac:dyDescent="0.25">
      <c r="A6398" s="41">
        <v>453500</v>
      </c>
      <c r="B6398" s="39" t="s">
        <v>7940</v>
      </c>
      <c r="C6398" s="40">
        <v>3</v>
      </c>
      <c r="D6398" s="38" t="s">
        <v>266</v>
      </c>
    </row>
    <row r="6399" spans="1:4" x14ac:dyDescent="0.25">
      <c r="A6399" s="41">
        <v>453501</v>
      </c>
      <c r="B6399" s="39" t="s">
        <v>7941</v>
      </c>
      <c r="C6399" s="40">
        <v>4</v>
      </c>
      <c r="D6399" s="38" t="s">
        <v>266</v>
      </c>
    </row>
    <row r="6400" spans="1:4" x14ac:dyDescent="0.25">
      <c r="A6400" s="41">
        <v>453510</v>
      </c>
      <c r="B6400" s="39" t="s">
        <v>7942</v>
      </c>
      <c r="C6400" s="40">
        <v>4</v>
      </c>
      <c r="D6400" s="38" t="s">
        <v>266</v>
      </c>
    </row>
    <row r="6401" spans="1:4" x14ac:dyDescent="0.25">
      <c r="A6401" s="41">
        <v>453700</v>
      </c>
      <c r="B6401" s="39" t="s">
        <v>7943</v>
      </c>
      <c r="C6401" s="40">
        <v>3</v>
      </c>
      <c r="D6401" s="38" t="s">
        <v>266</v>
      </c>
    </row>
    <row r="6402" spans="1:4" x14ac:dyDescent="0.25">
      <c r="A6402" s="41">
        <v>453701</v>
      </c>
      <c r="B6402" s="39" t="s">
        <v>7944</v>
      </c>
      <c r="C6402" s="40">
        <v>4</v>
      </c>
      <c r="D6402" s="38" t="s">
        <v>266</v>
      </c>
    </row>
    <row r="6403" spans="1:4" x14ac:dyDescent="0.25">
      <c r="A6403" s="41">
        <v>453710</v>
      </c>
      <c r="B6403" s="39" t="s">
        <v>7945</v>
      </c>
      <c r="C6403" s="40">
        <v>4</v>
      </c>
      <c r="D6403" s="38" t="s">
        <v>266</v>
      </c>
    </row>
    <row r="6404" spans="1:4" x14ac:dyDescent="0.25">
      <c r="A6404" s="41">
        <v>453900</v>
      </c>
      <c r="B6404" s="39" t="s">
        <v>7946</v>
      </c>
      <c r="C6404" s="40">
        <v>3</v>
      </c>
      <c r="D6404" s="38" t="s">
        <v>266</v>
      </c>
    </row>
    <row r="6405" spans="1:4" x14ac:dyDescent="0.25">
      <c r="A6405" s="41">
        <v>453901</v>
      </c>
      <c r="B6405" s="39" t="s">
        <v>7947</v>
      </c>
      <c r="C6405" s="40">
        <v>4</v>
      </c>
      <c r="D6405" s="38" t="s">
        <v>266</v>
      </c>
    </row>
    <row r="6406" spans="1:4" x14ac:dyDescent="0.25">
      <c r="A6406" s="41">
        <v>453910</v>
      </c>
      <c r="B6406" s="39" t="s">
        <v>7948</v>
      </c>
      <c r="C6406" s="40">
        <v>4</v>
      </c>
      <c r="D6406" s="38" t="s">
        <v>266</v>
      </c>
    </row>
    <row r="6407" spans="1:4" x14ac:dyDescent="0.25">
      <c r="A6407" s="41">
        <v>454100</v>
      </c>
      <c r="B6407" s="39" t="s">
        <v>7949</v>
      </c>
      <c r="C6407" s="40">
        <v>3</v>
      </c>
      <c r="D6407" s="38" t="s">
        <v>266</v>
      </c>
    </row>
    <row r="6408" spans="1:4" x14ac:dyDescent="0.25">
      <c r="A6408" s="41">
        <v>454101</v>
      </c>
      <c r="B6408" s="39" t="s">
        <v>7950</v>
      </c>
      <c r="C6408" s="40">
        <v>4</v>
      </c>
      <c r="D6408" s="38" t="s">
        <v>266</v>
      </c>
    </row>
    <row r="6409" spans="1:4" x14ac:dyDescent="0.25">
      <c r="A6409" s="41">
        <v>454110</v>
      </c>
      <c r="B6409" s="39" t="s">
        <v>7951</v>
      </c>
      <c r="C6409" s="40">
        <v>4</v>
      </c>
      <c r="D6409" s="38" t="s">
        <v>266</v>
      </c>
    </row>
    <row r="6410" spans="1:4" x14ac:dyDescent="0.25">
      <c r="A6410" s="41">
        <v>454300</v>
      </c>
      <c r="B6410" s="39" t="s">
        <v>7952</v>
      </c>
      <c r="C6410" s="40">
        <v>3</v>
      </c>
      <c r="D6410" s="38" t="s">
        <v>266</v>
      </c>
    </row>
    <row r="6411" spans="1:4" x14ac:dyDescent="0.25">
      <c r="A6411" s="41">
        <v>454301</v>
      </c>
      <c r="B6411" s="39" t="s">
        <v>7953</v>
      </c>
      <c r="C6411" s="40">
        <v>4</v>
      </c>
      <c r="D6411" s="38" t="s">
        <v>266</v>
      </c>
    </row>
    <row r="6412" spans="1:4" x14ac:dyDescent="0.25">
      <c r="A6412" s="41">
        <v>454310</v>
      </c>
      <c r="B6412" s="39" t="s">
        <v>7954</v>
      </c>
      <c r="C6412" s="40">
        <v>4</v>
      </c>
      <c r="D6412" s="38" t="s">
        <v>266</v>
      </c>
    </row>
    <row r="6413" spans="1:4" x14ac:dyDescent="0.25">
      <c r="A6413" s="41">
        <v>454500</v>
      </c>
      <c r="B6413" s="39" t="s">
        <v>7955</v>
      </c>
      <c r="C6413" s="40">
        <v>3</v>
      </c>
      <c r="D6413" s="38" t="s">
        <v>266</v>
      </c>
    </row>
    <row r="6414" spans="1:4" x14ac:dyDescent="0.25">
      <c r="A6414" s="41">
        <v>454501</v>
      </c>
      <c r="B6414" s="39" t="s">
        <v>7956</v>
      </c>
      <c r="C6414" s="40">
        <v>4</v>
      </c>
      <c r="D6414" s="38" t="s">
        <v>266</v>
      </c>
    </row>
    <row r="6415" spans="1:4" x14ac:dyDescent="0.25">
      <c r="A6415" s="41">
        <v>454510</v>
      </c>
      <c r="B6415" s="39" t="s">
        <v>7957</v>
      </c>
      <c r="C6415" s="40">
        <v>4</v>
      </c>
      <c r="D6415" s="38" t="s">
        <v>266</v>
      </c>
    </row>
    <row r="6416" spans="1:4" x14ac:dyDescent="0.25">
      <c r="A6416" s="41">
        <v>454700</v>
      </c>
      <c r="B6416" s="39" t="s">
        <v>7958</v>
      </c>
      <c r="C6416" s="40">
        <v>3</v>
      </c>
      <c r="D6416" s="38" t="s">
        <v>266</v>
      </c>
    </row>
    <row r="6417" spans="1:4" x14ac:dyDescent="0.25">
      <c r="A6417" s="41">
        <v>454701</v>
      </c>
      <c r="B6417" s="39" t="s">
        <v>7959</v>
      </c>
      <c r="C6417" s="40">
        <v>4</v>
      </c>
      <c r="D6417" s="38" t="s">
        <v>266</v>
      </c>
    </row>
    <row r="6418" spans="1:4" x14ac:dyDescent="0.25">
      <c r="A6418" s="41">
        <v>454710</v>
      </c>
      <c r="B6418" s="39" t="s">
        <v>7960</v>
      </c>
      <c r="C6418" s="40">
        <v>4</v>
      </c>
      <c r="D6418" s="38" t="s">
        <v>266</v>
      </c>
    </row>
    <row r="6419" spans="1:4" x14ac:dyDescent="0.25">
      <c r="A6419" s="41">
        <v>454900</v>
      </c>
      <c r="B6419" s="39" t="s">
        <v>7961</v>
      </c>
      <c r="C6419" s="40">
        <v>3</v>
      </c>
      <c r="D6419" s="38" t="s">
        <v>266</v>
      </c>
    </row>
    <row r="6420" spans="1:4" x14ac:dyDescent="0.25">
      <c r="A6420" s="41">
        <v>454901</v>
      </c>
      <c r="B6420" s="39" t="s">
        <v>7962</v>
      </c>
      <c r="C6420" s="40">
        <v>4</v>
      </c>
      <c r="D6420" s="38" t="s">
        <v>266</v>
      </c>
    </row>
    <row r="6421" spans="1:4" x14ac:dyDescent="0.25">
      <c r="A6421" s="41">
        <v>454910</v>
      </c>
      <c r="B6421" s="39" t="s">
        <v>7963</v>
      </c>
      <c r="C6421" s="40">
        <v>4</v>
      </c>
      <c r="D6421" s="38" t="s">
        <v>266</v>
      </c>
    </row>
    <row r="6422" spans="1:4" x14ac:dyDescent="0.25">
      <c r="A6422" s="41">
        <v>455100</v>
      </c>
      <c r="B6422" s="39" t="s">
        <v>7964</v>
      </c>
      <c r="C6422" s="40">
        <v>3</v>
      </c>
      <c r="D6422" s="38" t="s">
        <v>266</v>
      </c>
    </row>
    <row r="6423" spans="1:4" x14ac:dyDescent="0.25">
      <c r="A6423" s="41">
        <v>455101</v>
      </c>
      <c r="B6423" s="39" t="s">
        <v>7965</v>
      </c>
      <c r="C6423" s="40">
        <v>4</v>
      </c>
      <c r="D6423" s="38" t="s">
        <v>266</v>
      </c>
    </row>
    <row r="6424" spans="1:4" x14ac:dyDescent="0.25">
      <c r="A6424" s="41">
        <v>455110</v>
      </c>
      <c r="B6424" s="39" t="s">
        <v>7966</v>
      </c>
      <c r="C6424" s="40">
        <v>4</v>
      </c>
      <c r="D6424" s="38" t="s">
        <v>266</v>
      </c>
    </row>
    <row r="6425" spans="1:4" x14ac:dyDescent="0.25">
      <c r="A6425" s="41">
        <v>460000</v>
      </c>
      <c r="B6425" s="39" t="s">
        <v>7967</v>
      </c>
      <c r="C6425" s="40">
        <v>2</v>
      </c>
      <c r="D6425" s="38" t="s">
        <v>266</v>
      </c>
    </row>
    <row r="6426" spans="1:4" x14ac:dyDescent="0.25">
      <c r="A6426" s="41">
        <v>467000</v>
      </c>
      <c r="B6426" s="39" t="s">
        <v>7968</v>
      </c>
      <c r="C6426" s="40">
        <v>3</v>
      </c>
      <c r="D6426" s="38" t="s">
        <v>266</v>
      </c>
    </row>
    <row r="6427" spans="1:4" x14ac:dyDescent="0.25">
      <c r="A6427" s="41">
        <v>467100</v>
      </c>
      <c r="B6427" s="39" t="s">
        <v>7969</v>
      </c>
      <c r="C6427" s="40">
        <v>3</v>
      </c>
      <c r="D6427" s="38" t="s">
        <v>266</v>
      </c>
    </row>
    <row r="6428" spans="1:4" x14ac:dyDescent="0.25">
      <c r="A6428" s="41">
        <v>467300</v>
      </c>
      <c r="B6428" s="39" t="s">
        <v>7970</v>
      </c>
      <c r="C6428" s="40">
        <v>3</v>
      </c>
      <c r="D6428" s="38" t="s">
        <v>266</v>
      </c>
    </row>
    <row r="6429" spans="1:4" x14ac:dyDescent="0.25">
      <c r="A6429" s="41">
        <v>467600</v>
      </c>
      <c r="B6429" s="39" t="s">
        <v>7971</v>
      </c>
      <c r="C6429" s="40">
        <v>3</v>
      </c>
      <c r="D6429" s="38" t="s">
        <v>266</v>
      </c>
    </row>
    <row r="6430" spans="1:4" x14ac:dyDescent="0.25">
      <c r="A6430" s="41">
        <v>467800</v>
      </c>
      <c r="B6430" s="39" t="s">
        <v>7972</v>
      </c>
      <c r="C6430" s="40">
        <v>3</v>
      </c>
      <c r="D6430" s="38" t="s">
        <v>266</v>
      </c>
    </row>
    <row r="6431" spans="1:4" x14ac:dyDescent="0.25">
      <c r="A6431" s="41">
        <v>460100</v>
      </c>
      <c r="B6431" s="39" t="s">
        <v>7973</v>
      </c>
      <c r="C6431" s="40">
        <v>3</v>
      </c>
      <c r="D6431" s="38" t="s">
        <v>266</v>
      </c>
    </row>
    <row r="6432" spans="1:4" x14ac:dyDescent="0.25">
      <c r="A6432" s="41">
        <v>460107</v>
      </c>
      <c r="B6432" s="39" t="s">
        <v>7974</v>
      </c>
      <c r="C6432" s="40">
        <v>4</v>
      </c>
      <c r="D6432" s="38" t="s">
        <v>266</v>
      </c>
    </row>
    <row r="6433" spans="1:4" x14ac:dyDescent="0.25">
      <c r="A6433" s="41">
        <v>460120</v>
      </c>
      <c r="B6433" s="39" t="s">
        <v>7975</v>
      </c>
      <c r="C6433" s="40">
        <v>4</v>
      </c>
      <c r="D6433" s="38" t="s">
        <v>266</v>
      </c>
    </row>
    <row r="6434" spans="1:4" x14ac:dyDescent="0.25">
      <c r="A6434" s="41">
        <v>460130</v>
      </c>
      <c r="B6434" s="39" t="s">
        <v>7976</v>
      </c>
      <c r="C6434" s="40">
        <v>4</v>
      </c>
      <c r="D6434" s="38" t="s">
        <v>266</v>
      </c>
    </row>
    <row r="6435" spans="1:4" x14ac:dyDescent="0.25">
      <c r="A6435" s="41">
        <v>460140</v>
      </c>
      <c r="B6435" s="39" t="s">
        <v>7977</v>
      </c>
      <c r="C6435" s="40">
        <v>4</v>
      </c>
      <c r="D6435" s="38" t="s">
        <v>266</v>
      </c>
    </row>
    <row r="6436" spans="1:4" x14ac:dyDescent="0.25">
      <c r="A6436" s="41">
        <v>460150</v>
      </c>
      <c r="B6436" s="39" t="s">
        <v>7978</v>
      </c>
      <c r="C6436" s="40">
        <v>4</v>
      </c>
      <c r="D6436" s="38" t="s">
        <v>266</v>
      </c>
    </row>
    <row r="6437" spans="1:4" x14ac:dyDescent="0.25">
      <c r="A6437" s="41">
        <v>460160</v>
      </c>
      <c r="B6437" s="39" t="s">
        <v>7979</v>
      </c>
      <c r="C6437" s="40">
        <v>4</v>
      </c>
      <c r="D6437" s="38" t="s">
        <v>266</v>
      </c>
    </row>
    <row r="6438" spans="1:4" x14ac:dyDescent="0.25">
      <c r="A6438" s="41">
        <v>460170</v>
      </c>
      <c r="B6438" s="39" t="s">
        <v>7980</v>
      </c>
      <c r="C6438" s="40">
        <v>4</v>
      </c>
      <c r="D6438" s="38" t="s">
        <v>266</v>
      </c>
    </row>
    <row r="6439" spans="1:4" x14ac:dyDescent="0.25">
      <c r="A6439" s="41">
        <v>460500</v>
      </c>
      <c r="B6439" s="39" t="s">
        <v>7981</v>
      </c>
      <c r="C6439" s="40">
        <v>3</v>
      </c>
      <c r="D6439" s="38" t="s">
        <v>266</v>
      </c>
    </row>
    <row r="6440" spans="1:4" x14ac:dyDescent="0.25">
      <c r="A6440" s="41">
        <v>460700</v>
      </c>
      <c r="B6440" s="39" t="s">
        <v>7982</v>
      </c>
      <c r="C6440" s="40">
        <v>3</v>
      </c>
      <c r="D6440" s="38" t="s">
        <v>266</v>
      </c>
    </row>
    <row r="6441" spans="1:4" x14ac:dyDescent="0.25">
      <c r="A6441" s="41">
        <v>460713</v>
      </c>
      <c r="B6441" s="39" t="s">
        <v>7983</v>
      </c>
      <c r="C6441" s="40">
        <v>4</v>
      </c>
      <c r="D6441" s="38" t="s">
        <v>266</v>
      </c>
    </row>
    <row r="6442" spans="1:4" x14ac:dyDescent="0.25">
      <c r="A6442" s="41">
        <v>460753</v>
      </c>
      <c r="B6442" s="39" t="s">
        <v>7984</v>
      </c>
      <c r="C6442" s="40">
        <v>4</v>
      </c>
      <c r="D6442" s="38" t="s">
        <v>266</v>
      </c>
    </row>
    <row r="6443" spans="1:4" x14ac:dyDescent="0.25">
      <c r="A6443" s="41">
        <v>460800</v>
      </c>
      <c r="B6443" s="39" t="s">
        <v>7985</v>
      </c>
      <c r="C6443" s="40">
        <v>3</v>
      </c>
      <c r="D6443" s="38" t="s">
        <v>266</v>
      </c>
    </row>
    <row r="6444" spans="1:4" x14ac:dyDescent="0.25">
      <c r="A6444" s="41">
        <v>460807</v>
      </c>
      <c r="B6444" s="39" t="s">
        <v>7986</v>
      </c>
      <c r="C6444" s="40">
        <v>4</v>
      </c>
      <c r="D6444" s="38" t="s">
        <v>266</v>
      </c>
    </row>
    <row r="6445" spans="1:4" x14ac:dyDescent="0.25">
      <c r="A6445" s="41">
        <v>460820</v>
      </c>
      <c r="B6445" s="39" t="s">
        <v>7987</v>
      </c>
      <c r="C6445" s="40">
        <v>4</v>
      </c>
      <c r="D6445" s="38" t="s">
        <v>266</v>
      </c>
    </row>
    <row r="6446" spans="1:4" x14ac:dyDescent="0.25">
      <c r="A6446" s="41">
        <v>460830</v>
      </c>
      <c r="B6446" s="39" t="s">
        <v>7988</v>
      </c>
      <c r="C6446" s="40">
        <v>4</v>
      </c>
      <c r="D6446" s="38" t="s">
        <v>266</v>
      </c>
    </row>
    <row r="6447" spans="1:4" x14ac:dyDescent="0.25">
      <c r="A6447" s="41">
        <v>460840</v>
      </c>
      <c r="B6447" s="39" t="s">
        <v>7989</v>
      </c>
      <c r="C6447" s="40">
        <v>4</v>
      </c>
      <c r="D6447" s="38" t="s">
        <v>266</v>
      </c>
    </row>
    <row r="6448" spans="1:4" x14ac:dyDescent="0.25">
      <c r="A6448" s="41">
        <v>460850</v>
      </c>
      <c r="B6448" s="39" t="s">
        <v>7990</v>
      </c>
      <c r="C6448" s="40">
        <v>4</v>
      </c>
      <c r="D6448" s="38" t="s">
        <v>266</v>
      </c>
    </row>
    <row r="6449" spans="1:4" x14ac:dyDescent="0.25">
      <c r="A6449" s="41">
        <v>460860</v>
      </c>
      <c r="B6449" s="39" t="s">
        <v>7991</v>
      </c>
      <c r="C6449" s="40">
        <v>4</v>
      </c>
      <c r="D6449" s="38" t="s">
        <v>266</v>
      </c>
    </row>
    <row r="6450" spans="1:4" x14ac:dyDescent="0.25">
      <c r="A6450" s="41">
        <v>460870</v>
      </c>
      <c r="B6450" s="39" t="s">
        <v>7992</v>
      </c>
      <c r="C6450" s="40">
        <v>4</v>
      </c>
      <c r="D6450" s="38" t="s">
        <v>266</v>
      </c>
    </row>
    <row r="6451" spans="1:4" x14ac:dyDescent="0.25">
      <c r="A6451" s="41">
        <v>462000</v>
      </c>
      <c r="B6451" s="39" t="s">
        <v>7993</v>
      </c>
      <c r="C6451" s="40">
        <v>3</v>
      </c>
      <c r="D6451" s="38" t="s">
        <v>266</v>
      </c>
    </row>
    <row r="6452" spans="1:4" x14ac:dyDescent="0.25">
      <c r="A6452" s="41">
        <v>462100</v>
      </c>
      <c r="B6452" s="39" t="s">
        <v>7994</v>
      </c>
      <c r="C6452" s="40">
        <v>3</v>
      </c>
      <c r="D6452" s="38" t="s">
        <v>266</v>
      </c>
    </row>
    <row r="6453" spans="1:4" x14ac:dyDescent="0.25">
      <c r="A6453" s="41">
        <v>462111</v>
      </c>
      <c r="B6453" s="39" t="s">
        <v>7995</v>
      </c>
      <c r="C6453" s="40">
        <v>4</v>
      </c>
      <c r="D6453" s="38" t="s">
        <v>266</v>
      </c>
    </row>
    <row r="6454" spans="1:4" x14ac:dyDescent="0.25">
      <c r="A6454" s="41">
        <v>462113</v>
      </c>
      <c r="B6454" s="39" t="s">
        <v>7996</v>
      </c>
      <c r="C6454" s="40">
        <v>4</v>
      </c>
      <c r="D6454" s="38" t="s">
        <v>266</v>
      </c>
    </row>
    <row r="6455" spans="1:4" x14ac:dyDescent="0.25">
      <c r="A6455" s="41">
        <v>462116</v>
      </c>
      <c r="B6455" s="39" t="s">
        <v>7997</v>
      </c>
      <c r="C6455" s="40">
        <v>4</v>
      </c>
      <c r="D6455" s="38" t="s">
        <v>266</v>
      </c>
    </row>
    <row r="6456" spans="1:4" x14ac:dyDescent="0.25">
      <c r="A6456" s="41">
        <v>462117</v>
      </c>
      <c r="B6456" s="39" t="s">
        <v>7998</v>
      </c>
      <c r="C6456" s="40">
        <v>4</v>
      </c>
      <c r="D6456" s="38" t="s">
        <v>266</v>
      </c>
    </row>
    <row r="6457" spans="1:4" x14ac:dyDescent="0.25">
      <c r="A6457" s="41">
        <v>462119</v>
      </c>
      <c r="B6457" s="39" t="s">
        <v>7999</v>
      </c>
      <c r="C6457" s="40">
        <v>4</v>
      </c>
      <c r="D6457" s="38" t="s">
        <v>266</v>
      </c>
    </row>
    <row r="6458" spans="1:4" x14ac:dyDescent="0.25">
      <c r="A6458" s="41">
        <v>462123</v>
      </c>
      <c r="B6458" s="39" t="s">
        <v>8000</v>
      </c>
      <c r="C6458" s="40">
        <v>4</v>
      </c>
      <c r="D6458" s="38" t="s">
        <v>266</v>
      </c>
    </row>
    <row r="6459" spans="1:4" x14ac:dyDescent="0.25">
      <c r="A6459" s="41">
        <v>462126</v>
      </c>
      <c r="B6459" s="39" t="s">
        <v>8001</v>
      </c>
      <c r="C6459" s="40">
        <v>4</v>
      </c>
      <c r="D6459" s="38" t="s">
        <v>266</v>
      </c>
    </row>
    <row r="6460" spans="1:4" x14ac:dyDescent="0.25">
      <c r="A6460" s="41">
        <v>462133</v>
      </c>
      <c r="B6460" s="39" t="s">
        <v>8002</v>
      </c>
      <c r="C6460" s="40">
        <v>4</v>
      </c>
      <c r="D6460" s="38" t="s">
        <v>266</v>
      </c>
    </row>
    <row r="6461" spans="1:4" x14ac:dyDescent="0.25">
      <c r="A6461" s="41">
        <v>462139</v>
      </c>
      <c r="B6461" s="39" t="s">
        <v>8003</v>
      </c>
      <c r="C6461" s="40">
        <v>4</v>
      </c>
      <c r="D6461" s="38" t="s">
        <v>266</v>
      </c>
    </row>
    <row r="6462" spans="1:4" x14ac:dyDescent="0.25">
      <c r="A6462" s="41">
        <v>462143</v>
      </c>
      <c r="B6462" s="39" t="s">
        <v>8004</v>
      </c>
      <c r="C6462" s="40">
        <v>4</v>
      </c>
      <c r="D6462" s="38" t="s">
        <v>266</v>
      </c>
    </row>
    <row r="6463" spans="1:4" x14ac:dyDescent="0.25">
      <c r="A6463" s="41">
        <v>462146</v>
      </c>
      <c r="B6463" s="39" t="s">
        <v>8005</v>
      </c>
      <c r="C6463" s="40">
        <v>4</v>
      </c>
      <c r="D6463" s="38" t="s">
        <v>266</v>
      </c>
    </row>
    <row r="6464" spans="1:4" x14ac:dyDescent="0.25">
      <c r="A6464" s="41">
        <v>462151</v>
      </c>
      <c r="B6464" s="39" t="s">
        <v>8006</v>
      </c>
      <c r="C6464" s="40">
        <v>4</v>
      </c>
      <c r="D6464" s="38" t="s">
        <v>266</v>
      </c>
    </row>
    <row r="6465" spans="1:4" x14ac:dyDescent="0.25">
      <c r="A6465" s="41">
        <v>462153</v>
      </c>
      <c r="B6465" s="39" t="s">
        <v>8007</v>
      </c>
      <c r="C6465" s="40">
        <v>4</v>
      </c>
      <c r="D6465" s="38" t="s">
        <v>266</v>
      </c>
    </row>
    <row r="6466" spans="1:4" x14ac:dyDescent="0.25">
      <c r="A6466" s="41">
        <v>462156</v>
      </c>
      <c r="B6466" s="39" t="s">
        <v>8008</v>
      </c>
      <c r="C6466" s="40">
        <v>4</v>
      </c>
      <c r="D6466" s="38" t="s">
        <v>266</v>
      </c>
    </row>
    <row r="6467" spans="1:4" x14ac:dyDescent="0.25">
      <c r="A6467" s="41">
        <v>462157</v>
      </c>
      <c r="B6467" s="39" t="s">
        <v>8009</v>
      </c>
      <c r="C6467" s="40">
        <v>4</v>
      </c>
      <c r="D6467" s="38" t="s">
        <v>266</v>
      </c>
    </row>
    <row r="6468" spans="1:4" x14ac:dyDescent="0.25">
      <c r="A6468" s="41">
        <v>462171</v>
      </c>
      <c r="B6468" s="39" t="s">
        <v>8010</v>
      </c>
      <c r="C6468" s="40">
        <v>4</v>
      </c>
      <c r="D6468" s="38" t="s">
        <v>266</v>
      </c>
    </row>
    <row r="6469" spans="1:4" x14ac:dyDescent="0.25">
      <c r="A6469" s="41">
        <v>462173</v>
      </c>
      <c r="B6469" s="39" t="s">
        <v>8011</v>
      </c>
      <c r="C6469" s="40">
        <v>4</v>
      </c>
      <c r="D6469" s="38" t="s">
        <v>266</v>
      </c>
    </row>
    <row r="6470" spans="1:4" x14ac:dyDescent="0.25">
      <c r="A6470" s="41">
        <v>462176</v>
      </c>
      <c r="B6470" s="39" t="s">
        <v>8012</v>
      </c>
      <c r="C6470" s="40">
        <v>4</v>
      </c>
      <c r="D6470" s="38" t="s">
        <v>266</v>
      </c>
    </row>
    <row r="6471" spans="1:4" x14ac:dyDescent="0.25">
      <c r="A6471" s="41">
        <v>462179</v>
      </c>
      <c r="B6471" s="39" t="s">
        <v>8013</v>
      </c>
      <c r="C6471" s="40">
        <v>4</v>
      </c>
      <c r="D6471" s="38" t="s">
        <v>266</v>
      </c>
    </row>
    <row r="6472" spans="1:4" x14ac:dyDescent="0.25">
      <c r="A6472" s="41">
        <v>462183</v>
      </c>
      <c r="B6472" s="39" t="s">
        <v>8014</v>
      </c>
      <c r="C6472" s="40">
        <v>4</v>
      </c>
      <c r="D6472" s="38" t="s">
        <v>266</v>
      </c>
    </row>
    <row r="6473" spans="1:4" x14ac:dyDescent="0.25">
      <c r="A6473" s="41">
        <v>462300</v>
      </c>
      <c r="B6473" s="39" t="s">
        <v>8015</v>
      </c>
      <c r="C6473" s="40">
        <v>3</v>
      </c>
      <c r="D6473" s="38" t="s">
        <v>266</v>
      </c>
    </row>
    <row r="6474" spans="1:4" x14ac:dyDescent="0.25">
      <c r="A6474" s="41">
        <v>462313</v>
      </c>
      <c r="B6474" s="39" t="s">
        <v>8016</v>
      </c>
      <c r="C6474" s="40">
        <v>4</v>
      </c>
      <c r="D6474" s="38" t="s">
        <v>266</v>
      </c>
    </row>
    <row r="6475" spans="1:4" x14ac:dyDescent="0.25">
      <c r="A6475" s="41">
        <v>462316</v>
      </c>
      <c r="B6475" s="39" t="s">
        <v>8017</v>
      </c>
      <c r="C6475" s="40">
        <v>4</v>
      </c>
      <c r="D6475" s="38" t="s">
        <v>266</v>
      </c>
    </row>
    <row r="6476" spans="1:4" x14ac:dyDescent="0.25">
      <c r="A6476" s="41">
        <v>462323</v>
      </c>
      <c r="B6476" s="39" t="s">
        <v>8018</v>
      </c>
      <c r="C6476" s="40">
        <v>4</v>
      </c>
      <c r="D6476" s="38" t="s">
        <v>266</v>
      </c>
    </row>
    <row r="6477" spans="1:4" x14ac:dyDescent="0.25">
      <c r="A6477" s="41">
        <v>462327</v>
      </c>
      <c r="B6477" s="39" t="s">
        <v>8019</v>
      </c>
      <c r="C6477" s="40">
        <v>4</v>
      </c>
      <c r="D6477" s="38" t="s">
        <v>266</v>
      </c>
    </row>
    <row r="6478" spans="1:4" x14ac:dyDescent="0.25">
      <c r="A6478" s="41">
        <v>462333</v>
      </c>
      <c r="B6478" s="39" t="s">
        <v>8020</v>
      </c>
      <c r="C6478" s="40">
        <v>4</v>
      </c>
      <c r="D6478" s="38" t="s">
        <v>266</v>
      </c>
    </row>
    <row r="6479" spans="1:4" x14ac:dyDescent="0.25">
      <c r="A6479" s="41">
        <v>462343</v>
      </c>
      <c r="B6479" s="39" t="s">
        <v>8021</v>
      </c>
      <c r="C6479" s="40">
        <v>4</v>
      </c>
      <c r="D6479" s="38" t="s">
        <v>266</v>
      </c>
    </row>
    <row r="6480" spans="1:4" x14ac:dyDescent="0.25">
      <c r="A6480" s="41">
        <v>462353</v>
      </c>
      <c r="B6480" s="39" t="s">
        <v>8022</v>
      </c>
      <c r="C6480" s="40">
        <v>4</v>
      </c>
      <c r="D6480" s="38" t="s">
        <v>266</v>
      </c>
    </row>
    <row r="6481" spans="1:4" x14ac:dyDescent="0.25">
      <c r="A6481" s="41">
        <v>462363</v>
      </c>
      <c r="B6481" s="39" t="s">
        <v>8023</v>
      </c>
      <c r="C6481" s="40">
        <v>4</v>
      </c>
      <c r="D6481" s="38" t="s">
        <v>266</v>
      </c>
    </row>
    <row r="6482" spans="1:4" x14ac:dyDescent="0.25">
      <c r="A6482" s="41">
        <v>462366</v>
      </c>
      <c r="B6482" s="39" t="s">
        <v>8024</v>
      </c>
      <c r="C6482" s="40">
        <v>4</v>
      </c>
      <c r="D6482" s="38" t="s">
        <v>266</v>
      </c>
    </row>
    <row r="6483" spans="1:4" x14ac:dyDescent="0.25">
      <c r="A6483" s="41">
        <v>462400</v>
      </c>
      <c r="B6483" s="39" t="s">
        <v>8025</v>
      </c>
      <c r="C6483" s="40">
        <v>3</v>
      </c>
      <c r="D6483" s="38" t="s">
        <v>266</v>
      </c>
    </row>
    <row r="6484" spans="1:4" x14ac:dyDescent="0.25">
      <c r="A6484" s="41">
        <v>462413</v>
      </c>
      <c r="B6484" s="39" t="s">
        <v>8026</v>
      </c>
      <c r="C6484" s="40">
        <v>4</v>
      </c>
      <c r="D6484" s="38" t="s">
        <v>266</v>
      </c>
    </row>
    <row r="6485" spans="1:4" x14ac:dyDescent="0.25">
      <c r="A6485" s="41">
        <v>462416</v>
      </c>
      <c r="B6485" s="39" t="s">
        <v>8027</v>
      </c>
      <c r="C6485" s="40">
        <v>4</v>
      </c>
      <c r="D6485" s="38" t="s">
        <v>266</v>
      </c>
    </row>
    <row r="6486" spans="1:4" x14ac:dyDescent="0.25">
      <c r="A6486" s="41">
        <v>462423</v>
      </c>
      <c r="B6486" s="39" t="s">
        <v>8028</v>
      </c>
      <c r="C6486" s="40">
        <v>4</v>
      </c>
      <c r="D6486" s="38" t="s">
        <v>266</v>
      </c>
    </row>
    <row r="6487" spans="1:4" x14ac:dyDescent="0.25">
      <c r="A6487" s="41">
        <v>462433</v>
      </c>
      <c r="B6487" s="39" t="s">
        <v>8029</v>
      </c>
      <c r="C6487" s="40">
        <v>4</v>
      </c>
      <c r="D6487" s="38" t="s">
        <v>266</v>
      </c>
    </row>
    <row r="6488" spans="1:4" x14ac:dyDescent="0.25">
      <c r="A6488" s="41">
        <v>462436</v>
      </c>
      <c r="B6488" s="39" t="s">
        <v>8030</v>
      </c>
      <c r="C6488" s="40">
        <v>4</v>
      </c>
      <c r="D6488" s="38" t="s">
        <v>266</v>
      </c>
    </row>
    <row r="6489" spans="1:4" x14ac:dyDescent="0.25">
      <c r="A6489" s="41">
        <v>462500</v>
      </c>
      <c r="B6489" s="39" t="s">
        <v>8031</v>
      </c>
      <c r="C6489" s="40">
        <v>3</v>
      </c>
      <c r="D6489" s="38" t="s">
        <v>266</v>
      </c>
    </row>
    <row r="6490" spans="1:4" x14ac:dyDescent="0.25">
      <c r="A6490" s="41">
        <v>462513</v>
      </c>
      <c r="B6490" s="39" t="s">
        <v>8032</v>
      </c>
      <c r="C6490" s="40">
        <v>4</v>
      </c>
      <c r="D6490" s="38" t="s">
        <v>266</v>
      </c>
    </row>
    <row r="6491" spans="1:4" x14ac:dyDescent="0.25">
      <c r="A6491" s="41">
        <v>462516</v>
      </c>
      <c r="B6491" s="39" t="s">
        <v>8033</v>
      </c>
      <c r="C6491" s="40">
        <v>4</v>
      </c>
      <c r="D6491" s="38" t="s">
        <v>266</v>
      </c>
    </row>
    <row r="6492" spans="1:4" x14ac:dyDescent="0.25">
      <c r="A6492" s="41">
        <v>462523</v>
      </c>
      <c r="B6492" s="39" t="s">
        <v>8034</v>
      </c>
      <c r="C6492" s="40">
        <v>4</v>
      </c>
      <c r="D6492" s="38" t="s">
        <v>266</v>
      </c>
    </row>
    <row r="6493" spans="1:4" x14ac:dyDescent="0.25">
      <c r="A6493" s="41">
        <v>462533</v>
      </c>
      <c r="B6493" s="39" t="s">
        <v>8035</v>
      </c>
      <c r="C6493" s="40">
        <v>4</v>
      </c>
      <c r="D6493" s="38" t="s">
        <v>266</v>
      </c>
    </row>
    <row r="6494" spans="1:4" x14ac:dyDescent="0.25">
      <c r="A6494" s="41">
        <v>462541</v>
      </c>
      <c r="B6494" s="39" t="s">
        <v>8036</v>
      </c>
      <c r="C6494" s="40">
        <v>4</v>
      </c>
      <c r="D6494" s="38" t="s">
        <v>266</v>
      </c>
    </row>
    <row r="6495" spans="1:4" x14ac:dyDescent="0.25">
      <c r="A6495" s="41">
        <v>462543</v>
      </c>
      <c r="B6495" s="39" t="s">
        <v>8037</v>
      </c>
      <c r="C6495" s="40">
        <v>4</v>
      </c>
      <c r="D6495" s="38" t="s">
        <v>266</v>
      </c>
    </row>
    <row r="6496" spans="1:4" x14ac:dyDescent="0.25">
      <c r="A6496" s="41">
        <v>462546</v>
      </c>
      <c r="B6496" s="39" t="s">
        <v>8038</v>
      </c>
      <c r="C6496" s="40">
        <v>4</v>
      </c>
      <c r="D6496" s="38" t="s">
        <v>266</v>
      </c>
    </row>
    <row r="6497" spans="1:4" x14ac:dyDescent="0.25">
      <c r="A6497" s="41">
        <v>462547</v>
      </c>
      <c r="B6497" s="39" t="s">
        <v>8039</v>
      </c>
      <c r="C6497" s="40">
        <v>4</v>
      </c>
      <c r="D6497" s="38" t="s">
        <v>266</v>
      </c>
    </row>
    <row r="6498" spans="1:4" x14ac:dyDescent="0.25">
      <c r="A6498" s="41">
        <v>463000</v>
      </c>
      <c r="B6498" s="39" t="s">
        <v>8040</v>
      </c>
      <c r="C6498" s="40">
        <v>3</v>
      </c>
      <c r="D6498" s="38" t="s">
        <v>266</v>
      </c>
    </row>
    <row r="6499" spans="1:4" x14ac:dyDescent="0.25">
      <c r="A6499" s="41">
        <v>463100</v>
      </c>
      <c r="B6499" s="39" t="s">
        <v>8041</v>
      </c>
      <c r="C6499" s="40">
        <v>3</v>
      </c>
      <c r="D6499" s="38" t="s">
        <v>266</v>
      </c>
    </row>
    <row r="6500" spans="1:4" x14ac:dyDescent="0.25">
      <c r="A6500" s="41">
        <v>463111</v>
      </c>
      <c r="B6500" s="39" t="s">
        <v>8042</v>
      </c>
      <c r="C6500" s="40">
        <v>4</v>
      </c>
      <c r="D6500" s="38" t="s">
        <v>266</v>
      </c>
    </row>
    <row r="6501" spans="1:4" x14ac:dyDescent="0.25">
      <c r="A6501" s="41">
        <v>463113</v>
      </c>
      <c r="B6501" s="39" t="s">
        <v>8043</v>
      </c>
      <c r="C6501" s="40">
        <v>4</v>
      </c>
      <c r="D6501" s="38" t="s">
        <v>266</v>
      </c>
    </row>
    <row r="6502" spans="1:4" x14ac:dyDescent="0.25">
      <c r="A6502" s="41">
        <v>463116</v>
      </c>
      <c r="B6502" s="39" t="s">
        <v>8044</v>
      </c>
      <c r="C6502" s="40">
        <v>4</v>
      </c>
      <c r="D6502" s="38" t="s">
        <v>266</v>
      </c>
    </row>
    <row r="6503" spans="1:4" x14ac:dyDescent="0.25">
      <c r="A6503" s="41">
        <v>463123</v>
      </c>
      <c r="B6503" s="39" t="s">
        <v>8045</v>
      </c>
      <c r="C6503" s="40">
        <v>4</v>
      </c>
      <c r="D6503" s="38" t="s">
        <v>266</v>
      </c>
    </row>
    <row r="6504" spans="1:4" x14ac:dyDescent="0.25">
      <c r="A6504" s="41">
        <v>463126</v>
      </c>
      <c r="B6504" s="39" t="s">
        <v>8046</v>
      </c>
      <c r="C6504" s="40">
        <v>4</v>
      </c>
      <c r="D6504" s="38" t="s">
        <v>266</v>
      </c>
    </row>
    <row r="6505" spans="1:4" x14ac:dyDescent="0.25">
      <c r="A6505" s="41">
        <v>463133</v>
      </c>
      <c r="B6505" s="39" t="s">
        <v>8047</v>
      </c>
      <c r="C6505" s="40">
        <v>4</v>
      </c>
      <c r="D6505" s="38" t="s">
        <v>266</v>
      </c>
    </row>
    <row r="6506" spans="1:4" x14ac:dyDescent="0.25">
      <c r="A6506" s="41">
        <v>463143</v>
      </c>
      <c r="B6506" s="39" t="s">
        <v>8048</v>
      </c>
      <c r="C6506" s="40">
        <v>4</v>
      </c>
      <c r="D6506" s="38" t="s">
        <v>266</v>
      </c>
    </row>
    <row r="6507" spans="1:4" x14ac:dyDescent="0.25">
      <c r="A6507" s="41">
        <v>463153</v>
      </c>
      <c r="B6507" s="39" t="s">
        <v>8049</v>
      </c>
      <c r="C6507" s="40">
        <v>4</v>
      </c>
      <c r="D6507" s="38" t="s">
        <v>266</v>
      </c>
    </row>
    <row r="6508" spans="1:4" x14ac:dyDescent="0.25">
      <c r="A6508" s="41">
        <v>463156</v>
      </c>
      <c r="B6508" s="39" t="s">
        <v>8050</v>
      </c>
      <c r="C6508" s="40">
        <v>4</v>
      </c>
      <c r="D6508" s="38" t="s">
        <v>266</v>
      </c>
    </row>
    <row r="6509" spans="1:4" x14ac:dyDescent="0.25">
      <c r="A6509" s="41">
        <v>463159</v>
      </c>
      <c r="B6509" s="39" t="s">
        <v>8051</v>
      </c>
      <c r="C6509" s="40">
        <v>4</v>
      </c>
      <c r="D6509" s="38" t="s">
        <v>266</v>
      </c>
    </row>
    <row r="6510" spans="1:4" x14ac:dyDescent="0.25">
      <c r="A6510" s="41">
        <v>463183</v>
      </c>
      <c r="B6510" s="39" t="s">
        <v>8052</v>
      </c>
      <c r="C6510" s="40">
        <v>4</v>
      </c>
      <c r="D6510" s="38" t="s">
        <v>266</v>
      </c>
    </row>
    <row r="6511" spans="1:4" x14ac:dyDescent="0.25">
      <c r="A6511" s="41">
        <v>463300</v>
      </c>
      <c r="B6511" s="39" t="s">
        <v>8053</v>
      </c>
      <c r="C6511" s="40">
        <v>3</v>
      </c>
      <c r="D6511" s="38" t="s">
        <v>266</v>
      </c>
    </row>
    <row r="6512" spans="1:4" x14ac:dyDescent="0.25">
      <c r="A6512" s="41">
        <v>463353</v>
      </c>
      <c r="B6512" s="39" t="s">
        <v>8054</v>
      </c>
      <c r="C6512" s="40">
        <v>4</v>
      </c>
      <c r="D6512" s="38" t="s">
        <v>266</v>
      </c>
    </row>
    <row r="6513" spans="1:4" x14ac:dyDescent="0.25">
      <c r="A6513" s="41">
        <v>463313</v>
      </c>
      <c r="B6513" s="39" t="s">
        <v>8055</v>
      </c>
      <c r="C6513" s="40">
        <v>4</v>
      </c>
      <c r="D6513" s="38" t="s">
        <v>266</v>
      </c>
    </row>
    <row r="6514" spans="1:4" x14ac:dyDescent="0.25">
      <c r="A6514" s="41">
        <v>463323</v>
      </c>
      <c r="B6514" s="39" t="s">
        <v>8056</v>
      </c>
      <c r="C6514" s="40">
        <v>4</v>
      </c>
      <c r="D6514" s="38" t="s">
        <v>266</v>
      </c>
    </row>
    <row r="6515" spans="1:4" x14ac:dyDescent="0.25">
      <c r="A6515" s="41">
        <v>463333</v>
      </c>
      <c r="B6515" s="39" t="s">
        <v>8057</v>
      </c>
      <c r="C6515" s="40">
        <v>4</v>
      </c>
      <c r="D6515" s="38" t="s">
        <v>266</v>
      </c>
    </row>
    <row r="6516" spans="1:4" x14ac:dyDescent="0.25">
      <c r="A6516" s="41">
        <v>463341</v>
      </c>
      <c r="B6516" s="39" t="s">
        <v>8058</v>
      </c>
      <c r="C6516" s="40">
        <v>4</v>
      </c>
      <c r="D6516" s="38" t="s">
        <v>266</v>
      </c>
    </row>
    <row r="6517" spans="1:4" x14ac:dyDescent="0.25">
      <c r="A6517" s="41">
        <v>463342</v>
      </c>
      <c r="B6517" s="39" t="s">
        <v>8059</v>
      </c>
      <c r="C6517" s="40">
        <v>4</v>
      </c>
      <c r="D6517" s="38" t="s">
        <v>266</v>
      </c>
    </row>
    <row r="6518" spans="1:4" x14ac:dyDescent="0.25">
      <c r="A6518" s="41">
        <v>463344</v>
      </c>
      <c r="B6518" s="39" t="s">
        <v>8060</v>
      </c>
      <c r="C6518" s="40">
        <v>4</v>
      </c>
      <c r="D6518" s="38" t="s">
        <v>266</v>
      </c>
    </row>
    <row r="6519" spans="1:4" x14ac:dyDescent="0.25">
      <c r="A6519" s="41">
        <v>463346</v>
      </c>
      <c r="B6519" s="39" t="s">
        <v>8061</v>
      </c>
      <c r="C6519" s="40">
        <v>4</v>
      </c>
      <c r="D6519" s="38" t="s">
        <v>266</v>
      </c>
    </row>
    <row r="6520" spans="1:4" x14ac:dyDescent="0.25">
      <c r="A6520" s="41">
        <v>463348</v>
      </c>
      <c r="B6520" s="39" t="s">
        <v>8062</v>
      </c>
      <c r="C6520" s="40">
        <v>4</v>
      </c>
      <c r="D6520" s="38" t="s">
        <v>266</v>
      </c>
    </row>
    <row r="6521" spans="1:4" x14ac:dyDescent="0.25">
      <c r="A6521" s="41">
        <v>463366</v>
      </c>
      <c r="B6521" s="39" t="s">
        <v>8063</v>
      </c>
      <c r="C6521" s="40">
        <v>4</v>
      </c>
      <c r="D6521" s="38" t="s">
        <v>266</v>
      </c>
    </row>
    <row r="6522" spans="1:4" x14ac:dyDescent="0.25">
      <c r="A6522" s="41">
        <v>463373</v>
      </c>
      <c r="B6522" s="39" t="s">
        <v>8064</v>
      </c>
      <c r="C6522" s="40">
        <v>4</v>
      </c>
      <c r="D6522" s="38" t="s">
        <v>266</v>
      </c>
    </row>
    <row r="6523" spans="1:4" x14ac:dyDescent="0.25">
      <c r="A6523" s="41">
        <v>463383</v>
      </c>
      <c r="B6523" s="39" t="s">
        <v>8065</v>
      </c>
      <c r="C6523" s="40">
        <v>4</v>
      </c>
      <c r="D6523" s="38" t="s">
        <v>266</v>
      </c>
    </row>
    <row r="6524" spans="1:4" x14ac:dyDescent="0.25">
      <c r="A6524" s="41">
        <v>463600</v>
      </c>
      <c r="B6524" s="39" t="s">
        <v>8066</v>
      </c>
      <c r="C6524" s="40">
        <v>3</v>
      </c>
      <c r="D6524" s="38" t="s">
        <v>266</v>
      </c>
    </row>
    <row r="6525" spans="1:4" x14ac:dyDescent="0.25">
      <c r="A6525" s="41">
        <v>463611</v>
      </c>
      <c r="B6525" s="39" t="s">
        <v>8067</v>
      </c>
      <c r="C6525" s="40">
        <v>4</v>
      </c>
      <c r="D6525" s="38" t="s">
        <v>266</v>
      </c>
    </row>
    <row r="6526" spans="1:4" x14ac:dyDescent="0.25">
      <c r="A6526" s="41">
        <v>463613</v>
      </c>
      <c r="B6526" s="39" t="s">
        <v>8068</v>
      </c>
      <c r="C6526" s="40">
        <v>4</v>
      </c>
      <c r="D6526" s="38" t="s">
        <v>266</v>
      </c>
    </row>
    <row r="6527" spans="1:4" x14ac:dyDescent="0.25">
      <c r="A6527" s="41">
        <v>463623</v>
      </c>
      <c r="B6527" s="39" t="s">
        <v>8069</v>
      </c>
      <c r="C6527" s="40">
        <v>4</v>
      </c>
      <c r="D6527" s="38" t="s">
        <v>266</v>
      </c>
    </row>
    <row r="6528" spans="1:4" x14ac:dyDescent="0.25">
      <c r="A6528" s="41">
        <v>463633</v>
      </c>
      <c r="B6528" s="39" t="s">
        <v>8070</v>
      </c>
      <c r="C6528" s="40">
        <v>4</v>
      </c>
      <c r="D6528" s="38" t="s">
        <v>266</v>
      </c>
    </row>
    <row r="6529" spans="1:4" x14ac:dyDescent="0.25">
      <c r="A6529" s="41">
        <v>463636</v>
      </c>
      <c r="B6529" s="39" t="s">
        <v>8071</v>
      </c>
      <c r="C6529" s="40">
        <v>4</v>
      </c>
      <c r="D6529" s="38" t="s">
        <v>266</v>
      </c>
    </row>
    <row r="6530" spans="1:4" x14ac:dyDescent="0.25">
      <c r="A6530" s="41">
        <v>463643</v>
      </c>
      <c r="B6530" s="39" t="s">
        <v>8072</v>
      </c>
      <c r="C6530" s="40">
        <v>4</v>
      </c>
      <c r="D6530" s="38" t="s">
        <v>266</v>
      </c>
    </row>
    <row r="6531" spans="1:4" x14ac:dyDescent="0.25">
      <c r="A6531" s="41">
        <v>463653</v>
      </c>
      <c r="B6531" s="39" t="s">
        <v>8073</v>
      </c>
      <c r="C6531" s="40">
        <v>4</v>
      </c>
      <c r="D6531" s="38" t="s">
        <v>266</v>
      </c>
    </row>
    <row r="6532" spans="1:4" x14ac:dyDescent="0.25">
      <c r="A6532" s="41">
        <v>463683</v>
      </c>
      <c r="B6532" s="39" t="s">
        <v>8074</v>
      </c>
      <c r="C6532" s="40">
        <v>4</v>
      </c>
      <c r="D6532" s="38" t="s">
        <v>266</v>
      </c>
    </row>
    <row r="6533" spans="1:4" x14ac:dyDescent="0.25">
      <c r="A6533" s="41">
        <v>464000</v>
      </c>
      <c r="B6533" s="39" t="s">
        <v>8075</v>
      </c>
      <c r="C6533" s="40">
        <v>3</v>
      </c>
      <c r="D6533" s="38" t="s">
        <v>266</v>
      </c>
    </row>
    <row r="6534" spans="1:4" x14ac:dyDescent="0.25">
      <c r="A6534" s="41">
        <v>464100</v>
      </c>
      <c r="B6534" s="39" t="s">
        <v>8076</v>
      </c>
      <c r="C6534" s="40">
        <v>3</v>
      </c>
      <c r="D6534" s="38" t="s">
        <v>266</v>
      </c>
    </row>
    <row r="6535" spans="1:4" x14ac:dyDescent="0.25">
      <c r="A6535" s="41">
        <v>464111</v>
      </c>
      <c r="B6535" s="39" t="s">
        <v>8077</v>
      </c>
      <c r="C6535" s="40">
        <v>4</v>
      </c>
      <c r="D6535" s="38" t="s">
        <v>266</v>
      </c>
    </row>
    <row r="6536" spans="1:4" x14ac:dyDescent="0.25">
      <c r="A6536" s="41">
        <v>464113</v>
      </c>
      <c r="B6536" s="39" t="s">
        <v>8078</v>
      </c>
      <c r="C6536" s="40">
        <v>4</v>
      </c>
      <c r="D6536" s="38" t="s">
        <v>266</v>
      </c>
    </row>
    <row r="6537" spans="1:4" x14ac:dyDescent="0.25">
      <c r="A6537" s="41">
        <v>464116</v>
      </c>
      <c r="B6537" s="39" t="s">
        <v>8079</v>
      </c>
      <c r="C6537" s="40">
        <v>4</v>
      </c>
      <c r="D6537" s="38" t="s">
        <v>266</v>
      </c>
    </row>
    <row r="6538" spans="1:4" x14ac:dyDescent="0.25">
      <c r="A6538" s="41">
        <v>464117</v>
      </c>
      <c r="B6538" s="39" t="s">
        <v>8080</v>
      </c>
      <c r="C6538" s="40">
        <v>4</v>
      </c>
      <c r="D6538" s="38" t="s">
        <v>266</v>
      </c>
    </row>
    <row r="6539" spans="1:4" x14ac:dyDescent="0.25">
      <c r="A6539" s="41">
        <v>464121</v>
      </c>
      <c r="B6539" s="39" t="s">
        <v>8081</v>
      </c>
      <c r="C6539" s="40">
        <v>4</v>
      </c>
      <c r="D6539" s="38" t="s">
        <v>266</v>
      </c>
    </row>
    <row r="6540" spans="1:4" x14ac:dyDescent="0.25">
      <c r="A6540" s="41">
        <v>464123</v>
      </c>
      <c r="B6540" s="39" t="s">
        <v>8082</v>
      </c>
      <c r="C6540" s="40">
        <v>4</v>
      </c>
      <c r="D6540" s="38" t="s">
        <v>266</v>
      </c>
    </row>
    <row r="6541" spans="1:4" x14ac:dyDescent="0.25">
      <c r="A6541" s="41">
        <v>464126</v>
      </c>
      <c r="B6541" s="39" t="s">
        <v>8083</v>
      </c>
      <c r="C6541" s="40">
        <v>4</v>
      </c>
      <c r="D6541" s="38" t="s">
        <v>266</v>
      </c>
    </row>
    <row r="6542" spans="1:4" x14ac:dyDescent="0.25">
      <c r="A6542" s="41">
        <v>464127</v>
      </c>
      <c r="B6542" s="39" t="s">
        <v>8084</v>
      </c>
      <c r="C6542" s="40">
        <v>4</v>
      </c>
      <c r="D6542" s="38" t="s">
        <v>266</v>
      </c>
    </row>
    <row r="6543" spans="1:4" x14ac:dyDescent="0.25">
      <c r="A6543" s="41">
        <v>464129</v>
      </c>
      <c r="B6543" s="39" t="s">
        <v>8085</v>
      </c>
      <c r="C6543" s="40">
        <v>4</v>
      </c>
      <c r="D6543" s="38" t="s">
        <v>266</v>
      </c>
    </row>
    <row r="6544" spans="1:4" x14ac:dyDescent="0.25">
      <c r="A6544" s="41">
        <v>464131</v>
      </c>
      <c r="B6544" s="39" t="s">
        <v>8086</v>
      </c>
      <c r="C6544" s="40">
        <v>4</v>
      </c>
      <c r="D6544" s="38" t="s">
        <v>266</v>
      </c>
    </row>
    <row r="6545" spans="1:4" x14ac:dyDescent="0.25">
      <c r="A6545" s="41">
        <v>464133</v>
      </c>
      <c r="B6545" s="39" t="s">
        <v>8087</v>
      </c>
      <c r="C6545" s="40">
        <v>4</v>
      </c>
      <c r="D6545" s="38" t="s">
        <v>266</v>
      </c>
    </row>
    <row r="6546" spans="1:4" x14ac:dyDescent="0.25">
      <c r="A6546" s="41">
        <v>464134</v>
      </c>
      <c r="B6546" s="39" t="s">
        <v>8088</v>
      </c>
      <c r="C6546" s="40">
        <v>4</v>
      </c>
      <c r="D6546" s="38" t="s">
        <v>266</v>
      </c>
    </row>
    <row r="6547" spans="1:4" x14ac:dyDescent="0.25">
      <c r="A6547" s="41">
        <v>464136</v>
      </c>
      <c r="B6547" s="39" t="s">
        <v>8089</v>
      </c>
      <c r="C6547" s="40">
        <v>4</v>
      </c>
      <c r="D6547" s="38" t="s">
        <v>266</v>
      </c>
    </row>
    <row r="6548" spans="1:4" x14ac:dyDescent="0.25">
      <c r="A6548" s="41">
        <v>464138</v>
      </c>
      <c r="B6548" s="39" t="s">
        <v>8090</v>
      </c>
      <c r="C6548" s="40">
        <v>4</v>
      </c>
      <c r="D6548" s="38" t="s">
        <v>266</v>
      </c>
    </row>
    <row r="6549" spans="1:4" x14ac:dyDescent="0.25">
      <c r="A6549" s="41">
        <v>464141</v>
      </c>
      <c r="B6549" s="39" t="s">
        <v>8091</v>
      </c>
      <c r="C6549" s="40">
        <v>4</v>
      </c>
      <c r="D6549" s="38" t="s">
        <v>266</v>
      </c>
    </row>
    <row r="6550" spans="1:4" x14ac:dyDescent="0.25">
      <c r="A6550" s="41">
        <v>464143</v>
      </c>
      <c r="B6550" s="39" t="s">
        <v>8092</v>
      </c>
      <c r="C6550" s="40">
        <v>4</v>
      </c>
      <c r="D6550" s="38" t="s">
        <v>266</v>
      </c>
    </row>
    <row r="6551" spans="1:4" x14ac:dyDescent="0.25">
      <c r="A6551" s="41">
        <v>464146</v>
      </c>
      <c r="B6551" s="39" t="s">
        <v>8093</v>
      </c>
      <c r="C6551" s="40">
        <v>4</v>
      </c>
      <c r="D6551" s="38" t="s">
        <v>266</v>
      </c>
    </row>
    <row r="6552" spans="1:4" x14ac:dyDescent="0.25">
      <c r="A6552" s="41">
        <v>464300</v>
      </c>
      <c r="B6552" s="39" t="s">
        <v>8094</v>
      </c>
      <c r="C6552" s="40">
        <v>3</v>
      </c>
      <c r="D6552" s="38" t="s">
        <v>266</v>
      </c>
    </row>
    <row r="6553" spans="1:4" x14ac:dyDescent="0.25">
      <c r="A6553" s="41">
        <v>464311</v>
      </c>
      <c r="B6553" s="39" t="s">
        <v>8095</v>
      </c>
      <c r="C6553" s="40">
        <v>4</v>
      </c>
      <c r="D6553" s="38" t="s">
        <v>266</v>
      </c>
    </row>
    <row r="6554" spans="1:4" x14ac:dyDescent="0.25">
      <c r="A6554" s="41">
        <v>464314</v>
      </c>
      <c r="B6554" s="39" t="s">
        <v>8096</v>
      </c>
      <c r="C6554" s="40">
        <v>4</v>
      </c>
      <c r="D6554" s="38" t="s">
        <v>266</v>
      </c>
    </row>
    <row r="6555" spans="1:4" x14ac:dyDescent="0.25">
      <c r="A6555" s="41">
        <v>464316</v>
      </c>
      <c r="B6555" s="39" t="s">
        <v>8097</v>
      </c>
      <c r="C6555" s="40">
        <v>4</v>
      </c>
      <c r="D6555" s="38" t="s">
        <v>266</v>
      </c>
    </row>
    <row r="6556" spans="1:4" x14ac:dyDescent="0.25">
      <c r="A6556" s="41">
        <v>464318</v>
      </c>
      <c r="B6556" s="39" t="s">
        <v>8098</v>
      </c>
      <c r="C6556" s="40">
        <v>4</v>
      </c>
      <c r="D6556" s="38" t="s">
        <v>266</v>
      </c>
    </row>
    <row r="6557" spans="1:4" x14ac:dyDescent="0.25">
      <c r="A6557" s="41">
        <v>464321</v>
      </c>
      <c r="B6557" s="39" t="s">
        <v>8099</v>
      </c>
      <c r="C6557" s="40">
        <v>4</v>
      </c>
      <c r="D6557" s="38" t="s">
        <v>266</v>
      </c>
    </row>
    <row r="6558" spans="1:4" x14ac:dyDescent="0.25">
      <c r="A6558" s="41">
        <v>464353</v>
      </c>
      <c r="B6558" s="39" t="s">
        <v>8100</v>
      </c>
      <c r="C6558" s="40">
        <v>4</v>
      </c>
      <c r="D6558" s="38" t="s">
        <v>266</v>
      </c>
    </row>
    <row r="6559" spans="1:4" x14ac:dyDescent="0.25">
      <c r="A6559" s="41">
        <v>464361</v>
      </c>
      <c r="B6559" s="39" t="s">
        <v>8101</v>
      </c>
      <c r="C6559" s="40">
        <v>4</v>
      </c>
      <c r="D6559" s="38" t="s">
        <v>266</v>
      </c>
    </row>
    <row r="6560" spans="1:4" x14ac:dyDescent="0.25">
      <c r="A6560" s="41">
        <v>464363</v>
      </c>
      <c r="B6560" s="39" t="s">
        <v>8102</v>
      </c>
      <c r="C6560" s="40">
        <v>4</v>
      </c>
      <c r="D6560" s="38" t="s">
        <v>266</v>
      </c>
    </row>
    <row r="6561" spans="1:4" x14ac:dyDescent="0.25">
      <c r="A6561" s="41">
        <v>464366</v>
      </c>
      <c r="B6561" s="39" t="s">
        <v>8103</v>
      </c>
      <c r="C6561" s="40">
        <v>4</v>
      </c>
      <c r="D6561" s="38" t="s">
        <v>266</v>
      </c>
    </row>
    <row r="6562" spans="1:4" x14ac:dyDescent="0.25">
      <c r="A6562" s="41">
        <v>464367</v>
      </c>
      <c r="B6562" s="39" t="s">
        <v>8104</v>
      </c>
      <c r="C6562" s="40">
        <v>4</v>
      </c>
      <c r="D6562" s="38" t="s">
        <v>266</v>
      </c>
    </row>
    <row r="6563" spans="1:4" x14ac:dyDescent="0.25">
      <c r="A6563" s="41">
        <v>464373</v>
      </c>
      <c r="B6563" s="39" t="s">
        <v>8105</v>
      </c>
      <c r="C6563" s="40">
        <v>4</v>
      </c>
      <c r="D6563" s="38" t="s">
        <v>266</v>
      </c>
    </row>
    <row r="6564" spans="1:4" x14ac:dyDescent="0.25">
      <c r="A6564" s="41">
        <v>464376</v>
      </c>
      <c r="B6564" s="39" t="s">
        <v>8106</v>
      </c>
      <c r="C6564" s="40">
        <v>4</v>
      </c>
      <c r="D6564" s="38" t="s">
        <v>266</v>
      </c>
    </row>
    <row r="6565" spans="1:4" x14ac:dyDescent="0.25">
      <c r="A6565" s="41">
        <v>464600</v>
      </c>
      <c r="B6565" s="39" t="s">
        <v>8107</v>
      </c>
      <c r="C6565" s="40">
        <v>3</v>
      </c>
      <c r="D6565" s="38" t="s">
        <v>266</v>
      </c>
    </row>
    <row r="6566" spans="1:4" x14ac:dyDescent="0.25">
      <c r="A6566" s="41">
        <v>464613</v>
      </c>
      <c r="B6566" s="39" t="s">
        <v>8108</v>
      </c>
      <c r="C6566" s="40">
        <v>4</v>
      </c>
      <c r="D6566" s="38" t="s">
        <v>266</v>
      </c>
    </row>
    <row r="6567" spans="1:4" x14ac:dyDescent="0.25">
      <c r="A6567" s="41">
        <v>464616</v>
      </c>
      <c r="B6567" s="39" t="s">
        <v>8109</v>
      </c>
      <c r="C6567" s="40">
        <v>4</v>
      </c>
      <c r="D6567" s="38" t="s">
        <v>266</v>
      </c>
    </row>
    <row r="6568" spans="1:4" x14ac:dyDescent="0.25">
      <c r="A6568" s="41">
        <v>464623</v>
      </c>
      <c r="B6568" s="39" t="s">
        <v>8110</v>
      </c>
      <c r="C6568" s="40">
        <v>4</v>
      </c>
      <c r="D6568" s="38" t="s">
        <v>266</v>
      </c>
    </row>
    <row r="6569" spans="1:4" x14ac:dyDescent="0.25">
      <c r="A6569" s="41">
        <v>464626</v>
      </c>
      <c r="B6569" s="39" t="s">
        <v>8111</v>
      </c>
      <c r="C6569" s="40">
        <v>4</v>
      </c>
      <c r="D6569" s="38" t="s">
        <v>266</v>
      </c>
    </row>
    <row r="6570" spans="1:4" x14ac:dyDescent="0.25">
      <c r="A6570" s="41">
        <v>465000</v>
      </c>
      <c r="B6570" s="39" t="s">
        <v>8112</v>
      </c>
      <c r="C6570" s="40">
        <v>3</v>
      </c>
      <c r="D6570" s="38" t="s">
        <v>266</v>
      </c>
    </row>
    <row r="6571" spans="1:4" x14ac:dyDescent="0.25">
      <c r="A6571" s="41">
        <v>465100</v>
      </c>
      <c r="B6571" s="39" t="s">
        <v>8113</v>
      </c>
      <c r="C6571" s="40">
        <v>3</v>
      </c>
      <c r="D6571" s="38" t="s">
        <v>266</v>
      </c>
    </row>
    <row r="6572" spans="1:4" x14ac:dyDescent="0.25">
      <c r="A6572" s="41">
        <v>465111</v>
      </c>
      <c r="B6572" s="39" t="s">
        <v>8114</v>
      </c>
      <c r="C6572" s="40">
        <v>4</v>
      </c>
      <c r="D6572" s="38" t="s">
        <v>266</v>
      </c>
    </row>
    <row r="6573" spans="1:4" x14ac:dyDescent="0.25">
      <c r="A6573" s="41">
        <v>465113</v>
      </c>
      <c r="B6573" s="39" t="s">
        <v>8115</v>
      </c>
      <c r="C6573" s="40">
        <v>4</v>
      </c>
      <c r="D6573" s="38" t="s">
        <v>266</v>
      </c>
    </row>
    <row r="6574" spans="1:4" x14ac:dyDescent="0.25">
      <c r="A6574" s="41">
        <v>465116</v>
      </c>
      <c r="B6574" s="39" t="s">
        <v>8116</v>
      </c>
      <c r="C6574" s="40">
        <v>4</v>
      </c>
      <c r="D6574" s="38" t="s">
        <v>266</v>
      </c>
    </row>
    <row r="6575" spans="1:4" x14ac:dyDescent="0.25">
      <c r="A6575" s="41">
        <v>465117</v>
      </c>
      <c r="B6575" s="39" t="s">
        <v>8117</v>
      </c>
      <c r="C6575" s="40">
        <v>4</v>
      </c>
      <c r="D6575" s="38" t="s">
        <v>266</v>
      </c>
    </row>
    <row r="6576" spans="1:4" x14ac:dyDescent="0.25">
      <c r="A6576" s="41">
        <v>465121</v>
      </c>
      <c r="B6576" s="39" t="s">
        <v>8118</v>
      </c>
      <c r="C6576" s="40">
        <v>4</v>
      </c>
      <c r="D6576" s="38" t="s">
        <v>266</v>
      </c>
    </row>
    <row r="6577" spans="1:4" x14ac:dyDescent="0.25">
      <c r="A6577" s="41">
        <v>465123</v>
      </c>
      <c r="B6577" s="39" t="s">
        <v>8119</v>
      </c>
      <c r="C6577" s="40">
        <v>4</v>
      </c>
      <c r="D6577" s="38" t="s">
        <v>266</v>
      </c>
    </row>
    <row r="6578" spans="1:4" x14ac:dyDescent="0.25">
      <c r="A6578" s="41">
        <v>465126</v>
      </c>
      <c r="B6578" s="39" t="s">
        <v>8120</v>
      </c>
      <c r="C6578" s="40">
        <v>4</v>
      </c>
      <c r="D6578" s="38" t="s">
        <v>266</v>
      </c>
    </row>
    <row r="6579" spans="1:4" x14ac:dyDescent="0.25">
      <c r="A6579" s="41">
        <v>465131</v>
      </c>
      <c r="B6579" s="39" t="s">
        <v>8121</v>
      </c>
      <c r="C6579" s="40">
        <v>4</v>
      </c>
      <c r="D6579" s="38" t="s">
        <v>266</v>
      </c>
    </row>
    <row r="6580" spans="1:4" x14ac:dyDescent="0.25">
      <c r="A6580" s="41">
        <v>465133</v>
      </c>
      <c r="B6580" s="39" t="s">
        <v>8122</v>
      </c>
      <c r="C6580" s="40">
        <v>4</v>
      </c>
      <c r="D6580" s="38" t="s">
        <v>266</v>
      </c>
    </row>
    <row r="6581" spans="1:4" x14ac:dyDescent="0.25">
      <c r="A6581" s="41">
        <v>465136</v>
      </c>
      <c r="B6581" s="39" t="s">
        <v>8123</v>
      </c>
      <c r="C6581" s="40">
        <v>4</v>
      </c>
      <c r="D6581" s="38" t="s">
        <v>266</v>
      </c>
    </row>
    <row r="6582" spans="1:4" x14ac:dyDescent="0.25">
      <c r="A6582" s="41">
        <v>465143</v>
      </c>
      <c r="B6582" s="39" t="s">
        <v>8124</v>
      </c>
      <c r="C6582" s="40">
        <v>4</v>
      </c>
      <c r="D6582" s="38" t="s">
        <v>266</v>
      </c>
    </row>
    <row r="6583" spans="1:4" x14ac:dyDescent="0.25">
      <c r="A6583" s="41">
        <v>465146</v>
      </c>
      <c r="B6583" s="39" t="s">
        <v>8125</v>
      </c>
      <c r="C6583" s="40">
        <v>4</v>
      </c>
      <c r="D6583" s="38" t="s">
        <v>266</v>
      </c>
    </row>
    <row r="6584" spans="1:4" x14ac:dyDescent="0.25">
      <c r="A6584" s="41">
        <v>465153</v>
      </c>
      <c r="B6584" s="39" t="s">
        <v>8126</v>
      </c>
      <c r="C6584" s="40">
        <v>4</v>
      </c>
      <c r="D6584" s="38" t="s">
        <v>266</v>
      </c>
    </row>
    <row r="6585" spans="1:4" x14ac:dyDescent="0.25">
      <c r="A6585" s="41">
        <v>465163</v>
      </c>
      <c r="B6585" s="39" t="s">
        <v>8127</v>
      </c>
      <c r="C6585" s="40">
        <v>4</v>
      </c>
      <c r="D6585" s="38" t="s">
        <v>266</v>
      </c>
    </row>
    <row r="6586" spans="1:4" x14ac:dyDescent="0.25">
      <c r="A6586" s="41">
        <v>465300</v>
      </c>
      <c r="B6586" s="39" t="s">
        <v>8128</v>
      </c>
      <c r="C6586" s="40">
        <v>3</v>
      </c>
      <c r="D6586" s="38" t="s">
        <v>266</v>
      </c>
    </row>
    <row r="6587" spans="1:4" x14ac:dyDescent="0.25">
      <c r="A6587" s="41">
        <v>465313</v>
      </c>
      <c r="B6587" s="39" t="s">
        <v>8129</v>
      </c>
      <c r="C6587" s="40">
        <v>4</v>
      </c>
      <c r="D6587" s="38" t="s">
        <v>266</v>
      </c>
    </row>
    <row r="6588" spans="1:4" x14ac:dyDescent="0.25">
      <c r="A6588" s="41">
        <v>465323</v>
      </c>
      <c r="B6588" s="39" t="s">
        <v>8130</v>
      </c>
      <c r="C6588" s="40">
        <v>4</v>
      </c>
      <c r="D6588" s="38" t="s">
        <v>266</v>
      </c>
    </row>
    <row r="6589" spans="1:4" x14ac:dyDescent="0.25">
      <c r="A6589" s="41">
        <v>465324</v>
      </c>
      <c r="B6589" s="39" t="s">
        <v>8131</v>
      </c>
      <c r="C6589" s="40">
        <v>4</v>
      </c>
      <c r="D6589" s="38" t="s">
        <v>266</v>
      </c>
    </row>
    <row r="6590" spans="1:4" x14ac:dyDescent="0.25">
      <c r="A6590" s="41">
        <v>465326</v>
      </c>
      <c r="B6590" s="39" t="s">
        <v>8132</v>
      </c>
      <c r="C6590" s="40">
        <v>4</v>
      </c>
      <c r="D6590" s="38" t="s">
        <v>266</v>
      </c>
    </row>
    <row r="6591" spans="1:4" x14ac:dyDescent="0.25">
      <c r="A6591" s="41">
        <v>465333</v>
      </c>
      <c r="B6591" s="39" t="s">
        <v>8133</v>
      </c>
      <c r="C6591" s="40">
        <v>4</v>
      </c>
      <c r="D6591" s="38" t="s">
        <v>266</v>
      </c>
    </row>
    <row r="6592" spans="1:4" x14ac:dyDescent="0.25">
      <c r="A6592" s="41">
        <v>465336</v>
      </c>
      <c r="B6592" s="39" t="s">
        <v>8134</v>
      </c>
      <c r="C6592" s="40">
        <v>4</v>
      </c>
      <c r="D6592" s="38" t="s">
        <v>266</v>
      </c>
    </row>
    <row r="6593" spans="1:4" x14ac:dyDescent="0.25">
      <c r="A6593" s="41">
        <v>465341</v>
      </c>
      <c r="B6593" s="39" t="s">
        <v>8135</v>
      </c>
      <c r="C6593" s="40">
        <v>4</v>
      </c>
      <c r="D6593" s="38" t="s">
        <v>266</v>
      </c>
    </row>
    <row r="6594" spans="1:4" x14ac:dyDescent="0.25">
      <c r="A6594" s="41">
        <v>465343</v>
      </c>
      <c r="B6594" s="39" t="s">
        <v>8136</v>
      </c>
      <c r="C6594" s="40">
        <v>4</v>
      </c>
      <c r="D6594" s="38" t="s">
        <v>266</v>
      </c>
    </row>
    <row r="6595" spans="1:4" x14ac:dyDescent="0.25">
      <c r="A6595" s="41">
        <v>465346</v>
      </c>
      <c r="B6595" s="39" t="s">
        <v>8137</v>
      </c>
      <c r="C6595" s="40">
        <v>4</v>
      </c>
      <c r="D6595" s="38" t="s">
        <v>266</v>
      </c>
    </row>
    <row r="6596" spans="1:4" x14ac:dyDescent="0.25">
      <c r="A6596" s="41">
        <v>465349</v>
      </c>
      <c r="B6596" s="39" t="s">
        <v>8138</v>
      </c>
      <c r="C6596" s="40">
        <v>4</v>
      </c>
      <c r="D6596" s="38" t="s">
        <v>266</v>
      </c>
    </row>
    <row r="6597" spans="1:4" x14ac:dyDescent="0.25">
      <c r="A6597" s="41">
        <v>465353</v>
      </c>
      <c r="B6597" s="39" t="s">
        <v>8139</v>
      </c>
      <c r="C6597" s="40">
        <v>4</v>
      </c>
      <c r="D6597" s="38" t="s">
        <v>266</v>
      </c>
    </row>
    <row r="6598" spans="1:4" x14ac:dyDescent="0.25">
      <c r="A6598" s="41">
        <v>465361</v>
      </c>
      <c r="B6598" s="39" t="s">
        <v>8140</v>
      </c>
      <c r="C6598" s="40">
        <v>4</v>
      </c>
      <c r="D6598" s="38" t="s">
        <v>266</v>
      </c>
    </row>
    <row r="6599" spans="1:4" x14ac:dyDescent="0.25">
      <c r="A6599" s="41">
        <v>465363</v>
      </c>
      <c r="B6599" s="39" t="s">
        <v>8141</v>
      </c>
      <c r="C6599" s="40">
        <v>4</v>
      </c>
      <c r="D6599" s="38" t="s">
        <v>266</v>
      </c>
    </row>
    <row r="6600" spans="1:4" x14ac:dyDescent="0.25">
      <c r="A6600" s="41">
        <v>466000</v>
      </c>
      <c r="B6600" s="39" t="s">
        <v>8142</v>
      </c>
      <c r="C6600" s="40">
        <v>3</v>
      </c>
      <c r="D6600" s="38" t="s">
        <v>266</v>
      </c>
    </row>
    <row r="6601" spans="1:4" x14ac:dyDescent="0.25">
      <c r="A6601" s="41">
        <v>466100</v>
      </c>
      <c r="B6601" s="39" t="s">
        <v>8143</v>
      </c>
      <c r="C6601" s="40">
        <v>3</v>
      </c>
      <c r="D6601" s="38" t="s">
        <v>266</v>
      </c>
    </row>
    <row r="6602" spans="1:4" x14ac:dyDescent="0.25">
      <c r="A6602" s="41">
        <v>466113</v>
      </c>
      <c r="B6602" s="39" t="s">
        <v>8144</v>
      </c>
      <c r="C6602" s="40">
        <v>4</v>
      </c>
      <c r="D6602" s="38" t="s">
        <v>266</v>
      </c>
    </row>
    <row r="6603" spans="1:4" x14ac:dyDescent="0.25">
      <c r="A6603" s="41">
        <v>466116</v>
      </c>
      <c r="B6603" s="39" t="s">
        <v>8145</v>
      </c>
      <c r="C6603" s="40">
        <v>4</v>
      </c>
      <c r="D6603" s="38" t="s">
        <v>266</v>
      </c>
    </row>
    <row r="6604" spans="1:4" x14ac:dyDescent="0.25">
      <c r="A6604" s="41">
        <v>466117</v>
      </c>
      <c r="B6604" s="39" t="s">
        <v>8146</v>
      </c>
      <c r="C6604" s="40">
        <v>4</v>
      </c>
      <c r="D6604" s="38" t="s">
        <v>266</v>
      </c>
    </row>
    <row r="6605" spans="1:4" x14ac:dyDescent="0.25">
      <c r="A6605" s="41">
        <v>466119</v>
      </c>
      <c r="B6605" s="39" t="s">
        <v>8147</v>
      </c>
      <c r="C6605" s="40">
        <v>4</v>
      </c>
      <c r="D6605" s="38" t="s">
        <v>266</v>
      </c>
    </row>
    <row r="6606" spans="1:4" x14ac:dyDescent="0.25">
      <c r="A6606" s="41">
        <v>466121</v>
      </c>
      <c r="B6606" s="39" t="s">
        <v>8148</v>
      </c>
      <c r="C6606" s="40">
        <v>4</v>
      </c>
      <c r="D6606" s="38" t="s">
        <v>266</v>
      </c>
    </row>
    <row r="6607" spans="1:4" x14ac:dyDescent="0.25">
      <c r="A6607" s="41">
        <v>466123</v>
      </c>
      <c r="B6607" s="39" t="s">
        <v>8149</v>
      </c>
      <c r="C6607" s="40">
        <v>4</v>
      </c>
      <c r="D6607" s="38" t="s">
        <v>266</v>
      </c>
    </row>
    <row r="6608" spans="1:4" x14ac:dyDescent="0.25">
      <c r="A6608" s="41">
        <v>466126</v>
      </c>
      <c r="B6608" s="39" t="s">
        <v>8150</v>
      </c>
      <c r="C6608" s="40">
        <v>4</v>
      </c>
      <c r="D6608" s="38" t="s">
        <v>266</v>
      </c>
    </row>
    <row r="6609" spans="1:4" x14ac:dyDescent="0.25">
      <c r="A6609" s="41">
        <v>466129</v>
      </c>
      <c r="B6609" s="39" t="s">
        <v>8151</v>
      </c>
      <c r="C6609" s="40">
        <v>4</v>
      </c>
      <c r="D6609" s="38" t="s">
        <v>266</v>
      </c>
    </row>
    <row r="6610" spans="1:4" x14ac:dyDescent="0.25">
      <c r="A6610" s="41">
        <v>466133</v>
      </c>
      <c r="B6610" s="39" t="s">
        <v>8152</v>
      </c>
      <c r="C6610" s="40">
        <v>4</v>
      </c>
      <c r="D6610" s="38" t="s">
        <v>266</v>
      </c>
    </row>
    <row r="6611" spans="1:4" x14ac:dyDescent="0.25">
      <c r="A6611" s="41">
        <v>466141</v>
      </c>
      <c r="B6611" s="39" t="s">
        <v>8153</v>
      </c>
      <c r="C6611" s="40">
        <v>4</v>
      </c>
      <c r="D6611" s="38" t="s">
        <v>266</v>
      </c>
    </row>
    <row r="6612" spans="1:4" x14ac:dyDescent="0.25">
      <c r="A6612" s="41">
        <v>466143</v>
      </c>
      <c r="B6612" s="39" t="s">
        <v>8154</v>
      </c>
      <c r="C6612" s="40">
        <v>4</v>
      </c>
      <c r="D6612" s="38" t="s">
        <v>266</v>
      </c>
    </row>
    <row r="6613" spans="1:4" x14ac:dyDescent="0.25">
      <c r="A6613" s="41">
        <v>466146</v>
      </c>
      <c r="B6613" s="39" t="s">
        <v>8155</v>
      </c>
      <c r="C6613" s="40">
        <v>4</v>
      </c>
      <c r="D6613" s="38" t="s">
        <v>266</v>
      </c>
    </row>
    <row r="6614" spans="1:4" x14ac:dyDescent="0.25">
      <c r="A6614" s="41">
        <v>466153</v>
      </c>
      <c r="B6614" s="39" t="s">
        <v>8156</v>
      </c>
      <c r="C6614" s="40">
        <v>4</v>
      </c>
      <c r="D6614" s="38" t="s">
        <v>266</v>
      </c>
    </row>
    <row r="6615" spans="1:4" x14ac:dyDescent="0.25">
      <c r="A6615" s="41">
        <v>466163</v>
      </c>
      <c r="B6615" s="39" t="s">
        <v>8157</v>
      </c>
      <c r="C6615" s="40">
        <v>4</v>
      </c>
      <c r="D6615" s="38" t="s">
        <v>266</v>
      </c>
    </row>
    <row r="6616" spans="1:4" x14ac:dyDescent="0.25">
      <c r="A6616" s="41">
        <v>466173</v>
      </c>
      <c r="B6616" s="39" t="s">
        <v>8158</v>
      </c>
      <c r="C6616" s="40">
        <v>4</v>
      </c>
      <c r="D6616" s="38" t="s">
        <v>266</v>
      </c>
    </row>
    <row r="6617" spans="1:4" x14ac:dyDescent="0.25">
      <c r="A6617" s="41">
        <v>466300</v>
      </c>
      <c r="B6617" s="39" t="s">
        <v>8159</v>
      </c>
      <c r="C6617" s="40">
        <v>3</v>
      </c>
      <c r="D6617" s="38" t="s">
        <v>266</v>
      </c>
    </row>
    <row r="6618" spans="1:4" x14ac:dyDescent="0.25">
      <c r="A6618" s="41">
        <v>466311</v>
      </c>
      <c r="B6618" s="39" t="s">
        <v>8160</v>
      </c>
      <c r="C6618" s="40">
        <v>4</v>
      </c>
      <c r="D6618" s="38" t="s">
        <v>266</v>
      </c>
    </row>
    <row r="6619" spans="1:4" x14ac:dyDescent="0.25">
      <c r="A6619" s="41">
        <v>466313</v>
      </c>
      <c r="B6619" s="39" t="s">
        <v>8161</v>
      </c>
      <c r="C6619" s="40">
        <v>4</v>
      </c>
      <c r="D6619" s="38" t="s">
        <v>266</v>
      </c>
    </row>
    <row r="6620" spans="1:4" x14ac:dyDescent="0.25">
      <c r="A6620" s="41">
        <v>466316</v>
      </c>
      <c r="B6620" s="39" t="s">
        <v>8162</v>
      </c>
      <c r="C6620" s="40">
        <v>4</v>
      </c>
      <c r="D6620" s="38" t="s">
        <v>266</v>
      </c>
    </row>
    <row r="6621" spans="1:4" x14ac:dyDescent="0.25">
      <c r="A6621" s="41">
        <v>466317</v>
      </c>
      <c r="B6621" s="39" t="s">
        <v>8163</v>
      </c>
      <c r="C6621" s="40">
        <v>4</v>
      </c>
      <c r="D6621" s="38" t="s">
        <v>266</v>
      </c>
    </row>
    <row r="6622" spans="1:4" x14ac:dyDescent="0.25">
      <c r="A6622" s="41">
        <v>466323</v>
      </c>
      <c r="B6622" s="39" t="s">
        <v>8164</v>
      </c>
      <c r="C6622" s="40">
        <v>4</v>
      </c>
      <c r="D6622" s="38" t="s">
        <v>266</v>
      </c>
    </row>
    <row r="6623" spans="1:4" x14ac:dyDescent="0.25">
      <c r="A6623" s="41">
        <v>466331</v>
      </c>
      <c r="B6623" s="39" t="s">
        <v>8165</v>
      </c>
      <c r="C6623" s="40">
        <v>4</v>
      </c>
      <c r="D6623" s="38" t="s">
        <v>266</v>
      </c>
    </row>
    <row r="6624" spans="1:4" x14ac:dyDescent="0.25">
      <c r="A6624" s="41">
        <v>466333</v>
      </c>
      <c r="B6624" s="39" t="s">
        <v>8166</v>
      </c>
      <c r="C6624" s="40">
        <v>4</v>
      </c>
      <c r="D6624" s="38" t="s">
        <v>266</v>
      </c>
    </row>
    <row r="6625" spans="1:4" x14ac:dyDescent="0.25">
      <c r="A6625" s="41">
        <v>466334</v>
      </c>
      <c r="B6625" s="39" t="s">
        <v>8167</v>
      </c>
      <c r="C6625" s="40">
        <v>4</v>
      </c>
      <c r="D6625" s="38" t="s">
        <v>266</v>
      </c>
    </row>
    <row r="6626" spans="1:4" x14ac:dyDescent="0.25">
      <c r="A6626" s="41">
        <v>466336</v>
      </c>
      <c r="B6626" s="39" t="s">
        <v>8168</v>
      </c>
      <c r="C6626" s="40">
        <v>4</v>
      </c>
      <c r="D6626" s="38" t="s">
        <v>266</v>
      </c>
    </row>
    <row r="6627" spans="1:4" x14ac:dyDescent="0.25">
      <c r="A6627" s="41">
        <v>466341</v>
      </c>
      <c r="B6627" s="39" t="s">
        <v>8169</v>
      </c>
      <c r="C6627" s="40">
        <v>4</v>
      </c>
      <c r="D6627" s="38" t="s">
        <v>266</v>
      </c>
    </row>
    <row r="6628" spans="1:4" x14ac:dyDescent="0.25">
      <c r="A6628" s="41">
        <v>466343</v>
      </c>
      <c r="B6628" s="39" t="s">
        <v>8170</v>
      </c>
      <c r="C6628" s="40">
        <v>4</v>
      </c>
      <c r="D6628" s="38" t="s">
        <v>266</v>
      </c>
    </row>
    <row r="6629" spans="1:4" x14ac:dyDescent="0.25">
      <c r="A6629" s="41">
        <v>466353</v>
      </c>
      <c r="B6629" s="39" t="s">
        <v>8171</v>
      </c>
      <c r="C6629" s="40">
        <v>4</v>
      </c>
      <c r="D6629" s="38" t="s">
        <v>266</v>
      </c>
    </row>
    <row r="6630" spans="1:4" x14ac:dyDescent="0.25">
      <c r="A6630" s="41">
        <v>466363</v>
      </c>
      <c r="B6630" s="39" t="s">
        <v>8172</v>
      </c>
      <c r="C6630" s="40">
        <v>4</v>
      </c>
      <c r="D6630" s="38" t="s">
        <v>266</v>
      </c>
    </row>
    <row r="6631" spans="1:4" x14ac:dyDescent="0.25">
      <c r="A6631" s="41">
        <v>466373</v>
      </c>
      <c r="B6631" s="39" t="s">
        <v>8173</v>
      </c>
      <c r="C6631" s="40">
        <v>4</v>
      </c>
      <c r="D6631" s="38" t="s">
        <v>266</v>
      </c>
    </row>
    <row r="6632" spans="1:4" x14ac:dyDescent="0.25">
      <c r="A6632" s="41">
        <v>466600</v>
      </c>
      <c r="B6632" s="39" t="s">
        <v>8174</v>
      </c>
      <c r="C6632" s="40">
        <v>3</v>
      </c>
      <c r="D6632" s="38" t="s">
        <v>266</v>
      </c>
    </row>
    <row r="6633" spans="1:4" x14ac:dyDescent="0.25">
      <c r="A6633" s="41">
        <v>466613</v>
      </c>
      <c r="B6633" s="39" t="s">
        <v>8175</v>
      </c>
      <c r="C6633" s="40">
        <v>4</v>
      </c>
      <c r="D6633" s="38" t="s">
        <v>266</v>
      </c>
    </row>
    <row r="6634" spans="1:4" x14ac:dyDescent="0.25">
      <c r="A6634" s="41">
        <v>466616</v>
      </c>
      <c r="B6634" s="39" t="s">
        <v>8176</v>
      </c>
      <c r="C6634" s="40">
        <v>4</v>
      </c>
      <c r="D6634" s="38" t="s">
        <v>266</v>
      </c>
    </row>
    <row r="6635" spans="1:4" x14ac:dyDescent="0.25">
      <c r="A6635" s="41">
        <v>466623</v>
      </c>
      <c r="B6635" s="39" t="s">
        <v>8177</v>
      </c>
      <c r="C6635" s="40">
        <v>4</v>
      </c>
      <c r="D6635" s="38" t="s">
        <v>266</v>
      </c>
    </row>
    <row r="6636" spans="1:4" x14ac:dyDescent="0.25">
      <c r="A6636" s="41">
        <v>466653</v>
      </c>
      <c r="B6636" s="39" t="s">
        <v>8178</v>
      </c>
      <c r="C6636" s="40">
        <v>4</v>
      </c>
      <c r="D6636" s="38" t="s">
        <v>266</v>
      </c>
    </row>
    <row r="6637" spans="1:4" x14ac:dyDescent="0.25">
      <c r="A6637" s="41">
        <v>466656</v>
      </c>
      <c r="B6637" s="39" t="s">
        <v>8179</v>
      </c>
      <c r="C6637" s="40">
        <v>4</v>
      </c>
      <c r="D6637" s="38" t="s">
        <v>266</v>
      </c>
    </row>
    <row r="6638" spans="1:4" x14ac:dyDescent="0.25">
      <c r="A6638" s="41">
        <v>466663</v>
      </c>
      <c r="B6638" s="39" t="s">
        <v>8180</v>
      </c>
      <c r="C6638" s="40">
        <v>4</v>
      </c>
      <c r="D6638" s="38" t="s">
        <v>266</v>
      </c>
    </row>
    <row r="6639" spans="1:4" x14ac:dyDescent="0.25">
      <c r="A6639" s="41">
        <v>467113</v>
      </c>
      <c r="B6639" s="39" t="s">
        <v>8181</v>
      </c>
      <c r="C6639" s="40">
        <v>4</v>
      </c>
      <c r="D6639" s="38" t="s">
        <v>266</v>
      </c>
    </row>
    <row r="6640" spans="1:4" x14ac:dyDescent="0.25">
      <c r="A6640" s="41">
        <v>467116</v>
      </c>
      <c r="B6640" s="39" t="s">
        <v>8182</v>
      </c>
      <c r="C6640" s="40">
        <v>4</v>
      </c>
      <c r="D6640" s="38" t="s">
        <v>266</v>
      </c>
    </row>
    <row r="6641" spans="1:4" x14ac:dyDescent="0.25">
      <c r="A6641" s="41">
        <v>467123</v>
      </c>
      <c r="B6641" s="39" t="s">
        <v>8183</v>
      </c>
      <c r="C6641" s="40">
        <v>4</v>
      </c>
      <c r="D6641" s="38" t="s">
        <v>266</v>
      </c>
    </row>
    <row r="6642" spans="1:4" x14ac:dyDescent="0.25">
      <c r="A6642" s="41">
        <v>467133</v>
      </c>
      <c r="B6642" s="39" t="s">
        <v>8184</v>
      </c>
      <c r="C6642" s="40">
        <v>4</v>
      </c>
      <c r="D6642" s="38" t="s">
        <v>266</v>
      </c>
    </row>
    <row r="6643" spans="1:4" x14ac:dyDescent="0.25">
      <c r="A6643" s="41">
        <v>467136</v>
      </c>
      <c r="B6643" s="39" t="s">
        <v>8185</v>
      </c>
      <c r="C6643" s="40">
        <v>4</v>
      </c>
      <c r="D6643" s="38" t="s">
        <v>266</v>
      </c>
    </row>
    <row r="6644" spans="1:4" x14ac:dyDescent="0.25">
      <c r="A6644" s="41">
        <v>467143</v>
      </c>
      <c r="B6644" s="39" t="s">
        <v>8186</v>
      </c>
      <c r="C6644" s="40">
        <v>4</v>
      </c>
      <c r="D6644" s="38" t="s">
        <v>266</v>
      </c>
    </row>
    <row r="6645" spans="1:4" x14ac:dyDescent="0.25">
      <c r="A6645" s="41">
        <v>467146</v>
      </c>
      <c r="B6645" s="39" t="s">
        <v>8187</v>
      </c>
      <c r="C6645" s="40">
        <v>4</v>
      </c>
      <c r="D6645" s="38" t="s">
        <v>266</v>
      </c>
    </row>
    <row r="6646" spans="1:4" x14ac:dyDescent="0.25">
      <c r="A6646" s="41">
        <v>467153</v>
      </c>
      <c r="B6646" s="39" t="s">
        <v>8188</v>
      </c>
      <c r="C6646" s="40">
        <v>4</v>
      </c>
      <c r="D6646" s="38" t="s">
        <v>266</v>
      </c>
    </row>
    <row r="6647" spans="1:4" x14ac:dyDescent="0.25">
      <c r="A6647" s="41">
        <v>467311</v>
      </c>
      <c r="B6647" s="39" t="s">
        <v>8189</v>
      </c>
      <c r="C6647" s="40">
        <v>4</v>
      </c>
      <c r="D6647" s="38" t="s">
        <v>266</v>
      </c>
    </row>
    <row r="6648" spans="1:4" x14ac:dyDescent="0.25">
      <c r="A6648" s="41">
        <v>467312</v>
      </c>
      <c r="B6648" s="39" t="s">
        <v>8190</v>
      </c>
      <c r="C6648" s="40">
        <v>4</v>
      </c>
      <c r="D6648" s="38" t="s">
        <v>266</v>
      </c>
    </row>
    <row r="6649" spans="1:4" x14ac:dyDescent="0.25">
      <c r="A6649" s="41">
        <v>467314</v>
      </c>
      <c r="B6649" s="39" t="s">
        <v>8191</v>
      </c>
      <c r="C6649" s="40">
        <v>4</v>
      </c>
      <c r="D6649" s="38" t="s">
        <v>266</v>
      </c>
    </row>
    <row r="6650" spans="1:4" x14ac:dyDescent="0.25">
      <c r="A6650" s="41">
        <v>467316</v>
      </c>
      <c r="B6650" s="39" t="s">
        <v>8192</v>
      </c>
      <c r="C6650" s="40">
        <v>4</v>
      </c>
      <c r="D6650" s="38" t="s">
        <v>266</v>
      </c>
    </row>
    <row r="6651" spans="1:4" x14ac:dyDescent="0.25">
      <c r="A6651" s="41">
        <v>467317</v>
      </c>
      <c r="B6651" s="39" t="s">
        <v>8193</v>
      </c>
      <c r="C6651" s="40">
        <v>4</v>
      </c>
      <c r="D6651" s="38" t="s">
        <v>266</v>
      </c>
    </row>
    <row r="6652" spans="1:4" x14ac:dyDescent="0.25">
      <c r="A6652" s="41">
        <v>467318</v>
      </c>
      <c r="B6652" s="39" t="s">
        <v>8194</v>
      </c>
      <c r="C6652" s="40">
        <v>4</v>
      </c>
      <c r="D6652" s="38" t="s">
        <v>266</v>
      </c>
    </row>
    <row r="6653" spans="1:4" x14ac:dyDescent="0.25">
      <c r="A6653" s="41">
        <v>467319</v>
      </c>
      <c r="B6653" s="39" t="s">
        <v>8195</v>
      </c>
      <c r="C6653" s="40">
        <v>4</v>
      </c>
      <c r="D6653" s="38" t="s">
        <v>266</v>
      </c>
    </row>
    <row r="6654" spans="1:4" x14ac:dyDescent="0.25">
      <c r="A6654" s="41">
        <v>467321</v>
      </c>
      <c r="B6654" s="39" t="s">
        <v>8196</v>
      </c>
      <c r="C6654" s="40">
        <v>4</v>
      </c>
      <c r="D6654" s="38" t="s">
        <v>266</v>
      </c>
    </row>
    <row r="6655" spans="1:4" x14ac:dyDescent="0.25">
      <c r="A6655" s="41">
        <v>467324</v>
      </c>
      <c r="B6655" s="39" t="s">
        <v>8197</v>
      </c>
      <c r="C6655" s="40">
        <v>4</v>
      </c>
      <c r="D6655" s="38" t="s">
        <v>266</v>
      </c>
    </row>
    <row r="6656" spans="1:4" x14ac:dyDescent="0.25">
      <c r="A6656" s="41">
        <v>467326</v>
      </c>
      <c r="B6656" s="39" t="s">
        <v>8198</v>
      </c>
      <c r="C6656" s="40">
        <v>4</v>
      </c>
      <c r="D6656" s="38" t="s">
        <v>266</v>
      </c>
    </row>
    <row r="6657" spans="1:4" x14ac:dyDescent="0.25">
      <c r="A6657" s="41">
        <v>467331</v>
      </c>
      <c r="B6657" s="39" t="s">
        <v>8199</v>
      </c>
      <c r="C6657" s="40">
        <v>4</v>
      </c>
      <c r="D6657" s="38" t="s">
        <v>266</v>
      </c>
    </row>
    <row r="6658" spans="1:4" x14ac:dyDescent="0.25">
      <c r="A6658" s="41">
        <v>467332</v>
      </c>
      <c r="B6658" s="39" t="s">
        <v>8200</v>
      </c>
      <c r="C6658" s="40">
        <v>4</v>
      </c>
      <c r="D6658" s="38" t="s">
        <v>266</v>
      </c>
    </row>
    <row r="6659" spans="1:4" x14ac:dyDescent="0.25">
      <c r="A6659" s="41">
        <v>467333</v>
      </c>
      <c r="B6659" s="39" t="s">
        <v>8201</v>
      </c>
      <c r="C6659" s="40">
        <v>4</v>
      </c>
      <c r="D6659" s="38" t="s">
        <v>266</v>
      </c>
    </row>
    <row r="6660" spans="1:4" x14ac:dyDescent="0.25">
      <c r="A6660" s="41">
        <v>467334</v>
      </c>
      <c r="B6660" s="39" t="s">
        <v>8202</v>
      </c>
      <c r="C6660" s="40">
        <v>4</v>
      </c>
      <c r="D6660" s="38" t="s">
        <v>266</v>
      </c>
    </row>
    <row r="6661" spans="1:4" x14ac:dyDescent="0.25">
      <c r="A6661" s="41">
        <v>467341</v>
      </c>
      <c r="B6661" s="39" t="s">
        <v>8203</v>
      </c>
      <c r="C6661" s="40">
        <v>4</v>
      </c>
      <c r="D6661" s="38" t="s">
        <v>266</v>
      </c>
    </row>
    <row r="6662" spans="1:4" x14ac:dyDescent="0.25">
      <c r="A6662" s="41">
        <v>467363</v>
      </c>
      <c r="B6662" s="39" t="s">
        <v>8204</v>
      </c>
      <c r="C6662" s="40">
        <v>4</v>
      </c>
      <c r="D6662" s="38" t="s">
        <v>266</v>
      </c>
    </row>
    <row r="6663" spans="1:4" x14ac:dyDescent="0.25">
      <c r="A6663" s="41">
        <v>467613</v>
      </c>
      <c r="B6663" s="39" t="s">
        <v>8205</v>
      </c>
      <c r="C6663" s="40">
        <v>4</v>
      </c>
      <c r="D6663" s="38" t="s">
        <v>266</v>
      </c>
    </row>
    <row r="6664" spans="1:4" x14ac:dyDescent="0.25">
      <c r="A6664" s="41">
        <v>467621</v>
      </c>
      <c r="B6664" s="39" t="s">
        <v>8206</v>
      </c>
      <c r="C6664" s="40">
        <v>4</v>
      </c>
      <c r="D6664" s="38" t="s">
        <v>266</v>
      </c>
    </row>
    <row r="6665" spans="1:4" x14ac:dyDescent="0.25">
      <c r="A6665" s="41">
        <v>467623</v>
      </c>
      <c r="B6665" s="39" t="s">
        <v>8207</v>
      </c>
      <c r="C6665" s="40">
        <v>4</v>
      </c>
      <c r="D6665" s="38" t="s">
        <v>266</v>
      </c>
    </row>
    <row r="6666" spans="1:4" x14ac:dyDescent="0.25">
      <c r="A6666" s="41">
        <v>467626</v>
      </c>
      <c r="B6666" s="39" t="s">
        <v>8208</v>
      </c>
      <c r="C6666" s="40">
        <v>4</v>
      </c>
      <c r="D6666" s="38" t="s">
        <v>266</v>
      </c>
    </row>
    <row r="6667" spans="1:4" x14ac:dyDescent="0.25">
      <c r="A6667" s="41">
        <v>467627</v>
      </c>
      <c r="B6667" s="39" t="s">
        <v>8209</v>
      </c>
      <c r="C6667" s="40">
        <v>4</v>
      </c>
      <c r="D6667" s="38" t="s">
        <v>266</v>
      </c>
    </row>
    <row r="6668" spans="1:4" x14ac:dyDescent="0.25">
      <c r="A6668" s="41">
        <v>467633</v>
      </c>
      <c r="B6668" s="39" t="s">
        <v>8210</v>
      </c>
      <c r="C6668" s="40">
        <v>4</v>
      </c>
      <c r="D6668" s="38" t="s">
        <v>266</v>
      </c>
    </row>
    <row r="6669" spans="1:4" x14ac:dyDescent="0.25">
      <c r="A6669" s="41">
        <v>467653</v>
      </c>
      <c r="B6669" s="39" t="s">
        <v>8211</v>
      </c>
      <c r="C6669" s="40">
        <v>4</v>
      </c>
      <c r="D6669" s="38" t="s">
        <v>266</v>
      </c>
    </row>
    <row r="6670" spans="1:4" x14ac:dyDescent="0.25">
      <c r="A6670" s="41">
        <v>467660</v>
      </c>
      <c r="B6670" s="39" t="s">
        <v>8212</v>
      </c>
      <c r="C6670" s="40">
        <v>4</v>
      </c>
      <c r="D6670" s="38" t="s">
        <v>266</v>
      </c>
    </row>
    <row r="6671" spans="1:4" x14ac:dyDescent="0.25">
      <c r="A6671" s="41">
        <v>467670</v>
      </c>
      <c r="B6671" s="39" t="s">
        <v>8213</v>
      </c>
      <c r="C6671" s="40">
        <v>4</v>
      </c>
      <c r="D6671" s="38" t="s">
        <v>266</v>
      </c>
    </row>
    <row r="6672" spans="1:4" x14ac:dyDescent="0.25">
      <c r="A6672" s="41">
        <v>467813</v>
      </c>
      <c r="B6672" s="39" t="s">
        <v>8214</v>
      </c>
      <c r="C6672" s="40">
        <v>4</v>
      </c>
      <c r="D6672" s="38" t="s">
        <v>266</v>
      </c>
    </row>
    <row r="6673" spans="1:4" x14ac:dyDescent="0.25">
      <c r="A6673" s="41">
        <v>467823</v>
      </c>
      <c r="B6673" s="39" t="s">
        <v>8215</v>
      </c>
      <c r="C6673" s="40">
        <v>4</v>
      </c>
      <c r="D6673" s="38" t="s">
        <v>266</v>
      </c>
    </row>
    <row r="6674" spans="1:4" x14ac:dyDescent="0.25">
      <c r="A6674" s="41">
        <v>467833</v>
      </c>
      <c r="B6674" s="39" t="s">
        <v>8216</v>
      </c>
      <c r="C6674" s="40">
        <v>4</v>
      </c>
      <c r="D6674" s="38" t="s">
        <v>266</v>
      </c>
    </row>
    <row r="6675" spans="1:4" x14ac:dyDescent="0.25">
      <c r="A6675" s="41">
        <v>467841</v>
      </c>
      <c r="B6675" s="39" t="s">
        <v>8217</v>
      </c>
      <c r="C6675" s="40">
        <v>4</v>
      </c>
      <c r="D6675" s="38" t="s">
        <v>266</v>
      </c>
    </row>
    <row r="6676" spans="1:4" x14ac:dyDescent="0.25">
      <c r="A6676" s="41">
        <v>467846</v>
      </c>
      <c r="B6676" s="39" t="s">
        <v>8218</v>
      </c>
      <c r="C6676" s="40">
        <v>4</v>
      </c>
      <c r="D6676" s="38" t="s">
        <v>266</v>
      </c>
    </row>
    <row r="6677" spans="1:4" x14ac:dyDescent="0.25">
      <c r="A6677" s="41">
        <v>467847</v>
      </c>
      <c r="B6677" s="39" t="s">
        <v>8219</v>
      </c>
      <c r="C6677" s="40">
        <v>4</v>
      </c>
      <c r="D6677" s="38" t="s">
        <v>266</v>
      </c>
    </row>
    <row r="6678" spans="1:4" x14ac:dyDescent="0.25">
      <c r="A6678" s="41">
        <v>467849</v>
      </c>
      <c r="B6678" s="39" t="s">
        <v>8220</v>
      </c>
      <c r="C6678" s="40">
        <v>4</v>
      </c>
      <c r="D6678" s="38" t="s">
        <v>266</v>
      </c>
    </row>
    <row r="6679" spans="1:4" x14ac:dyDescent="0.25">
      <c r="A6679" s="41">
        <v>467873</v>
      </c>
      <c r="B6679" s="39" t="s">
        <v>7789</v>
      </c>
      <c r="C6679" s="40">
        <v>4</v>
      </c>
      <c r="D6679" s="38" t="s">
        <v>266</v>
      </c>
    </row>
    <row r="6680" spans="1:4" x14ac:dyDescent="0.25">
      <c r="A6680" s="41">
        <v>480000</v>
      </c>
      <c r="B6680" s="39" t="s">
        <v>8221</v>
      </c>
      <c r="C6680" s="40">
        <v>2</v>
      </c>
      <c r="D6680" s="38" t="s">
        <v>266</v>
      </c>
    </row>
    <row r="6681" spans="1:4" x14ac:dyDescent="0.25">
      <c r="A6681" s="41">
        <v>480100</v>
      </c>
      <c r="B6681" s="39" t="s">
        <v>8222</v>
      </c>
      <c r="C6681" s="40">
        <v>3</v>
      </c>
      <c r="D6681" s="38" t="s">
        <v>266</v>
      </c>
    </row>
    <row r="6682" spans="1:4" x14ac:dyDescent="0.25">
      <c r="A6682" s="41">
        <v>480110</v>
      </c>
      <c r="B6682" s="39" t="s">
        <v>8223</v>
      </c>
      <c r="C6682" s="40">
        <v>4</v>
      </c>
      <c r="D6682" s="38" t="s">
        <v>266</v>
      </c>
    </row>
    <row r="6683" spans="1:4" x14ac:dyDescent="0.25">
      <c r="A6683" s="41">
        <v>480170</v>
      </c>
      <c r="B6683" s="39" t="s">
        <v>8224</v>
      </c>
      <c r="C6683" s="40">
        <v>4</v>
      </c>
      <c r="D6683" s="38" t="s">
        <v>266</v>
      </c>
    </row>
    <row r="6684" spans="1:4" x14ac:dyDescent="0.25">
      <c r="A6684" s="41">
        <v>480500</v>
      </c>
      <c r="B6684" s="39" t="s">
        <v>8225</v>
      </c>
      <c r="C6684" s="40">
        <v>3</v>
      </c>
      <c r="D6684" s="38" t="s">
        <v>266</v>
      </c>
    </row>
    <row r="6685" spans="1:4" x14ac:dyDescent="0.25">
      <c r="A6685" s="41">
        <v>480800</v>
      </c>
      <c r="B6685" s="39" t="s">
        <v>8226</v>
      </c>
      <c r="C6685" s="40">
        <v>3</v>
      </c>
      <c r="D6685" s="38" t="s">
        <v>266</v>
      </c>
    </row>
    <row r="6686" spans="1:4" x14ac:dyDescent="0.25">
      <c r="A6686" s="41">
        <v>480900</v>
      </c>
      <c r="B6686" s="39" t="s">
        <v>8227</v>
      </c>
      <c r="C6686" s="40">
        <v>3</v>
      </c>
      <c r="D6686" s="38" t="s">
        <v>266</v>
      </c>
    </row>
    <row r="6687" spans="1:4" x14ac:dyDescent="0.25">
      <c r="A6687" s="41">
        <v>481000</v>
      </c>
      <c r="B6687" s="39" t="s">
        <v>8228</v>
      </c>
      <c r="C6687" s="40">
        <v>3</v>
      </c>
      <c r="D6687" s="38" t="s">
        <v>266</v>
      </c>
    </row>
    <row r="6688" spans="1:4" x14ac:dyDescent="0.25">
      <c r="A6688" s="41">
        <v>481100</v>
      </c>
      <c r="B6688" s="39" t="s">
        <v>8229</v>
      </c>
      <c r="C6688" s="40">
        <v>3</v>
      </c>
      <c r="D6688" s="38" t="s">
        <v>266</v>
      </c>
    </row>
    <row r="6689" spans="1:4" x14ac:dyDescent="0.25">
      <c r="A6689" s="41">
        <v>481113</v>
      </c>
      <c r="B6689" s="39" t="s">
        <v>8230</v>
      </c>
      <c r="C6689" s="40">
        <v>4</v>
      </c>
      <c r="D6689" s="38" t="s">
        <v>266</v>
      </c>
    </row>
    <row r="6690" spans="1:4" x14ac:dyDescent="0.25">
      <c r="A6690" s="41">
        <v>481116</v>
      </c>
      <c r="B6690" s="39" t="s">
        <v>8231</v>
      </c>
      <c r="C6690" s="40">
        <v>4</v>
      </c>
      <c r="D6690" s="38" t="s">
        <v>266</v>
      </c>
    </row>
    <row r="6691" spans="1:4" x14ac:dyDescent="0.25">
      <c r="A6691" s="41">
        <v>481119</v>
      </c>
      <c r="B6691" s="39" t="s">
        <v>8232</v>
      </c>
      <c r="C6691" s="40">
        <v>4</v>
      </c>
      <c r="D6691" s="38" t="s">
        <v>266</v>
      </c>
    </row>
    <row r="6692" spans="1:4" x14ac:dyDescent="0.25">
      <c r="A6692" s="41">
        <v>481123</v>
      </c>
      <c r="B6692" s="39" t="s">
        <v>8233</v>
      </c>
      <c r="C6692" s="40">
        <v>4</v>
      </c>
      <c r="D6692" s="38" t="s">
        <v>266</v>
      </c>
    </row>
    <row r="6693" spans="1:4" x14ac:dyDescent="0.25">
      <c r="A6693" s="41">
        <v>481126</v>
      </c>
      <c r="B6693" s="39" t="s">
        <v>8234</v>
      </c>
      <c r="C6693" s="40">
        <v>4</v>
      </c>
      <c r="D6693" s="38" t="s">
        <v>266</v>
      </c>
    </row>
    <row r="6694" spans="1:4" x14ac:dyDescent="0.25">
      <c r="A6694" s="41">
        <v>481200</v>
      </c>
      <c r="B6694" s="39" t="s">
        <v>8235</v>
      </c>
      <c r="C6694" s="40">
        <v>3</v>
      </c>
      <c r="D6694" s="38" t="s">
        <v>266</v>
      </c>
    </row>
    <row r="6695" spans="1:4" x14ac:dyDescent="0.25">
      <c r="A6695" s="41">
        <v>481213</v>
      </c>
      <c r="B6695" s="39" t="s">
        <v>8236</v>
      </c>
      <c r="C6695" s="40">
        <v>4</v>
      </c>
      <c r="D6695" s="38" t="s">
        <v>266</v>
      </c>
    </row>
    <row r="6696" spans="1:4" x14ac:dyDescent="0.25">
      <c r="A6696" s="42">
        <v>481213.13</v>
      </c>
      <c r="B6696" s="39" t="s">
        <v>8237</v>
      </c>
      <c r="C6696" s="40">
        <v>5</v>
      </c>
      <c r="D6696" s="38" t="s">
        <v>266</v>
      </c>
    </row>
    <row r="6697" spans="1:4" x14ac:dyDescent="0.25">
      <c r="A6697" s="42">
        <v>481213.16</v>
      </c>
      <c r="B6697" s="39" t="s">
        <v>8238</v>
      </c>
      <c r="C6697" s="40">
        <v>5</v>
      </c>
      <c r="D6697" s="38" t="s">
        <v>266</v>
      </c>
    </row>
    <row r="6698" spans="1:4" x14ac:dyDescent="0.25">
      <c r="A6698" s="41">
        <v>481223</v>
      </c>
      <c r="B6698" s="39" t="s">
        <v>8239</v>
      </c>
      <c r="C6698" s="40">
        <v>4</v>
      </c>
      <c r="D6698" s="38" t="s">
        <v>266</v>
      </c>
    </row>
    <row r="6699" spans="1:4" x14ac:dyDescent="0.25">
      <c r="A6699" s="41">
        <v>481226</v>
      </c>
      <c r="B6699" s="39" t="s">
        <v>8240</v>
      </c>
      <c r="C6699" s="40">
        <v>4</v>
      </c>
      <c r="D6699" s="38" t="s">
        <v>266</v>
      </c>
    </row>
    <row r="6700" spans="1:4" x14ac:dyDescent="0.25">
      <c r="A6700" s="41">
        <v>481229</v>
      </c>
      <c r="B6700" s="39" t="s">
        <v>8241</v>
      </c>
      <c r="C6700" s="40">
        <v>4</v>
      </c>
      <c r="D6700" s="38" t="s">
        <v>266</v>
      </c>
    </row>
    <row r="6701" spans="1:4" x14ac:dyDescent="0.25">
      <c r="A6701" s="41">
        <v>481233</v>
      </c>
      <c r="B6701" s="39" t="s">
        <v>8242</v>
      </c>
      <c r="C6701" s="40">
        <v>4</v>
      </c>
      <c r="D6701" s="38" t="s">
        <v>266</v>
      </c>
    </row>
    <row r="6702" spans="1:4" x14ac:dyDescent="0.25">
      <c r="A6702" s="41">
        <v>481300</v>
      </c>
      <c r="B6702" s="39" t="s">
        <v>8243</v>
      </c>
      <c r="C6702" s="40">
        <v>3</v>
      </c>
      <c r="D6702" s="38" t="s">
        <v>266</v>
      </c>
    </row>
    <row r="6703" spans="1:4" x14ac:dyDescent="0.25">
      <c r="A6703" s="41">
        <v>481313</v>
      </c>
      <c r="B6703" s="39" t="s">
        <v>8244</v>
      </c>
      <c r="C6703" s="40">
        <v>4</v>
      </c>
      <c r="D6703" s="38" t="s">
        <v>266</v>
      </c>
    </row>
    <row r="6704" spans="1:4" x14ac:dyDescent="0.25">
      <c r="A6704" s="41">
        <v>481316</v>
      </c>
      <c r="B6704" s="39" t="s">
        <v>8245</v>
      </c>
      <c r="C6704" s="40">
        <v>4</v>
      </c>
      <c r="D6704" s="38" t="s">
        <v>266</v>
      </c>
    </row>
    <row r="6705" spans="1:4" x14ac:dyDescent="0.25">
      <c r="A6705" s="41">
        <v>481400</v>
      </c>
      <c r="B6705" s="39" t="s">
        <v>8246</v>
      </c>
      <c r="C6705" s="40">
        <v>3</v>
      </c>
      <c r="D6705" s="38" t="s">
        <v>266</v>
      </c>
    </row>
    <row r="6706" spans="1:4" x14ac:dyDescent="0.25">
      <c r="A6706" s="41">
        <v>481413</v>
      </c>
      <c r="B6706" s="39" t="s">
        <v>8247</v>
      </c>
      <c r="C6706" s="40">
        <v>4</v>
      </c>
      <c r="D6706" s="38" t="s">
        <v>266</v>
      </c>
    </row>
    <row r="6707" spans="1:4" x14ac:dyDescent="0.25">
      <c r="A6707" s="42">
        <v>481413.13</v>
      </c>
      <c r="B6707" s="39" t="s">
        <v>8248</v>
      </c>
      <c r="C6707" s="40">
        <v>5</v>
      </c>
      <c r="D6707" s="38" t="s">
        <v>266</v>
      </c>
    </row>
    <row r="6708" spans="1:4" x14ac:dyDescent="0.25">
      <c r="A6708" s="42">
        <v>481413.16</v>
      </c>
      <c r="B6708" s="39" t="s">
        <v>8249</v>
      </c>
      <c r="C6708" s="40">
        <v>5</v>
      </c>
      <c r="D6708" s="38" t="s">
        <v>266</v>
      </c>
    </row>
    <row r="6709" spans="1:4" x14ac:dyDescent="0.25">
      <c r="A6709" s="42">
        <v>481413.19</v>
      </c>
      <c r="B6709" s="39" t="s">
        <v>8250</v>
      </c>
      <c r="C6709" s="40">
        <v>5</v>
      </c>
      <c r="D6709" s="38" t="s">
        <v>266</v>
      </c>
    </row>
    <row r="6710" spans="1:4" x14ac:dyDescent="0.25">
      <c r="A6710" s="41">
        <v>481500</v>
      </c>
      <c r="B6710" s="39" t="s">
        <v>8251</v>
      </c>
      <c r="C6710" s="40">
        <v>3</v>
      </c>
      <c r="D6710" s="38" t="s">
        <v>266</v>
      </c>
    </row>
    <row r="6711" spans="1:4" x14ac:dyDescent="0.25">
      <c r="A6711" s="41">
        <v>481513</v>
      </c>
      <c r="B6711" s="39" t="s">
        <v>8252</v>
      </c>
      <c r="C6711" s="40">
        <v>4</v>
      </c>
      <c r="D6711" s="38" t="s">
        <v>266</v>
      </c>
    </row>
    <row r="6712" spans="1:4" x14ac:dyDescent="0.25">
      <c r="A6712" s="41">
        <v>481516</v>
      </c>
      <c r="B6712" s="39" t="s">
        <v>8253</v>
      </c>
      <c r="C6712" s="40">
        <v>4</v>
      </c>
      <c r="D6712" s="38" t="s">
        <v>266</v>
      </c>
    </row>
    <row r="6713" spans="1:4" x14ac:dyDescent="0.25">
      <c r="A6713" s="41">
        <v>481600</v>
      </c>
      <c r="B6713" s="39" t="s">
        <v>8254</v>
      </c>
      <c r="C6713" s="40">
        <v>3</v>
      </c>
      <c r="D6713" s="38" t="s">
        <v>266</v>
      </c>
    </row>
    <row r="6714" spans="1:4" x14ac:dyDescent="0.25">
      <c r="A6714" s="41">
        <v>481613</v>
      </c>
      <c r="B6714" s="39" t="s">
        <v>8255</v>
      </c>
      <c r="C6714" s="40">
        <v>4</v>
      </c>
      <c r="D6714" s="38" t="s">
        <v>266</v>
      </c>
    </row>
    <row r="6715" spans="1:4" x14ac:dyDescent="0.25">
      <c r="A6715" s="41">
        <v>481616</v>
      </c>
      <c r="B6715" s="39" t="s">
        <v>8256</v>
      </c>
      <c r="C6715" s="40">
        <v>4</v>
      </c>
      <c r="D6715" s="38" t="s">
        <v>266</v>
      </c>
    </row>
    <row r="6716" spans="1:4" x14ac:dyDescent="0.25">
      <c r="A6716" s="41">
        <v>481619</v>
      </c>
      <c r="B6716" s="39" t="s">
        <v>8257</v>
      </c>
      <c r="C6716" s="40">
        <v>4</v>
      </c>
      <c r="D6716" s="38" t="s">
        <v>266</v>
      </c>
    </row>
    <row r="6717" spans="1:4" x14ac:dyDescent="0.25">
      <c r="A6717" s="41">
        <v>481623</v>
      </c>
      <c r="B6717" s="39" t="s">
        <v>8258</v>
      </c>
      <c r="C6717" s="40">
        <v>4</v>
      </c>
      <c r="D6717" s="38" t="s">
        <v>266</v>
      </c>
    </row>
    <row r="6718" spans="1:4" x14ac:dyDescent="0.25">
      <c r="A6718" s="41">
        <v>481700</v>
      </c>
      <c r="B6718" s="39" t="s">
        <v>8259</v>
      </c>
      <c r="C6718" s="40">
        <v>3</v>
      </c>
      <c r="D6718" s="38" t="s">
        <v>266</v>
      </c>
    </row>
    <row r="6719" spans="1:4" x14ac:dyDescent="0.25">
      <c r="A6719" s="41">
        <v>481713</v>
      </c>
      <c r="B6719" s="39" t="s">
        <v>8260</v>
      </c>
      <c r="C6719" s="40">
        <v>4</v>
      </c>
      <c r="D6719" s="38" t="s">
        <v>266</v>
      </c>
    </row>
    <row r="6720" spans="1:4" x14ac:dyDescent="0.25">
      <c r="A6720" s="41">
        <v>481800</v>
      </c>
      <c r="B6720" s="39" t="s">
        <v>8261</v>
      </c>
      <c r="C6720" s="40">
        <v>3</v>
      </c>
      <c r="D6720" s="38" t="s">
        <v>1059</v>
      </c>
    </row>
    <row r="6721" spans="1:4" x14ac:dyDescent="0.25">
      <c r="A6721" s="41">
        <v>481813</v>
      </c>
      <c r="B6721" s="39" t="s">
        <v>8262</v>
      </c>
      <c r="C6721" s="40">
        <v>4</v>
      </c>
      <c r="D6721" s="39" t="s">
        <v>266</v>
      </c>
    </row>
    <row r="6722" spans="1:4" x14ac:dyDescent="0.25">
      <c r="A6722" s="41">
        <v>481816</v>
      </c>
      <c r="B6722" s="39" t="s">
        <v>8263</v>
      </c>
      <c r="C6722" s="40">
        <v>4</v>
      </c>
      <c r="D6722" s="39" t="s">
        <v>266</v>
      </c>
    </row>
    <row r="6723" spans="1:4" x14ac:dyDescent="0.25">
      <c r="A6723" s="41">
        <v>481900</v>
      </c>
      <c r="B6723" s="39" t="s">
        <v>8264</v>
      </c>
      <c r="C6723" s="40">
        <v>3</v>
      </c>
      <c r="D6723" s="39" t="s">
        <v>266</v>
      </c>
    </row>
    <row r="6724" spans="1:4" x14ac:dyDescent="0.25">
      <c r="A6724" s="41">
        <v>481913</v>
      </c>
      <c r="B6724" s="39" t="s">
        <v>8265</v>
      </c>
      <c r="C6724" s="40">
        <v>4</v>
      </c>
      <c r="D6724" s="39" t="s">
        <v>266</v>
      </c>
    </row>
    <row r="6725" spans="1:4" x14ac:dyDescent="0.25">
      <c r="A6725" s="41">
        <v>481916</v>
      </c>
      <c r="B6725" s="39" t="s">
        <v>8266</v>
      </c>
      <c r="C6725" s="40">
        <v>4</v>
      </c>
      <c r="D6725" s="39" t="s">
        <v>266</v>
      </c>
    </row>
    <row r="6726" spans="1:4" x14ac:dyDescent="0.25">
      <c r="A6726" s="41">
        <v>481919</v>
      </c>
      <c r="B6726" s="39" t="s">
        <v>8267</v>
      </c>
      <c r="C6726" s="40">
        <v>4</v>
      </c>
      <c r="D6726" s="39" t="s">
        <v>266</v>
      </c>
    </row>
    <row r="6727" spans="1:4" x14ac:dyDescent="0.25">
      <c r="A6727" s="41">
        <v>481923</v>
      </c>
      <c r="B6727" s="39" t="s">
        <v>8268</v>
      </c>
      <c r="C6727" s="40">
        <v>4</v>
      </c>
      <c r="D6727" s="39" t="s">
        <v>266</v>
      </c>
    </row>
    <row r="6728" spans="1:4" x14ac:dyDescent="0.25">
      <c r="A6728" s="41">
        <v>481926</v>
      </c>
      <c r="B6728" s="39" t="s">
        <v>8269</v>
      </c>
      <c r="C6728" s="40">
        <v>4</v>
      </c>
      <c r="D6728" s="39" t="s">
        <v>266</v>
      </c>
    </row>
    <row r="6729" spans="1:4" x14ac:dyDescent="0.25">
      <c r="A6729" s="41">
        <v>487000</v>
      </c>
      <c r="B6729" s="39" t="s">
        <v>8270</v>
      </c>
      <c r="C6729" s="40">
        <v>3</v>
      </c>
      <c r="D6729" s="39" t="s">
        <v>266</v>
      </c>
    </row>
    <row r="6730" spans="1:4" x14ac:dyDescent="0.25">
      <c r="A6730" s="41">
        <v>487100</v>
      </c>
      <c r="B6730" s="39" t="s">
        <v>8271</v>
      </c>
      <c r="C6730" s="40">
        <v>3</v>
      </c>
      <c r="D6730" s="39" t="s">
        <v>266</v>
      </c>
    </row>
    <row r="6731" spans="1:4" x14ac:dyDescent="0.25">
      <c r="A6731" s="41">
        <v>487113</v>
      </c>
      <c r="B6731" s="39" t="s">
        <v>8272</v>
      </c>
      <c r="C6731" s="40">
        <v>4</v>
      </c>
      <c r="D6731" s="39" t="s">
        <v>266</v>
      </c>
    </row>
    <row r="6732" spans="1:4" x14ac:dyDescent="0.25">
      <c r="A6732" s="41">
        <v>487116</v>
      </c>
      <c r="B6732" s="39" t="s">
        <v>8273</v>
      </c>
      <c r="C6732" s="40">
        <v>4</v>
      </c>
      <c r="D6732" s="39" t="s">
        <v>266</v>
      </c>
    </row>
    <row r="6733" spans="1:4" x14ac:dyDescent="0.25">
      <c r="A6733" s="41">
        <v>487119</v>
      </c>
      <c r="B6733" s="39" t="s">
        <v>8274</v>
      </c>
      <c r="C6733" s="40">
        <v>4</v>
      </c>
      <c r="D6733" s="39" t="s">
        <v>266</v>
      </c>
    </row>
    <row r="6734" spans="1:4" x14ac:dyDescent="0.25">
      <c r="A6734" s="41">
        <v>487123</v>
      </c>
      <c r="B6734" s="39" t="s">
        <v>8275</v>
      </c>
      <c r="C6734" s="40">
        <v>4</v>
      </c>
      <c r="D6734" s="39" t="s">
        <v>266</v>
      </c>
    </row>
    <row r="6735" spans="1:4" x14ac:dyDescent="0.25">
      <c r="A6735" s="41">
        <v>487126</v>
      </c>
      <c r="B6735" s="39" t="s">
        <v>8276</v>
      </c>
      <c r="C6735" s="40">
        <v>4</v>
      </c>
      <c r="D6735" s="39" t="s">
        <v>266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16C0A-49DA-41EB-9B6F-53B0AF633D48}">
  <sheetPr codeName="Sheet5"/>
  <dimension ref="A1:C703"/>
  <sheetViews>
    <sheetView topLeftCell="A139" workbookViewId="0">
      <selection activeCell="D7" sqref="D7"/>
    </sheetView>
  </sheetViews>
  <sheetFormatPr defaultRowHeight="15" x14ac:dyDescent="0.25"/>
  <cols>
    <col min="1" max="1" width="21.7109375" bestFit="1" customWidth="1"/>
    <col min="2" max="2" width="53.28515625" bestFit="1" customWidth="1"/>
    <col min="3" max="3" width="13.5703125" bestFit="1" customWidth="1"/>
    <col min="4" max="4" width="70.7109375" bestFit="1" customWidth="1"/>
  </cols>
  <sheetData>
    <row r="1" spans="1:2" x14ac:dyDescent="0.25">
      <c r="B1" t="s">
        <v>231</v>
      </c>
    </row>
    <row r="2" spans="1:2" x14ac:dyDescent="0.25">
      <c r="A2" s="15" t="s">
        <v>8546</v>
      </c>
      <c r="B2" t="s">
        <v>69</v>
      </c>
    </row>
    <row r="3" spans="1:2" x14ac:dyDescent="0.25">
      <c r="A3" s="15" t="s">
        <v>8547</v>
      </c>
      <c r="B3" t="s">
        <v>70</v>
      </c>
    </row>
    <row r="4" spans="1:2" x14ac:dyDescent="0.25">
      <c r="A4" s="15" t="s">
        <v>8548</v>
      </c>
      <c r="B4" t="s">
        <v>37</v>
      </c>
    </row>
    <row r="5" spans="1:2" x14ac:dyDescent="0.25">
      <c r="A5" s="15" t="s">
        <v>8549</v>
      </c>
      <c r="B5" t="s">
        <v>49</v>
      </c>
    </row>
    <row r="6" spans="1:2" x14ac:dyDescent="0.25">
      <c r="A6" s="15" t="s">
        <v>8550</v>
      </c>
      <c r="B6" t="s">
        <v>57</v>
      </c>
    </row>
    <row r="7" spans="1:2" x14ac:dyDescent="0.25">
      <c r="A7" s="15" t="s">
        <v>8551</v>
      </c>
      <c r="B7" t="s">
        <v>67</v>
      </c>
    </row>
    <row r="8" spans="1:2" ht="1.1499999999999999" customHeight="1" x14ac:dyDescent="0.25">
      <c r="A8" s="15" t="s">
        <v>72</v>
      </c>
      <c r="B8" t="s">
        <v>73</v>
      </c>
    </row>
    <row r="9" spans="1:2" ht="1.1499999999999999" customHeight="1" x14ac:dyDescent="0.25">
      <c r="A9" s="15" t="s">
        <v>203</v>
      </c>
      <c r="B9" t="s">
        <v>204</v>
      </c>
    </row>
    <row r="10" spans="1:2" ht="1.1499999999999999" customHeight="1" x14ac:dyDescent="0.25">
      <c r="A10" s="15" t="s">
        <v>211</v>
      </c>
      <c r="B10" t="s">
        <v>212</v>
      </c>
    </row>
    <row r="11" spans="1:2" ht="1.1499999999999999" customHeight="1" x14ac:dyDescent="0.25">
      <c r="A11" s="15" t="s">
        <v>228</v>
      </c>
    </row>
    <row r="12" spans="1:2" ht="1.1499999999999999" customHeight="1" x14ac:dyDescent="0.25">
      <c r="A12" s="15" t="s">
        <v>229</v>
      </c>
    </row>
    <row r="13" spans="1:2" ht="1.1499999999999999" customHeight="1" x14ac:dyDescent="0.25">
      <c r="A13" s="15" t="s">
        <v>165</v>
      </c>
      <c r="B13" t="s">
        <v>73</v>
      </c>
    </row>
    <row r="14" spans="1:2" ht="1.1499999999999999" customHeight="1" x14ac:dyDescent="0.25"/>
    <row r="15" spans="1:2" ht="1.1499999999999999" customHeight="1" x14ac:dyDescent="0.25"/>
    <row r="16" spans="1:2" ht="1.1499999999999999" customHeight="1" x14ac:dyDescent="0.25"/>
    <row r="17" ht="1.1499999999999999" customHeight="1" x14ac:dyDescent="0.25"/>
    <row r="18" ht="1.1499999999999999" customHeight="1" x14ac:dyDescent="0.25"/>
    <row r="19" ht="1.1499999999999999" customHeight="1" x14ac:dyDescent="0.25"/>
    <row r="20" ht="1.1499999999999999" customHeight="1" x14ac:dyDescent="0.25"/>
    <row r="21" ht="1.1499999999999999" customHeight="1" x14ac:dyDescent="0.25"/>
    <row r="22" ht="1.1499999999999999" customHeight="1" x14ac:dyDescent="0.25"/>
    <row r="23" ht="1.1499999999999999" customHeight="1" x14ac:dyDescent="0.25"/>
    <row r="24" ht="1.1499999999999999" customHeight="1" x14ac:dyDescent="0.25"/>
    <row r="25" ht="1.1499999999999999" customHeight="1" x14ac:dyDescent="0.25"/>
    <row r="26" ht="1.1499999999999999" customHeight="1" x14ac:dyDescent="0.25"/>
    <row r="27" ht="1.1499999999999999" customHeight="1" x14ac:dyDescent="0.25"/>
    <row r="28" ht="1.1499999999999999" customHeight="1" x14ac:dyDescent="0.25"/>
    <row r="29" ht="1.1499999999999999" customHeight="1" x14ac:dyDescent="0.25"/>
    <row r="30" ht="1.1499999999999999" customHeight="1" x14ac:dyDescent="0.25"/>
    <row r="31" ht="1.1499999999999999" customHeight="1" x14ac:dyDescent="0.25"/>
    <row r="32" ht="1.1499999999999999" customHeight="1" x14ac:dyDescent="0.25"/>
    <row r="33" ht="1.1499999999999999" customHeight="1" x14ac:dyDescent="0.25"/>
    <row r="34" ht="1.1499999999999999" customHeight="1" x14ac:dyDescent="0.25"/>
    <row r="35" ht="1.1499999999999999" customHeight="1" x14ac:dyDescent="0.25"/>
    <row r="36" ht="1.1499999999999999" customHeight="1" x14ac:dyDescent="0.25"/>
    <row r="37" ht="1.1499999999999999" customHeight="1" x14ac:dyDescent="0.25"/>
    <row r="38" ht="1.1499999999999999" customHeight="1" x14ac:dyDescent="0.25"/>
    <row r="39" ht="1.1499999999999999" customHeight="1" x14ac:dyDescent="0.25"/>
    <row r="40" ht="1.1499999999999999" customHeight="1" x14ac:dyDescent="0.25"/>
    <row r="41" ht="1.1499999999999999" customHeight="1" x14ac:dyDescent="0.25"/>
    <row r="42" ht="1.1499999999999999" customHeight="1" x14ac:dyDescent="0.25"/>
    <row r="43" ht="1.1499999999999999" customHeight="1" x14ac:dyDescent="0.25"/>
    <row r="44" ht="1.1499999999999999" customHeight="1" x14ac:dyDescent="0.25"/>
    <row r="45" ht="1.1499999999999999" customHeight="1" x14ac:dyDescent="0.25"/>
    <row r="46" ht="1.1499999999999999" customHeight="1" x14ac:dyDescent="0.25"/>
    <row r="47" ht="1.1499999999999999" customHeight="1" x14ac:dyDescent="0.25"/>
    <row r="48" ht="1.1499999999999999" customHeight="1" x14ac:dyDescent="0.25"/>
    <row r="49" ht="1.1499999999999999" customHeight="1" x14ac:dyDescent="0.25"/>
    <row r="50" ht="1.1499999999999999" customHeight="1" x14ac:dyDescent="0.25"/>
    <row r="51" ht="1.1499999999999999" customHeight="1" x14ac:dyDescent="0.25"/>
    <row r="52" ht="1.1499999999999999" customHeight="1" x14ac:dyDescent="0.25"/>
    <row r="53" ht="1.1499999999999999" customHeight="1" x14ac:dyDescent="0.25"/>
    <row r="54" ht="1.1499999999999999" customHeight="1" x14ac:dyDescent="0.25"/>
    <row r="55" ht="1.1499999999999999" customHeight="1" x14ac:dyDescent="0.25"/>
    <row r="56" ht="1.1499999999999999" customHeight="1" x14ac:dyDescent="0.25"/>
    <row r="57" ht="1.1499999999999999" customHeight="1" x14ac:dyDescent="0.25"/>
    <row r="58" ht="1.1499999999999999" customHeight="1" x14ac:dyDescent="0.25"/>
    <row r="59" ht="1.1499999999999999" customHeight="1" x14ac:dyDescent="0.25"/>
    <row r="60" ht="1.1499999999999999" customHeight="1" x14ac:dyDescent="0.25"/>
    <row r="61" ht="1.1499999999999999" customHeight="1" x14ac:dyDescent="0.25"/>
    <row r="62" ht="1.1499999999999999" customHeight="1" x14ac:dyDescent="0.25"/>
    <row r="63" ht="1.1499999999999999" customHeight="1" x14ac:dyDescent="0.25"/>
    <row r="64" ht="1.1499999999999999" customHeight="1" x14ac:dyDescent="0.25"/>
    <row r="65" ht="1.1499999999999999" customHeight="1" x14ac:dyDescent="0.25"/>
    <row r="66" ht="1.1499999999999999" customHeight="1" x14ac:dyDescent="0.25"/>
    <row r="67" ht="1.1499999999999999" customHeight="1" x14ac:dyDescent="0.25"/>
    <row r="68" ht="1.1499999999999999" customHeight="1" x14ac:dyDescent="0.25"/>
    <row r="69" ht="1.1499999999999999" customHeight="1" x14ac:dyDescent="0.25"/>
    <row r="70" ht="1.1499999999999999" customHeight="1" x14ac:dyDescent="0.25"/>
    <row r="71" ht="1.1499999999999999" customHeight="1" x14ac:dyDescent="0.25"/>
    <row r="72" ht="1.1499999999999999" customHeight="1" x14ac:dyDescent="0.25"/>
    <row r="73" ht="1.1499999999999999" customHeight="1" x14ac:dyDescent="0.25"/>
    <row r="74" ht="1.1499999999999999" customHeight="1" x14ac:dyDescent="0.25"/>
    <row r="75" ht="1.1499999999999999" customHeight="1" x14ac:dyDescent="0.25"/>
    <row r="76" ht="1.1499999999999999" customHeight="1" x14ac:dyDescent="0.25"/>
    <row r="77" ht="1.1499999999999999" customHeight="1" x14ac:dyDescent="0.25"/>
    <row r="78" ht="1.1499999999999999" customHeight="1" x14ac:dyDescent="0.25"/>
    <row r="79" ht="1.1499999999999999" customHeight="1" x14ac:dyDescent="0.25"/>
    <row r="80" ht="1.1499999999999999" customHeight="1" x14ac:dyDescent="0.25"/>
    <row r="81" ht="1.1499999999999999" customHeight="1" x14ac:dyDescent="0.25"/>
    <row r="82" ht="1.1499999999999999" customHeight="1" x14ac:dyDescent="0.25"/>
    <row r="83" ht="1.1499999999999999" customHeight="1" x14ac:dyDescent="0.25"/>
    <row r="84" ht="1.1499999999999999" customHeight="1" x14ac:dyDescent="0.25"/>
    <row r="85" ht="1.1499999999999999" customHeight="1" x14ac:dyDescent="0.25"/>
    <row r="86" ht="1.1499999999999999" customHeight="1" x14ac:dyDescent="0.25"/>
    <row r="87" ht="1.1499999999999999" customHeight="1" x14ac:dyDescent="0.25"/>
    <row r="88" ht="1.1499999999999999" customHeight="1" x14ac:dyDescent="0.25"/>
    <row r="89" ht="1.1499999999999999" customHeight="1" x14ac:dyDescent="0.25"/>
    <row r="90" ht="1.1499999999999999" customHeight="1" x14ac:dyDescent="0.25"/>
    <row r="91" ht="1.1499999999999999" customHeight="1" x14ac:dyDescent="0.25"/>
    <row r="92" ht="1.1499999999999999" customHeight="1" x14ac:dyDescent="0.25"/>
    <row r="93" ht="1.1499999999999999" customHeight="1" x14ac:dyDescent="0.25"/>
    <row r="94" ht="1.1499999999999999" customHeight="1" x14ac:dyDescent="0.25"/>
    <row r="95" ht="1.1499999999999999" customHeight="1" x14ac:dyDescent="0.25"/>
    <row r="96" ht="1.1499999999999999" customHeight="1" x14ac:dyDescent="0.25"/>
    <row r="97" ht="1.1499999999999999" customHeight="1" x14ac:dyDescent="0.25"/>
    <row r="98" ht="1.1499999999999999" customHeight="1" x14ac:dyDescent="0.25"/>
    <row r="99" ht="1.1499999999999999" customHeight="1" x14ac:dyDescent="0.25"/>
    <row r="100" ht="1.1499999999999999" customHeight="1" x14ac:dyDescent="0.25"/>
    <row r="101" ht="1.1499999999999999" customHeight="1" x14ac:dyDescent="0.25"/>
    <row r="102" ht="1.1499999999999999" customHeight="1" x14ac:dyDescent="0.25"/>
    <row r="103" ht="1.1499999999999999" customHeight="1" x14ac:dyDescent="0.25"/>
    <row r="104" ht="1.1499999999999999" customHeight="1" x14ac:dyDescent="0.25"/>
    <row r="105" ht="1.1499999999999999" customHeight="1" x14ac:dyDescent="0.25"/>
    <row r="106" ht="1.1499999999999999" customHeight="1" x14ac:dyDescent="0.25"/>
    <row r="107" ht="1.1499999999999999" customHeight="1" x14ac:dyDescent="0.25"/>
    <row r="108" ht="1.1499999999999999" customHeight="1" x14ac:dyDescent="0.25"/>
    <row r="109" ht="1.1499999999999999" customHeight="1" x14ac:dyDescent="0.25"/>
    <row r="110" ht="1.1499999999999999" customHeight="1" x14ac:dyDescent="0.25"/>
    <row r="111" ht="1.1499999999999999" customHeight="1" x14ac:dyDescent="0.25"/>
    <row r="112" ht="1.1499999999999999" customHeight="1" x14ac:dyDescent="0.25"/>
    <row r="113" spans="1:3" ht="1.1499999999999999" customHeight="1" x14ac:dyDescent="0.25"/>
    <row r="114" spans="1:3" ht="1.1499999999999999" customHeight="1" x14ac:dyDescent="0.25"/>
    <row r="115" spans="1:3" ht="1.1499999999999999" customHeight="1" x14ac:dyDescent="0.25"/>
    <row r="116" spans="1:3" ht="1.1499999999999999" customHeight="1" x14ac:dyDescent="0.25"/>
    <row r="117" spans="1:3" ht="1.1499999999999999" customHeight="1" x14ac:dyDescent="0.25"/>
    <row r="118" spans="1:3" ht="1.1499999999999999" customHeight="1" x14ac:dyDescent="0.25"/>
    <row r="119" spans="1:3" ht="1.1499999999999999" customHeight="1" x14ac:dyDescent="0.25"/>
    <row r="120" spans="1:3" ht="1.1499999999999999" customHeight="1" x14ac:dyDescent="0.25"/>
    <row r="121" spans="1:3" ht="1.1499999999999999" customHeight="1" x14ac:dyDescent="0.25"/>
    <row r="122" spans="1:3" ht="1.1499999999999999" customHeight="1" x14ac:dyDescent="0.25"/>
    <row r="123" spans="1:3" ht="1.1499999999999999" customHeight="1" x14ac:dyDescent="0.25"/>
    <row r="124" spans="1:3" ht="1.1499999999999999" customHeight="1" x14ac:dyDescent="0.25"/>
    <row r="125" spans="1:3" x14ac:dyDescent="0.25">
      <c r="B125" t="s">
        <v>234</v>
      </c>
      <c r="C125" t="s">
        <v>230</v>
      </c>
    </row>
    <row r="126" spans="1:3" x14ac:dyDescent="0.25">
      <c r="A126" s="15" t="s">
        <v>8508</v>
      </c>
      <c r="B126" t="s">
        <v>8458</v>
      </c>
      <c r="C126">
        <v>10</v>
      </c>
    </row>
    <row r="127" spans="1:3" x14ac:dyDescent="0.25">
      <c r="A127" s="15" t="s">
        <v>8517</v>
      </c>
      <c r="B127" t="s">
        <v>8465</v>
      </c>
      <c r="C127">
        <v>10</v>
      </c>
    </row>
    <row r="128" spans="1:3" x14ac:dyDescent="0.25">
      <c r="A128" s="15" t="s">
        <v>8535</v>
      </c>
      <c r="B128" t="s">
        <v>8468</v>
      </c>
      <c r="C128">
        <v>10</v>
      </c>
    </row>
    <row r="129" spans="1:3" x14ac:dyDescent="0.25">
      <c r="A129" s="15" t="s">
        <v>8531</v>
      </c>
      <c r="B129" t="s">
        <v>8471</v>
      </c>
      <c r="C129">
        <v>10</v>
      </c>
    </row>
    <row r="130" spans="1:3" x14ac:dyDescent="0.25">
      <c r="A130" s="15" t="s">
        <v>8503</v>
      </c>
      <c r="B130" t="s">
        <v>8474</v>
      </c>
      <c r="C130">
        <v>10</v>
      </c>
    </row>
    <row r="131" spans="1:3" x14ac:dyDescent="0.25">
      <c r="A131" s="15" t="s">
        <v>8498</v>
      </c>
      <c r="B131" t="s">
        <v>8477</v>
      </c>
      <c r="C131">
        <v>12</v>
      </c>
    </row>
    <row r="132" spans="1:3" x14ac:dyDescent="0.25">
      <c r="A132" s="15" t="s">
        <v>8522</v>
      </c>
      <c r="B132" t="s">
        <v>8480</v>
      </c>
      <c r="C132">
        <v>12</v>
      </c>
    </row>
    <row r="133" spans="1:3" x14ac:dyDescent="0.25">
      <c r="A133" s="15" t="s">
        <v>8494</v>
      </c>
      <c r="B133" t="s">
        <v>8286</v>
      </c>
      <c r="C133">
        <v>3</v>
      </c>
    </row>
    <row r="134" spans="1:3" x14ac:dyDescent="0.25">
      <c r="A134" s="15" t="s">
        <v>8509</v>
      </c>
      <c r="B134" t="s">
        <v>8306</v>
      </c>
      <c r="C134">
        <v>5</v>
      </c>
    </row>
    <row r="135" spans="1:3" x14ac:dyDescent="0.25">
      <c r="A135" s="15" t="s">
        <v>8544</v>
      </c>
      <c r="B135" t="s">
        <v>8343</v>
      </c>
      <c r="C135">
        <v>7</v>
      </c>
    </row>
    <row r="136" spans="1:3" x14ac:dyDescent="0.25">
      <c r="A136" s="15" t="s">
        <v>8511</v>
      </c>
      <c r="B136" t="s">
        <v>8346</v>
      </c>
      <c r="C136">
        <v>7</v>
      </c>
    </row>
    <row r="137" spans="1:3" x14ac:dyDescent="0.25">
      <c r="A137" s="15" t="s">
        <v>8500</v>
      </c>
      <c r="B137" t="s">
        <v>8352</v>
      </c>
      <c r="C137">
        <v>7</v>
      </c>
    </row>
    <row r="138" spans="1:3" x14ac:dyDescent="0.25">
      <c r="A138" s="15" t="s">
        <v>8527</v>
      </c>
      <c r="B138" t="s">
        <v>8376</v>
      </c>
      <c r="C138">
        <v>9</v>
      </c>
    </row>
    <row r="139" spans="1:3" x14ac:dyDescent="0.25">
      <c r="A139" s="15" t="s">
        <v>8506</v>
      </c>
      <c r="B139" t="s">
        <v>8381</v>
      </c>
      <c r="C139">
        <v>9</v>
      </c>
    </row>
    <row r="140" spans="1:3" x14ac:dyDescent="0.25">
      <c r="A140" s="15" t="s">
        <v>166</v>
      </c>
      <c r="C140" t="s">
        <v>165</v>
      </c>
    </row>
    <row r="141" spans="1:3" x14ac:dyDescent="0.25">
      <c r="A141" s="15" t="s">
        <v>205</v>
      </c>
      <c r="B141" t="s">
        <v>206</v>
      </c>
      <c r="C141" t="s">
        <v>203</v>
      </c>
    </row>
    <row r="142" spans="1:3" x14ac:dyDescent="0.25">
      <c r="A142" s="15" t="s">
        <v>213</v>
      </c>
      <c r="B142" t="s">
        <v>214</v>
      </c>
      <c r="C142" t="s">
        <v>211</v>
      </c>
    </row>
    <row r="143" spans="1:3" x14ac:dyDescent="0.25">
      <c r="A143" s="15" t="s">
        <v>74</v>
      </c>
      <c r="C143" t="s">
        <v>72</v>
      </c>
    </row>
    <row r="144" spans="1:3" x14ac:dyDescent="0.25">
      <c r="A144" s="15" t="s">
        <v>170</v>
      </c>
      <c r="C144" t="s">
        <v>165</v>
      </c>
    </row>
    <row r="145" spans="1:3" x14ac:dyDescent="0.25">
      <c r="A145" s="15" t="s">
        <v>78</v>
      </c>
      <c r="C145" t="s">
        <v>72</v>
      </c>
    </row>
    <row r="146" spans="1:3" x14ac:dyDescent="0.25">
      <c r="A146" s="15" t="s">
        <v>82</v>
      </c>
      <c r="C146" t="s">
        <v>72</v>
      </c>
    </row>
    <row r="147" spans="1:3" x14ac:dyDescent="0.25">
      <c r="A147" s="15" t="s">
        <v>86</v>
      </c>
      <c r="C147" t="s">
        <v>72</v>
      </c>
    </row>
    <row r="148" spans="1:3" x14ac:dyDescent="0.25">
      <c r="A148" s="15" t="s">
        <v>174</v>
      </c>
      <c r="C148" t="s">
        <v>165</v>
      </c>
    </row>
    <row r="149" spans="1:3" x14ac:dyDescent="0.25">
      <c r="A149" s="15" t="s">
        <v>90</v>
      </c>
      <c r="C149" t="s">
        <v>72</v>
      </c>
    </row>
    <row r="150" spans="1:3" x14ac:dyDescent="0.25">
      <c r="A150" s="15" t="s">
        <v>94</v>
      </c>
      <c r="C150" t="s">
        <v>72</v>
      </c>
    </row>
    <row r="151" spans="1:3" x14ac:dyDescent="0.25">
      <c r="A151" s="15" t="s">
        <v>232</v>
      </c>
      <c r="C151" t="s">
        <v>228</v>
      </c>
    </row>
    <row r="152" spans="1:3" x14ac:dyDescent="0.25">
      <c r="A152" s="15" t="s">
        <v>178</v>
      </c>
      <c r="C152" t="s">
        <v>165</v>
      </c>
    </row>
    <row r="153" spans="1:3" x14ac:dyDescent="0.25">
      <c r="A153" s="15" t="s">
        <v>95</v>
      </c>
      <c r="C153" t="s">
        <v>72</v>
      </c>
    </row>
    <row r="154" spans="1:3" x14ac:dyDescent="0.25">
      <c r="A154" s="15" t="s">
        <v>97</v>
      </c>
      <c r="C154" t="s">
        <v>72</v>
      </c>
    </row>
    <row r="155" spans="1:3" ht="1.1499999999999999" customHeight="1" x14ac:dyDescent="0.25">
      <c r="A155" s="15" t="s">
        <v>98</v>
      </c>
      <c r="C155" t="s">
        <v>72</v>
      </c>
    </row>
    <row r="156" spans="1:3" ht="1.1499999999999999" customHeight="1" x14ac:dyDescent="0.25">
      <c r="A156" s="15" t="s">
        <v>233</v>
      </c>
      <c r="C156" t="s">
        <v>229</v>
      </c>
    </row>
    <row r="157" spans="1:3" ht="1.1499999999999999" customHeight="1" x14ac:dyDescent="0.25">
      <c r="A157" s="15" t="s">
        <v>182</v>
      </c>
      <c r="C157" t="s">
        <v>165</v>
      </c>
    </row>
    <row r="158" spans="1:3" ht="1.1499999999999999" customHeight="1" x14ac:dyDescent="0.25">
      <c r="A158" s="15" t="s">
        <v>186</v>
      </c>
      <c r="C158" t="s">
        <v>165</v>
      </c>
    </row>
    <row r="159" spans="1:3" ht="1.1499999999999999" customHeight="1" x14ac:dyDescent="0.25">
      <c r="A159" s="15" t="s">
        <v>190</v>
      </c>
      <c r="C159" t="s">
        <v>165</v>
      </c>
    </row>
    <row r="160" spans="1:3" ht="1.1499999999999999" customHeight="1" x14ac:dyDescent="0.25">
      <c r="A160" s="15" t="s">
        <v>194</v>
      </c>
      <c r="C160" t="s">
        <v>165</v>
      </c>
    </row>
    <row r="161" spans="1:3" ht="1.1499999999999999" customHeight="1" x14ac:dyDescent="0.25">
      <c r="A161" s="15" t="s">
        <v>137</v>
      </c>
      <c r="C161" t="s">
        <v>72</v>
      </c>
    </row>
    <row r="162" spans="1:3" ht="1.1499999999999999" customHeight="1" x14ac:dyDescent="0.25">
      <c r="A162" s="15" t="s">
        <v>141</v>
      </c>
      <c r="C162" t="s">
        <v>72</v>
      </c>
    </row>
    <row r="163" spans="1:3" ht="1.1499999999999999" customHeight="1" x14ac:dyDescent="0.25">
      <c r="A163" s="15" t="s">
        <v>145</v>
      </c>
      <c r="C163" t="s">
        <v>72</v>
      </c>
    </row>
    <row r="164" spans="1:3" ht="1.1499999999999999" customHeight="1" x14ac:dyDescent="0.25">
      <c r="A164" s="15" t="s">
        <v>149</v>
      </c>
      <c r="C164" t="s">
        <v>72</v>
      </c>
    </row>
    <row r="165" spans="1:3" ht="1.1499999999999999" customHeight="1" x14ac:dyDescent="0.25">
      <c r="A165" s="15" t="s">
        <v>198</v>
      </c>
      <c r="C165" t="s">
        <v>165</v>
      </c>
    </row>
    <row r="166" spans="1:3" ht="1.1499999999999999" customHeight="1" x14ac:dyDescent="0.25">
      <c r="A166" s="15" t="s">
        <v>153</v>
      </c>
      <c r="C166" t="s">
        <v>72</v>
      </c>
    </row>
    <row r="167" spans="1:3" ht="1.1499999999999999" customHeight="1" x14ac:dyDescent="0.25">
      <c r="A167" s="15" t="s">
        <v>157</v>
      </c>
      <c r="C167" t="s">
        <v>72</v>
      </c>
    </row>
    <row r="168" spans="1:3" ht="1.1499999999999999" customHeight="1" x14ac:dyDescent="0.25">
      <c r="A168" s="15" t="s">
        <v>161</v>
      </c>
      <c r="C168" t="s">
        <v>72</v>
      </c>
    </row>
    <row r="169" spans="1:3" ht="1.1499999999999999" customHeight="1" x14ac:dyDescent="0.25"/>
    <row r="170" spans="1:3" ht="1.1499999999999999" customHeight="1" x14ac:dyDescent="0.25"/>
    <row r="171" spans="1:3" ht="1.1499999999999999" customHeight="1" x14ac:dyDescent="0.25"/>
    <row r="172" spans="1:3" ht="1.1499999999999999" customHeight="1" x14ac:dyDescent="0.25"/>
    <row r="173" spans="1:3" ht="1.1499999999999999" customHeight="1" x14ac:dyDescent="0.25"/>
    <row r="174" spans="1:3" ht="1.1499999999999999" customHeight="1" x14ac:dyDescent="0.25"/>
    <row r="175" spans="1:3" ht="1.1499999999999999" customHeight="1" x14ac:dyDescent="0.25"/>
    <row r="176" spans="1:3" ht="1.1499999999999999" customHeight="1" x14ac:dyDescent="0.25"/>
    <row r="177" ht="1.1499999999999999" customHeight="1" x14ac:dyDescent="0.25"/>
    <row r="178" ht="1.1499999999999999" customHeight="1" x14ac:dyDescent="0.25"/>
    <row r="179" ht="1.1499999999999999" customHeight="1" x14ac:dyDescent="0.25"/>
    <row r="180" ht="1.1499999999999999" customHeight="1" x14ac:dyDescent="0.25"/>
    <row r="181" ht="1.1499999999999999" customHeight="1" x14ac:dyDescent="0.25"/>
    <row r="182" ht="1.1499999999999999" customHeight="1" x14ac:dyDescent="0.25"/>
    <row r="183" ht="1.1499999999999999" customHeight="1" x14ac:dyDescent="0.25"/>
    <row r="184" ht="1.1499999999999999" customHeight="1" x14ac:dyDescent="0.25"/>
    <row r="185" ht="1.1499999999999999" customHeight="1" x14ac:dyDescent="0.25"/>
    <row r="186" ht="1.1499999999999999" customHeight="1" x14ac:dyDescent="0.25"/>
    <row r="187" ht="1.1499999999999999" customHeight="1" x14ac:dyDescent="0.25"/>
    <row r="188" ht="1.1499999999999999" customHeight="1" x14ac:dyDescent="0.25"/>
    <row r="189" ht="1.1499999999999999" customHeight="1" x14ac:dyDescent="0.25"/>
    <row r="190" ht="1.1499999999999999" customHeight="1" x14ac:dyDescent="0.25"/>
    <row r="191" ht="1.1499999999999999" customHeight="1" x14ac:dyDescent="0.25"/>
    <row r="192" ht="1.1499999999999999" customHeight="1" x14ac:dyDescent="0.25"/>
    <row r="193" ht="1.1499999999999999" customHeight="1" x14ac:dyDescent="0.25"/>
    <row r="194" ht="1.1499999999999999" customHeight="1" x14ac:dyDescent="0.25"/>
    <row r="195" ht="1.1499999999999999" customHeight="1" x14ac:dyDescent="0.25"/>
    <row r="196" ht="1.1499999999999999" customHeight="1" x14ac:dyDescent="0.25"/>
    <row r="197" ht="1.1499999999999999" customHeight="1" x14ac:dyDescent="0.25"/>
    <row r="198" ht="1.1499999999999999" customHeight="1" x14ac:dyDescent="0.25"/>
    <row r="199" ht="1.1499999999999999" customHeight="1" x14ac:dyDescent="0.25"/>
    <row r="200" ht="1.1499999999999999" customHeight="1" x14ac:dyDescent="0.25"/>
    <row r="201" ht="1.1499999999999999" customHeight="1" x14ac:dyDescent="0.25"/>
    <row r="202" ht="1.1499999999999999" customHeight="1" x14ac:dyDescent="0.25"/>
    <row r="203" ht="1.1499999999999999" customHeight="1" x14ac:dyDescent="0.25"/>
    <row r="204" ht="1.1499999999999999" customHeight="1" x14ac:dyDescent="0.25"/>
    <row r="205" ht="1.1499999999999999" customHeight="1" x14ac:dyDescent="0.25"/>
    <row r="206" ht="1.1499999999999999" customHeight="1" x14ac:dyDescent="0.25"/>
    <row r="207" ht="1.1499999999999999" customHeight="1" x14ac:dyDescent="0.25"/>
    <row r="208" ht="1.1499999999999999" customHeight="1" x14ac:dyDescent="0.25"/>
    <row r="209" ht="1.1499999999999999" customHeight="1" x14ac:dyDescent="0.25"/>
    <row r="210" ht="1.1499999999999999" customHeight="1" x14ac:dyDescent="0.25"/>
    <row r="211" ht="1.1499999999999999" customHeight="1" x14ac:dyDescent="0.25"/>
    <row r="212" ht="1.1499999999999999" customHeight="1" x14ac:dyDescent="0.25"/>
    <row r="213" ht="1.1499999999999999" customHeight="1" x14ac:dyDescent="0.25"/>
    <row r="214" ht="1.1499999999999999" customHeight="1" x14ac:dyDescent="0.25"/>
    <row r="215" ht="1.1499999999999999" customHeight="1" x14ac:dyDescent="0.25"/>
    <row r="216" ht="1.1499999999999999" customHeight="1" x14ac:dyDescent="0.25"/>
    <row r="217" ht="1.1499999999999999" customHeight="1" x14ac:dyDescent="0.25"/>
    <row r="218" ht="1.1499999999999999" customHeight="1" x14ac:dyDescent="0.25"/>
    <row r="219" ht="1.1499999999999999" customHeight="1" x14ac:dyDescent="0.25"/>
    <row r="220" ht="1.1499999999999999" customHeight="1" x14ac:dyDescent="0.25"/>
    <row r="221" ht="1.1499999999999999" customHeight="1" x14ac:dyDescent="0.25"/>
    <row r="222" ht="1.1499999999999999" customHeight="1" x14ac:dyDescent="0.25"/>
    <row r="223" ht="1.1499999999999999" customHeight="1" x14ac:dyDescent="0.25"/>
    <row r="224" ht="1.1499999999999999" customHeight="1" x14ac:dyDescent="0.25"/>
    <row r="225" ht="1.1499999999999999" customHeight="1" x14ac:dyDescent="0.25"/>
    <row r="226" ht="1.1499999999999999" customHeight="1" x14ac:dyDescent="0.25"/>
    <row r="227" ht="1.1499999999999999" customHeight="1" x14ac:dyDescent="0.25"/>
    <row r="228" ht="1.1499999999999999" customHeight="1" x14ac:dyDescent="0.25"/>
    <row r="229" ht="1.1499999999999999" customHeight="1" x14ac:dyDescent="0.25"/>
    <row r="230" ht="1.1499999999999999" customHeight="1" x14ac:dyDescent="0.25"/>
    <row r="231" ht="1.1499999999999999" customHeight="1" x14ac:dyDescent="0.25"/>
    <row r="232" ht="1.1499999999999999" customHeight="1" x14ac:dyDescent="0.25"/>
    <row r="233" ht="1.1499999999999999" customHeight="1" x14ac:dyDescent="0.25"/>
    <row r="234" ht="1.1499999999999999" customHeight="1" x14ac:dyDescent="0.25"/>
    <row r="235" ht="1.1499999999999999" customHeight="1" x14ac:dyDescent="0.25"/>
    <row r="236" ht="1.1499999999999999" customHeight="1" x14ac:dyDescent="0.25"/>
    <row r="237" ht="1.1499999999999999" customHeight="1" x14ac:dyDescent="0.25"/>
    <row r="238" ht="1.1499999999999999" customHeight="1" x14ac:dyDescent="0.25"/>
    <row r="239" ht="1.1499999999999999" customHeight="1" x14ac:dyDescent="0.25"/>
    <row r="240" ht="1.1499999999999999" customHeight="1" x14ac:dyDescent="0.25"/>
    <row r="241" ht="1.1499999999999999" customHeight="1" x14ac:dyDescent="0.25"/>
    <row r="242" ht="1.1499999999999999" customHeight="1" x14ac:dyDescent="0.25"/>
    <row r="243" ht="1.1499999999999999" customHeight="1" x14ac:dyDescent="0.25"/>
    <row r="244" ht="1.1499999999999999" customHeight="1" x14ac:dyDescent="0.25"/>
    <row r="245" ht="1.1499999999999999" customHeight="1" x14ac:dyDescent="0.25"/>
    <row r="246" ht="1.1499999999999999" customHeight="1" x14ac:dyDescent="0.25"/>
    <row r="247" ht="1.1499999999999999" customHeight="1" x14ac:dyDescent="0.25"/>
    <row r="248" ht="1.1499999999999999" customHeight="1" x14ac:dyDescent="0.25"/>
    <row r="249" ht="1.1499999999999999" customHeight="1" x14ac:dyDescent="0.25"/>
    <row r="250" ht="1.1499999999999999" customHeight="1" x14ac:dyDescent="0.25"/>
    <row r="251" ht="1.1499999999999999" customHeight="1" x14ac:dyDescent="0.25"/>
    <row r="252" ht="1.1499999999999999" customHeight="1" x14ac:dyDescent="0.25"/>
    <row r="253" ht="1.1499999999999999" customHeight="1" x14ac:dyDescent="0.25"/>
    <row r="254" ht="1.1499999999999999" customHeight="1" x14ac:dyDescent="0.25"/>
    <row r="255" ht="1.1499999999999999" customHeight="1" x14ac:dyDescent="0.25"/>
    <row r="256" ht="1.1499999999999999" customHeight="1" x14ac:dyDescent="0.25"/>
    <row r="257" ht="1.1499999999999999" customHeight="1" x14ac:dyDescent="0.25"/>
    <row r="258" ht="1.1499999999999999" customHeight="1" x14ac:dyDescent="0.25"/>
    <row r="259" ht="1.1499999999999999" customHeight="1" x14ac:dyDescent="0.25"/>
    <row r="260" ht="1.1499999999999999" customHeight="1" x14ac:dyDescent="0.25"/>
    <row r="261" ht="1.1499999999999999" customHeight="1" x14ac:dyDescent="0.25"/>
    <row r="262" ht="1.1499999999999999" customHeight="1" x14ac:dyDescent="0.25"/>
    <row r="263" ht="1.1499999999999999" customHeight="1" x14ac:dyDescent="0.25"/>
    <row r="264" ht="1.1499999999999999" customHeight="1" x14ac:dyDescent="0.25"/>
    <row r="265" ht="1.1499999999999999" customHeight="1" x14ac:dyDescent="0.25"/>
    <row r="266" ht="1.1499999999999999" customHeight="1" x14ac:dyDescent="0.25"/>
    <row r="267" ht="1.1499999999999999" customHeight="1" x14ac:dyDescent="0.25"/>
    <row r="268" ht="1.1499999999999999" customHeight="1" x14ac:dyDescent="0.25"/>
    <row r="269" ht="1.1499999999999999" customHeight="1" x14ac:dyDescent="0.25"/>
    <row r="270" ht="1.1499999999999999" customHeight="1" x14ac:dyDescent="0.25"/>
    <row r="271" ht="1.1499999999999999" customHeight="1" x14ac:dyDescent="0.25"/>
    <row r="272" ht="1.1499999999999999" customHeight="1" x14ac:dyDescent="0.25"/>
    <row r="273" ht="1.1499999999999999" customHeight="1" x14ac:dyDescent="0.25"/>
    <row r="274" ht="1.1499999999999999" customHeight="1" x14ac:dyDescent="0.25"/>
    <row r="275" ht="1.1499999999999999" customHeight="1" x14ac:dyDescent="0.25"/>
    <row r="276" ht="1.1499999999999999" customHeight="1" x14ac:dyDescent="0.25"/>
    <row r="277" ht="1.1499999999999999" customHeight="1" x14ac:dyDescent="0.25"/>
    <row r="278" ht="1.1499999999999999" customHeight="1" x14ac:dyDescent="0.25"/>
    <row r="279" ht="1.1499999999999999" customHeight="1" x14ac:dyDescent="0.25"/>
    <row r="280" ht="1.1499999999999999" customHeight="1" x14ac:dyDescent="0.25"/>
    <row r="281" ht="1.1499999999999999" customHeight="1" x14ac:dyDescent="0.25"/>
    <row r="282" ht="1.1499999999999999" customHeight="1" x14ac:dyDescent="0.25"/>
    <row r="283" ht="1.1499999999999999" customHeight="1" x14ac:dyDescent="0.25"/>
    <row r="284" ht="1.1499999999999999" customHeight="1" x14ac:dyDescent="0.25"/>
    <row r="285" ht="1.1499999999999999" customHeight="1" x14ac:dyDescent="0.25"/>
    <row r="286" ht="1.1499999999999999" customHeight="1" x14ac:dyDescent="0.25"/>
    <row r="287" ht="1.1499999999999999" customHeight="1" x14ac:dyDescent="0.25"/>
    <row r="288" ht="1.1499999999999999" customHeight="1" x14ac:dyDescent="0.25"/>
    <row r="289" ht="1.1499999999999999" customHeight="1" x14ac:dyDescent="0.25"/>
    <row r="290" ht="1.1499999999999999" customHeight="1" x14ac:dyDescent="0.25"/>
    <row r="291" ht="1.1499999999999999" customHeight="1" x14ac:dyDescent="0.25"/>
    <row r="292" ht="1.1499999999999999" customHeight="1" x14ac:dyDescent="0.25"/>
    <row r="293" ht="1.1499999999999999" customHeight="1" x14ac:dyDescent="0.25"/>
    <row r="294" ht="1.1499999999999999" customHeight="1" x14ac:dyDescent="0.25"/>
    <row r="295" ht="1.1499999999999999" customHeight="1" x14ac:dyDescent="0.25"/>
    <row r="296" ht="1.1499999999999999" customHeight="1" x14ac:dyDescent="0.25"/>
    <row r="297" ht="1.1499999999999999" customHeight="1" x14ac:dyDescent="0.25"/>
    <row r="298" ht="1.1499999999999999" customHeight="1" x14ac:dyDescent="0.25"/>
    <row r="299" ht="1.1499999999999999" customHeight="1" x14ac:dyDescent="0.25"/>
    <row r="300" ht="1.1499999999999999" customHeight="1" x14ac:dyDescent="0.25"/>
    <row r="301" ht="1.1499999999999999" customHeight="1" x14ac:dyDescent="0.25"/>
    <row r="302" ht="1.1499999999999999" customHeight="1" x14ac:dyDescent="0.25"/>
    <row r="303" ht="1.1499999999999999" customHeight="1" x14ac:dyDescent="0.25"/>
    <row r="304" ht="1.1499999999999999" customHeight="1" x14ac:dyDescent="0.25"/>
    <row r="305" ht="1.1499999999999999" customHeight="1" x14ac:dyDescent="0.25"/>
    <row r="306" ht="1.1499999999999999" customHeight="1" x14ac:dyDescent="0.25"/>
    <row r="307" ht="1.1499999999999999" customHeight="1" x14ac:dyDescent="0.25"/>
    <row r="308" ht="1.1499999999999999" customHeight="1" x14ac:dyDescent="0.25"/>
    <row r="309" ht="1.1499999999999999" customHeight="1" x14ac:dyDescent="0.25"/>
    <row r="310" ht="1.1499999999999999" customHeight="1" x14ac:dyDescent="0.25"/>
    <row r="311" ht="1.1499999999999999" customHeight="1" x14ac:dyDescent="0.25"/>
    <row r="312" ht="1.1499999999999999" customHeight="1" x14ac:dyDescent="0.25"/>
    <row r="313" ht="1.1499999999999999" customHeight="1" x14ac:dyDescent="0.25"/>
    <row r="314" ht="1.1499999999999999" customHeight="1" x14ac:dyDescent="0.25"/>
    <row r="315" ht="1.1499999999999999" customHeight="1" x14ac:dyDescent="0.25"/>
    <row r="316" ht="1.1499999999999999" customHeight="1" x14ac:dyDescent="0.25"/>
    <row r="317" ht="1.1499999999999999" customHeight="1" x14ac:dyDescent="0.25"/>
    <row r="318" ht="1.1499999999999999" customHeight="1" x14ac:dyDescent="0.25"/>
    <row r="319" ht="1.1499999999999999" customHeight="1" x14ac:dyDescent="0.25"/>
    <row r="320" ht="1.1499999999999999" customHeight="1" x14ac:dyDescent="0.25"/>
    <row r="321" ht="1.1499999999999999" customHeight="1" x14ac:dyDescent="0.25"/>
    <row r="322" ht="1.1499999999999999" customHeight="1" x14ac:dyDescent="0.25"/>
    <row r="323" ht="1.1499999999999999" customHeight="1" x14ac:dyDescent="0.25"/>
    <row r="324" ht="1.1499999999999999" customHeight="1" x14ac:dyDescent="0.25"/>
    <row r="325" ht="1.1499999999999999" customHeight="1" x14ac:dyDescent="0.25"/>
    <row r="326" ht="1.1499999999999999" customHeight="1" x14ac:dyDescent="0.25"/>
    <row r="327" ht="1.1499999999999999" customHeight="1" x14ac:dyDescent="0.25"/>
    <row r="328" ht="1.1499999999999999" customHeight="1" x14ac:dyDescent="0.25"/>
    <row r="329" ht="1.1499999999999999" customHeight="1" x14ac:dyDescent="0.25"/>
    <row r="330" ht="1.1499999999999999" customHeight="1" x14ac:dyDescent="0.25"/>
    <row r="331" ht="1.1499999999999999" customHeight="1" x14ac:dyDescent="0.25"/>
    <row r="332" ht="1.1499999999999999" customHeight="1" x14ac:dyDescent="0.25"/>
    <row r="333" ht="1.1499999999999999" customHeight="1" x14ac:dyDescent="0.25"/>
    <row r="334" ht="1.1499999999999999" customHeight="1" x14ac:dyDescent="0.25"/>
    <row r="335" ht="1.1499999999999999" customHeight="1" x14ac:dyDescent="0.25"/>
    <row r="336" ht="1.1499999999999999" customHeight="1" x14ac:dyDescent="0.25"/>
    <row r="337" ht="1.1499999999999999" customHeight="1" x14ac:dyDescent="0.25"/>
    <row r="338" ht="1.1499999999999999" customHeight="1" x14ac:dyDescent="0.25"/>
    <row r="339" ht="1.1499999999999999" customHeight="1" x14ac:dyDescent="0.25"/>
    <row r="340" ht="1.1499999999999999" customHeight="1" x14ac:dyDescent="0.25"/>
    <row r="341" ht="1.1499999999999999" customHeight="1" x14ac:dyDescent="0.25"/>
    <row r="342" ht="1.1499999999999999" customHeight="1" x14ac:dyDescent="0.25"/>
    <row r="343" ht="1.1499999999999999" customHeight="1" x14ac:dyDescent="0.25"/>
    <row r="344" ht="1.1499999999999999" customHeight="1" x14ac:dyDescent="0.25"/>
    <row r="345" ht="1.1499999999999999" customHeight="1" x14ac:dyDescent="0.25"/>
    <row r="346" ht="1.1499999999999999" customHeight="1" x14ac:dyDescent="0.25"/>
    <row r="347" ht="1.1499999999999999" customHeight="1" x14ac:dyDescent="0.25"/>
    <row r="348" ht="1.1499999999999999" customHeight="1" x14ac:dyDescent="0.25"/>
    <row r="349" ht="1.1499999999999999" customHeight="1" x14ac:dyDescent="0.25"/>
    <row r="350" ht="1.1499999999999999" customHeight="1" x14ac:dyDescent="0.25"/>
    <row r="351" ht="1.1499999999999999" customHeight="1" x14ac:dyDescent="0.25"/>
    <row r="352" ht="1.1499999999999999" customHeight="1" x14ac:dyDescent="0.25"/>
    <row r="353" ht="1.1499999999999999" customHeight="1" x14ac:dyDescent="0.25"/>
    <row r="354" ht="1.1499999999999999" customHeight="1" x14ac:dyDescent="0.25"/>
    <row r="355" ht="1.1499999999999999" customHeight="1" x14ac:dyDescent="0.25"/>
    <row r="356" ht="1.1499999999999999" customHeight="1" x14ac:dyDescent="0.25"/>
    <row r="357" ht="1.1499999999999999" customHeight="1" x14ac:dyDescent="0.25"/>
    <row r="358" ht="1.1499999999999999" customHeight="1" x14ac:dyDescent="0.25"/>
    <row r="359" ht="1.1499999999999999" customHeight="1" x14ac:dyDescent="0.25"/>
    <row r="360" ht="1.1499999999999999" customHeight="1" x14ac:dyDescent="0.25"/>
    <row r="361" ht="1.1499999999999999" customHeight="1" x14ac:dyDescent="0.25"/>
    <row r="362" ht="1.1499999999999999" customHeight="1" x14ac:dyDescent="0.25"/>
    <row r="363" ht="1.1499999999999999" customHeight="1" x14ac:dyDescent="0.25"/>
    <row r="364" ht="1.1499999999999999" customHeight="1" x14ac:dyDescent="0.25"/>
    <row r="365" ht="1.1499999999999999" customHeight="1" x14ac:dyDescent="0.25"/>
    <row r="366" ht="1.1499999999999999" customHeight="1" x14ac:dyDescent="0.25"/>
    <row r="367" ht="1.1499999999999999" customHeight="1" x14ac:dyDescent="0.25"/>
    <row r="368" ht="1.1499999999999999" customHeight="1" x14ac:dyDescent="0.25"/>
    <row r="369" ht="1.1499999999999999" customHeight="1" x14ac:dyDescent="0.25"/>
    <row r="370" ht="1.1499999999999999" customHeight="1" x14ac:dyDescent="0.25"/>
    <row r="371" ht="1.1499999999999999" customHeight="1" x14ac:dyDescent="0.25"/>
    <row r="372" ht="1.1499999999999999" customHeight="1" x14ac:dyDescent="0.25"/>
    <row r="373" ht="1.1499999999999999" customHeight="1" x14ac:dyDescent="0.25"/>
    <row r="374" ht="1.1499999999999999" customHeight="1" x14ac:dyDescent="0.25"/>
    <row r="375" ht="1.1499999999999999" customHeight="1" x14ac:dyDescent="0.25"/>
    <row r="376" ht="1.1499999999999999" customHeight="1" x14ac:dyDescent="0.25"/>
    <row r="377" ht="1.1499999999999999" customHeight="1" x14ac:dyDescent="0.25"/>
    <row r="378" ht="1.1499999999999999" customHeight="1" x14ac:dyDescent="0.25"/>
    <row r="379" ht="1.1499999999999999" customHeight="1" x14ac:dyDescent="0.25"/>
    <row r="380" ht="1.1499999999999999" customHeight="1" x14ac:dyDescent="0.25"/>
    <row r="381" ht="1.1499999999999999" customHeight="1" x14ac:dyDescent="0.25"/>
    <row r="382" ht="1.1499999999999999" customHeight="1" x14ac:dyDescent="0.25"/>
    <row r="383" ht="1.1499999999999999" customHeight="1" x14ac:dyDescent="0.25"/>
    <row r="384" ht="1.1499999999999999" customHeight="1" x14ac:dyDescent="0.25"/>
    <row r="385" ht="1.1499999999999999" customHeight="1" x14ac:dyDescent="0.25"/>
    <row r="386" ht="1.1499999999999999" customHeight="1" x14ac:dyDescent="0.25"/>
    <row r="387" ht="1.1499999999999999" customHeight="1" x14ac:dyDescent="0.25"/>
    <row r="388" ht="1.1499999999999999" customHeight="1" x14ac:dyDescent="0.25"/>
    <row r="389" ht="1.1499999999999999" customHeight="1" x14ac:dyDescent="0.25"/>
    <row r="390" ht="1.1499999999999999" customHeight="1" x14ac:dyDescent="0.25"/>
    <row r="391" ht="1.1499999999999999" customHeight="1" x14ac:dyDescent="0.25"/>
    <row r="392" ht="1.1499999999999999" customHeight="1" x14ac:dyDescent="0.25"/>
    <row r="393" ht="1.1499999999999999" customHeight="1" x14ac:dyDescent="0.25"/>
    <row r="394" ht="1.1499999999999999" customHeight="1" x14ac:dyDescent="0.25"/>
    <row r="395" ht="1.1499999999999999" customHeight="1" x14ac:dyDescent="0.25"/>
    <row r="396" ht="1.1499999999999999" customHeight="1" x14ac:dyDescent="0.25"/>
    <row r="397" ht="1.1499999999999999" customHeight="1" x14ac:dyDescent="0.25"/>
    <row r="398" ht="1.1499999999999999" customHeight="1" x14ac:dyDescent="0.25"/>
    <row r="399" ht="1.1499999999999999" customHeight="1" x14ac:dyDescent="0.25"/>
    <row r="400" ht="1.1499999999999999" customHeight="1" x14ac:dyDescent="0.25"/>
    <row r="401" ht="1.1499999999999999" customHeight="1" x14ac:dyDescent="0.25"/>
    <row r="402" ht="1.1499999999999999" customHeight="1" x14ac:dyDescent="0.25"/>
    <row r="403" ht="1.1499999999999999" customHeight="1" x14ac:dyDescent="0.25"/>
    <row r="404" ht="1.1499999999999999" customHeight="1" x14ac:dyDescent="0.25"/>
    <row r="405" ht="1.1499999999999999" customHeight="1" x14ac:dyDescent="0.25"/>
    <row r="406" ht="1.1499999999999999" customHeight="1" x14ac:dyDescent="0.25"/>
    <row r="407" ht="1.1499999999999999" customHeight="1" x14ac:dyDescent="0.25"/>
    <row r="408" ht="1.1499999999999999" customHeight="1" x14ac:dyDescent="0.25"/>
    <row r="409" ht="1.1499999999999999" customHeight="1" x14ac:dyDescent="0.25"/>
    <row r="410" ht="1.1499999999999999" customHeight="1" x14ac:dyDescent="0.25"/>
    <row r="411" ht="1.1499999999999999" customHeight="1" x14ac:dyDescent="0.25"/>
    <row r="412" ht="1.1499999999999999" customHeight="1" x14ac:dyDescent="0.25"/>
    <row r="413" ht="1.1499999999999999" customHeight="1" x14ac:dyDescent="0.25"/>
    <row r="414" ht="1.1499999999999999" customHeight="1" x14ac:dyDescent="0.25"/>
    <row r="415" ht="1.1499999999999999" customHeight="1" x14ac:dyDescent="0.25"/>
    <row r="416" ht="1.1499999999999999" customHeight="1" x14ac:dyDescent="0.25"/>
    <row r="417" ht="1.1499999999999999" customHeight="1" x14ac:dyDescent="0.25"/>
    <row r="418" ht="1.1499999999999999" customHeight="1" x14ac:dyDescent="0.25"/>
    <row r="419" ht="1.1499999999999999" customHeight="1" x14ac:dyDescent="0.25"/>
    <row r="420" ht="1.1499999999999999" customHeight="1" x14ac:dyDescent="0.25"/>
    <row r="421" ht="1.1499999999999999" customHeight="1" x14ac:dyDescent="0.25"/>
    <row r="422" ht="1.1499999999999999" customHeight="1" x14ac:dyDescent="0.25"/>
    <row r="423" ht="1.1499999999999999" customHeight="1" x14ac:dyDescent="0.25"/>
    <row r="424" ht="1.1499999999999999" customHeight="1" x14ac:dyDescent="0.25"/>
    <row r="425" ht="1.1499999999999999" customHeight="1" x14ac:dyDescent="0.25"/>
    <row r="426" ht="1.1499999999999999" customHeight="1" x14ac:dyDescent="0.25"/>
    <row r="427" ht="1.1499999999999999" customHeight="1" x14ac:dyDescent="0.25"/>
    <row r="428" ht="1.1499999999999999" customHeight="1" x14ac:dyDescent="0.25"/>
    <row r="429" ht="1.1499999999999999" customHeight="1" x14ac:dyDescent="0.25"/>
    <row r="430" ht="1.1499999999999999" customHeight="1" x14ac:dyDescent="0.25"/>
    <row r="431" ht="1.1499999999999999" customHeight="1" x14ac:dyDescent="0.25"/>
    <row r="432" ht="1.1499999999999999" customHeight="1" x14ac:dyDescent="0.25"/>
    <row r="433" ht="1.1499999999999999" customHeight="1" x14ac:dyDescent="0.25"/>
    <row r="434" ht="1.1499999999999999" customHeight="1" x14ac:dyDescent="0.25"/>
    <row r="435" ht="1.1499999999999999" customHeight="1" x14ac:dyDescent="0.25"/>
    <row r="436" ht="1.1499999999999999" customHeight="1" x14ac:dyDescent="0.25"/>
    <row r="437" ht="1.1499999999999999" customHeight="1" x14ac:dyDescent="0.25"/>
    <row r="438" ht="1.1499999999999999" customHeight="1" x14ac:dyDescent="0.25"/>
    <row r="439" ht="1.1499999999999999" customHeight="1" x14ac:dyDescent="0.25"/>
    <row r="440" ht="1.1499999999999999" customHeight="1" x14ac:dyDescent="0.25"/>
    <row r="441" ht="1.1499999999999999" customHeight="1" x14ac:dyDescent="0.25"/>
    <row r="442" ht="1.1499999999999999" customHeight="1" x14ac:dyDescent="0.25"/>
    <row r="443" ht="1.1499999999999999" customHeight="1" x14ac:dyDescent="0.25"/>
    <row r="444" ht="1.1499999999999999" customHeight="1" x14ac:dyDescent="0.25"/>
    <row r="445" ht="1.1499999999999999" customHeight="1" x14ac:dyDescent="0.25"/>
    <row r="446" ht="1.1499999999999999" customHeight="1" x14ac:dyDescent="0.25"/>
    <row r="447" ht="1.1499999999999999" customHeight="1" x14ac:dyDescent="0.25"/>
    <row r="448" ht="1.1499999999999999" customHeight="1" x14ac:dyDescent="0.25"/>
    <row r="449" ht="1.1499999999999999" customHeight="1" x14ac:dyDescent="0.25"/>
    <row r="450" ht="1.1499999999999999" customHeight="1" x14ac:dyDescent="0.25"/>
    <row r="451" ht="1.1499999999999999" customHeight="1" x14ac:dyDescent="0.25"/>
    <row r="452" ht="1.1499999999999999" customHeight="1" x14ac:dyDescent="0.25"/>
    <row r="453" ht="1.1499999999999999" customHeight="1" x14ac:dyDescent="0.25"/>
    <row r="454" ht="1.1499999999999999" customHeight="1" x14ac:dyDescent="0.25"/>
    <row r="455" ht="1.1499999999999999" customHeight="1" x14ac:dyDescent="0.25"/>
    <row r="456" ht="1.1499999999999999" customHeight="1" x14ac:dyDescent="0.25"/>
    <row r="457" ht="1.1499999999999999" customHeight="1" x14ac:dyDescent="0.25"/>
    <row r="458" ht="1.1499999999999999" customHeight="1" x14ac:dyDescent="0.25"/>
    <row r="459" ht="1.1499999999999999" customHeight="1" x14ac:dyDescent="0.25"/>
    <row r="460" ht="1.1499999999999999" customHeight="1" x14ac:dyDescent="0.25"/>
    <row r="461" ht="1.1499999999999999" customHeight="1" x14ac:dyDescent="0.25"/>
    <row r="462" ht="1.1499999999999999" customHeight="1" x14ac:dyDescent="0.25"/>
    <row r="463" ht="1.1499999999999999" customHeight="1" x14ac:dyDescent="0.25"/>
    <row r="464" ht="1.1499999999999999" customHeight="1" x14ac:dyDescent="0.25"/>
    <row r="465" ht="1.1499999999999999" customHeight="1" x14ac:dyDescent="0.25"/>
    <row r="466" ht="1.1499999999999999" customHeight="1" x14ac:dyDescent="0.25"/>
    <row r="467" ht="1.1499999999999999" customHeight="1" x14ac:dyDescent="0.25"/>
    <row r="468" ht="1.1499999999999999" customHeight="1" x14ac:dyDescent="0.25"/>
    <row r="469" ht="1.1499999999999999" customHeight="1" x14ac:dyDescent="0.25"/>
    <row r="470" ht="1.1499999999999999" customHeight="1" x14ac:dyDescent="0.25"/>
    <row r="471" ht="1.1499999999999999" customHeight="1" x14ac:dyDescent="0.25"/>
    <row r="472" ht="1.1499999999999999" customHeight="1" x14ac:dyDescent="0.25"/>
    <row r="473" ht="1.1499999999999999" customHeight="1" x14ac:dyDescent="0.25"/>
    <row r="474" ht="1.1499999999999999" customHeight="1" x14ac:dyDescent="0.25"/>
    <row r="475" ht="1.1499999999999999" customHeight="1" x14ac:dyDescent="0.25"/>
    <row r="476" ht="1.1499999999999999" customHeight="1" x14ac:dyDescent="0.25"/>
    <row r="477" ht="1.1499999999999999" customHeight="1" x14ac:dyDescent="0.25"/>
    <row r="478" ht="1.1499999999999999" customHeight="1" x14ac:dyDescent="0.25"/>
    <row r="479" ht="1.1499999999999999" customHeight="1" x14ac:dyDescent="0.25"/>
    <row r="480" ht="1.1499999999999999" customHeight="1" x14ac:dyDescent="0.25"/>
    <row r="481" ht="1.1499999999999999" customHeight="1" x14ac:dyDescent="0.25"/>
    <row r="482" ht="1.1499999999999999" customHeight="1" x14ac:dyDescent="0.25"/>
    <row r="483" ht="1.1499999999999999" customHeight="1" x14ac:dyDescent="0.25"/>
    <row r="484" ht="1.1499999999999999" customHeight="1" x14ac:dyDescent="0.25"/>
    <row r="485" ht="1.1499999999999999" customHeight="1" x14ac:dyDescent="0.25"/>
    <row r="486" ht="1.1499999999999999" customHeight="1" x14ac:dyDescent="0.25"/>
    <row r="487" ht="1.1499999999999999" customHeight="1" x14ac:dyDescent="0.25"/>
    <row r="488" ht="1.1499999999999999" customHeight="1" x14ac:dyDescent="0.25"/>
    <row r="489" ht="1.1499999999999999" customHeight="1" x14ac:dyDescent="0.25"/>
    <row r="490" ht="1.1499999999999999" customHeight="1" x14ac:dyDescent="0.25"/>
    <row r="491" ht="1.1499999999999999" customHeight="1" x14ac:dyDescent="0.25"/>
    <row r="492" ht="1.1499999999999999" customHeight="1" x14ac:dyDescent="0.25"/>
    <row r="493" ht="1.1499999999999999" customHeight="1" x14ac:dyDescent="0.25"/>
    <row r="494" ht="1.1499999999999999" customHeight="1" x14ac:dyDescent="0.25"/>
    <row r="495" ht="1.1499999999999999" customHeight="1" x14ac:dyDescent="0.25"/>
    <row r="496" ht="1.1499999999999999" customHeight="1" x14ac:dyDescent="0.25"/>
    <row r="497" spans="1:3" ht="1.1499999999999999" customHeight="1" x14ac:dyDescent="0.25"/>
    <row r="498" spans="1:3" ht="1.1499999999999999" customHeight="1" x14ac:dyDescent="0.25"/>
    <row r="499" spans="1:3" ht="1.1499999999999999" customHeight="1" x14ac:dyDescent="0.25"/>
    <row r="500" spans="1:3" x14ac:dyDescent="0.25">
      <c r="B500" t="s">
        <v>242</v>
      </c>
      <c r="C500" t="s">
        <v>244</v>
      </c>
    </row>
    <row r="501" spans="1:3" x14ac:dyDescent="0.25">
      <c r="A501" s="15" t="s">
        <v>75</v>
      </c>
      <c r="C501" t="s">
        <v>74</v>
      </c>
    </row>
    <row r="502" spans="1:3" x14ac:dyDescent="0.25">
      <c r="A502" s="15" t="s">
        <v>76</v>
      </c>
      <c r="C502" t="s">
        <v>74</v>
      </c>
    </row>
    <row r="503" spans="1:3" x14ac:dyDescent="0.25">
      <c r="A503" s="15" t="s">
        <v>77</v>
      </c>
      <c r="C503" t="s">
        <v>74</v>
      </c>
    </row>
    <row r="504" spans="1:3" x14ac:dyDescent="0.25">
      <c r="A504" s="15" t="s">
        <v>138</v>
      </c>
      <c r="C504" t="s">
        <v>137</v>
      </c>
    </row>
    <row r="505" spans="1:3" x14ac:dyDescent="0.25">
      <c r="A505" s="15" t="s">
        <v>139</v>
      </c>
      <c r="C505" t="s">
        <v>137</v>
      </c>
    </row>
    <row r="506" spans="1:3" x14ac:dyDescent="0.25">
      <c r="A506" s="15" t="s">
        <v>140</v>
      </c>
      <c r="C506" t="s">
        <v>137</v>
      </c>
    </row>
    <row r="507" spans="1:3" x14ac:dyDescent="0.25">
      <c r="A507" s="15" t="s">
        <v>142</v>
      </c>
      <c r="C507" t="s">
        <v>141</v>
      </c>
    </row>
    <row r="508" spans="1:3" x14ac:dyDescent="0.25">
      <c r="A508" s="15" t="s">
        <v>143</v>
      </c>
      <c r="C508" t="s">
        <v>141</v>
      </c>
    </row>
    <row r="509" spans="1:3" x14ac:dyDescent="0.25">
      <c r="A509" s="15" t="s">
        <v>144</v>
      </c>
      <c r="C509" t="s">
        <v>141</v>
      </c>
    </row>
    <row r="510" spans="1:3" x14ac:dyDescent="0.25">
      <c r="A510" s="15" t="s">
        <v>146</v>
      </c>
      <c r="C510" t="s">
        <v>145</v>
      </c>
    </row>
    <row r="511" spans="1:3" x14ac:dyDescent="0.25">
      <c r="A511" s="15" t="s">
        <v>147</v>
      </c>
      <c r="C511" t="s">
        <v>145</v>
      </c>
    </row>
    <row r="512" spans="1:3" x14ac:dyDescent="0.25">
      <c r="A512" s="15" t="s">
        <v>148</v>
      </c>
      <c r="C512" t="s">
        <v>145</v>
      </c>
    </row>
    <row r="513" spans="1:3" x14ac:dyDescent="0.25">
      <c r="A513" s="15" t="s">
        <v>150</v>
      </c>
      <c r="C513" t="s">
        <v>149</v>
      </c>
    </row>
    <row r="514" spans="1:3" x14ac:dyDescent="0.25">
      <c r="A514" s="15" t="s">
        <v>151</v>
      </c>
      <c r="C514" t="s">
        <v>149</v>
      </c>
    </row>
    <row r="515" spans="1:3" x14ac:dyDescent="0.25">
      <c r="A515" s="15" t="s">
        <v>152</v>
      </c>
      <c r="C515" t="s">
        <v>149</v>
      </c>
    </row>
    <row r="516" spans="1:3" x14ac:dyDescent="0.25">
      <c r="A516" s="15" t="s">
        <v>154</v>
      </c>
      <c r="C516" t="s">
        <v>153</v>
      </c>
    </row>
    <row r="517" spans="1:3" x14ac:dyDescent="0.25">
      <c r="A517" s="15" t="s">
        <v>155</v>
      </c>
      <c r="C517" t="s">
        <v>153</v>
      </c>
    </row>
    <row r="518" spans="1:3" x14ac:dyDescent="0.25">
      <c r="A518" s="15" t="s">
        <v>156</v>
      </c>
      <c r="C518" t="s">
        <v>153</v>
      </c>
    </row>
    <row r="519" spans="1:3" x14ac:dyDescent="0.25">
      <c r="A519" s="15" t="s">
        <v>158</v>
      </c>
      <c r="C519" t="s">
        <v>157</v>
      </c>
    </row>
    <row r="520" spans="1:3" x14ac:dyDescent="0.25">
      <c r="A520" s="15" t="s">
        <v>159</v>
      </c>
      <c r="C520" t="s">
        <v>157</v>
      </c>
    </row>
    <row r="521" spans="1:3" x14ac:dyDescent="0.25">
      <c r="A521" s="15" t="s">
        <v>160</v>
      </c>
      <c r="C521" t="s">
        <v>157</v>
      </c>
    </row>
    <row r="522" spans="1:3" x14ac:dyDescent="0.25">
      <c r="A522" s="15" t="s">
        <v>162</v>
      </c>
      <c r="C522" t="s">
        <v>161</v>
      </c>
    </row>
    <row r="523" spans="1:3" x14ac:dyDescent="0.25">
      <c r="A523" s="15" t="s">
        <v>163</v>
      </c>
      <c r="C523" t="s">
        <v>161</v>
      </c>
    </row>
    <row r="524" spans="1:3" x14ac:dyDescent="0.25">
      <c r="A524" s="15" t="s">
        <v>164</v>
      </c>
      <c r="C524" t="s">
        <v>161</v>
      </c>
    </row>
    <row r="525" spans="1:3" x14ac:dyDescent="0.25">
      <c r="A525" s="15" t="s">
        <v>79</v>
      </c>
      <c r="C525" t="s">
        <v>78</v>
      </c>
    </row>
    <row r="526" spans="1:3" x14ac:dyDescent="0.25">
      <c r="A526" s="15" t="s">
        <v>80</v>
      </c>
      <c r="C526" t="s">
        <v>78</v>
      </c>
    </row>
    <row r="527" spans="1:3" x14ac:dyDescent="0.25">
      <c r="A527" s="15" t="s">
        <v>81</v>
      </c>
      <c r="C527" t="s">
        <v>78</v>
      </c>
    </row>
    <row r="528" spans="1:3" x14ac:dyDescent="0.25">
      <c r="A528" s="15" t="s">
        <v>83</v>
      </c>
      <c r="C528" t="s">
        <v>82</v>
      </c>
    </row>
    <row r="529" spans="1:3" x14ac:dyDescent="0.25">
      <c r="A529" s="15" t="s">
        <v>84</v>
      </c>
      <c r="C529" t="s">
        <v>82</v>
      </c>
    </row>
    <row r="530" spans="1:3" x14ac:dyDescent="0.25">
      <c r="A530" s="15" t="s">
        <v>85</v>
      </c>
      <c r="C530" t="s">
        <v>82</v>
      </c>
    </row>
    <row r="531" spans="1:3" x14ac:dyDescent="0.25">
      <c r="A531" s="15" t="s">
        <v>87</v>
      </c>
      <c r="C531" t="s">
        <v>86</v>
      </c>
    </row>
    <row r="532" spans="1:3" x14ac:dyDescent="0.25">
      <c r="A532" s="15" t="s">
        <v>88</v>
      </c>
      <c r="C532" t="s">
        <v>86</v>
      </c>
    </row>
    <row r="533" spans="1:3" x14ac:dyDescent="0.25">
      <c r="A533" s="15" t="s">
        <v>89</v>
      </c>
      <c r="C533" t="s">
        <v>86</v>
      </c>
    </row>
    <row r="534" spans="1:3" x14ac:dyDescent="0.25">
      <c r="A534" s="15" t="s">
        <v>91</v>
      </c>
      <c r="C534" t="s">
        <v>90</v>
      </c>
    </row>
    <row r="535" spans="1:3" x14ac:dyDescent="0.25">
      <c r="A535" s="15" t="s">
        <v>92</v>
      </c>
      <c r="C535" t="s">
        <v>90</v>
      </c>
    </row>
    <row r="536" spans="1:3" x14ac:dyDescent="0.25">
      <c r="A536" s="15" t="s">
        <v>93</v>
      </c>
      <c r="C536" t="s">
        <v>90</v>
      </c>
    </row>
    <row r="537" spans="1:3" x14ac:dyDescent="0.25">
      <c r="A537" s="15" t="s">
        <v>167</v>
      </c>
      <c r="C537" t="s">
        <v>166</v>
      </c>
    </row>
    <row r="538" spans="1:3" x14ac:dyDescent="0.25">
      <c r="A538" s="15" t="s">
        <v>168</v>
      </c>
      <c r="C538" t="s">
        <v>166</v>
      </c>
    </row>
    <row r="539" spans="1:3" x14ac:dyDescent="0.25">
      <c r="A539" s="15" t="s">
        <v>169</v>
      </c>
      <c r="C539" t="s">
        <v>166</v>
      </c>
    </row>
    <row r="540" spans="1:3" x14ac:dyDescent="0.25">
      <c r="A540" s="15" t="s">
        <v>171</v>
      </c>
      <c r="C540" t="s">
        <v>170</v>
      </c>
    </row>
    <row r="541" spans="1:3" x14ac:dyDescent="0.25">
      <c r="A541" s="15" t="s">
        <v>172</v>
      </c>
      <c r="C541" t="s">
        <v>170</v>
      </c>
    </row>
    <row r="542" spans="1:3" x14ac:dyDescent="0.25">
      <c r="A542" s="15" t="s">
        <v>173</v>
      </c>
      <c r="C542" t="s">
        <v>170</v>
      </c>
    </row>
    <row r="543" spans="1:3" x14ac:dyDescent="0.25">
      <c r="A543" s="15" t="s">
        <v>175</v>
      </c>
      <c r="C543" t="s">
        <v>174</v>
      </c>
    </row>
    <row r="544" spans="1:3" x14ac:dyDescent="0.25">
      <c r="A544" s="15" t="s">
        <v>176</v>
      </c>
      <c r="C544" t="s">
        <v>174</v>
      </c>
    </row>
    <row r="545" spans="1:3" x14ac:dyDescent="0.25">
      <c r="A545" s="15" t="s">
        <v>177</v>
      </c>
      <c r="C545" t="s">
        <v>174</v>
      </c>
    </row>
    <row r="546" spans="1:3" x14ac:dyDescent="0.25">
      <c r="A546" s="15" t="s">
        <v>179</v>
      </c>
      <c r="C546" t="s">
        <v>178</v>
      </c>
    </row>
    <row r="547" spans="1:3" x14ac:dyDescent="0.25">
      <c r="A547" s="15" t="s">
        <v>180</v>
      </c>
      <c r="C547" t="s">
        <v>178</v>
      </c>
    </row>
    <row r="548" spans="1:3" x14ac:dyDescent="0.25">
      <c r="A548" s="15" t="s">
        <v>181</v>
      </c>
      <c r="C548" t="s">
        <v>178</v>
      </c>
    </row>
    <row r="549" spans="1:3" x14ac:dyDescent="0.25">
      <c r="A549" s="15" t="s">
        <v>183</v>
      </c>
      <c r="C549" t="s">
        <v>182</v>
      </c>
    </row>
    <row r="550" spans="1:3" x14ac:dyDescent="0.25">
      <c r="A550" s="15" t="s">
        <v>184</v>
      </c>
      <c r="C550" t="s">
        <v>182</v>
      </c>
    </row>
    <row r="551" spans="1:3" x14ac:dyDescent="0.25">
      <c r="A551" s="15" t="s">
        <v>185</v>
      </c>
      <c r="C551" t="s">
        <v>182</v>
      </c>
    </row>
    <row r="552" spans="1:3" x14ac:dyDescent="0.25">
      <c r="A552" s="15" t="s">
        <v>187</v>
      </c>
      <c r="C552" t="s">
        <v>186</v>
      </c>
    </row>
    <row r="553" spans="1:3" x14ac:dyDescent="0.25">
      <c r="A553" s="15" t="s">
        <v>188</v>
      </c>
      <c r="C553" t="s">
        <v>186</v>
      </c>
    </row>
    <row r="554" spans="1:3" x14ac:dyDescent="0.25">
      <c r="A554" s="15" t="s">
        <v>189</v>
      </c>
      <c r="C554" t="s">
        <v>186</v>
      </c>
    </row>
    <row r="555" spans="1:3" x14ac:dyDescent="0.25">
      <c r="A555" s="15" t="s">
        <v>191</v>
      </c>
      <c r="C555" t="s">
        <v>190</v>
      </c>
    </row>
    <row r="556" spans="1:3" x14ac:dyDescent="0.25">
      <c r="A556" s="15" t="s">
        <v>192</v>
      </c>
      <c r="C556" t="s">
        <v>190</v>
      </c>
    </row>
    <row r="557" spans="1:3" x14ac:dyDescent="0.25">
      <c r="A557" s="15" t="s">
        <v>193</v>
      </c>
      <c r="C557" t="s">
        <v>190</v>
      </c>
    </row>
    <row r="558" spans="1:3" x14ac:dyDescent="0.25">
      <c r="A558" s="15" t="s">
        <v>195</v>
      </c>
      <c r="C558" t="s">
        <v>194</v>
      </c>
    </row>
    <row r="559" spans="1:3" x14ac:dyDescent="0.25">
      <c r="A559" s="15" t="s">
        <v>196</v>
      </c>
      <c r="C559" t="s">
        <v>194</v>
      </c>
    </row>
    <row r="560" spans="1:3" x14ac:dyDescent="0.25">
      <c r="A560" s="15" t="s">
        <v>197</v>
      </c>
      <c r="C560" t="s">
        <v>194</v>
      </c>
    </row>
    <row r="561" spans="1:3" x14ac:dyDescent="0.25">
      <c r="A561" s="15" t="s">
        <v>235</v>
      </c>
      <c r="C561" t="s">
        <v>94</v>
      </c>
    </row>
    <row r="562" spans="1:3" x14ac:dyDescent="0.25">
      <c r="A562" s="15" t="s">
        <v>236</v>
      </c>
      <c r="C562" t="s">
        <v>94</v>
      </c>
    </row>
    <row r="563" spans="1:3" x14ac:dyDescent="0.25">
      <c r="A563" s="15" t="s">
        <v>237</v>
      </c>
      <c r="C563" t="s">
        <v>94</v>
      </c>
    </row>
    <row r="564" spans="1:3" x14ac:dyDescent="0.25">
      <c r="A564" s="15" t="s">
        <v>238</v>
      </c>
      <c r="C564" t="s">
        <v>95</v>
      </c>
    </row>
    <row r="565" spans="1:3" x14ac:dyDescent="0.25">
      <c r="A565" s="15" t="s">
        <v>239</v>
      </c>
      <c r="C565" t="s">
        <v>95</v>
      </c>
    </row>
    <row r="566" spans="1:3" x14ac:dyDescent="0.25">
      <c r="A566" s="15" t="s">
        <v>96</v>
      </c>
      <c r="C566" t="s">
        <v>95</v>
      </c>
    </row>
    <row r="567" spans="1:3" x14ac:dyDescent="0.25">
      <c r="A567" s="15" t="s">
        <v>199</v>
      </c>
      <c r="C567" t="s">
        <v>198</v>
      </c>
    </row>
    <row r="568" spans="1:3" x14ac:dyDescent="0.25">
      <c r="A568" s="15" t="s">
        <v>200</v>
      </c>
      <c r="C568" t="s">
        <v>198</v>
      </c>
    </row>
    <row r="569" spans="1:3" x14ac:dyDescent="0.25">
      <c r="A569" s="15" t="s">
        <v>201</v>
      </c>
      <c r="C569" t="s">
        <v>198</v>
      </c>
    </row>
    <row r="570" spans="1:3" x14ac:dyDescent="0.25">
      <c r="A570" s="15" t="s">
        <v>240</v>
      </c>
      <c r="C570" t="s">
        <v>97</v>
      </c>
    </row>
    <row r="571" spans="1:3" x14ac:dyDescent="0.25">
      <c r="A571" s="15" t="s">
        <v>241</v>
      </c>
      <c r="C571" t="s">
        <v>97</v>
      </c>
    </row>
    <row r="572" spans="1:3" x14ac:dyDescent="0.25">
      <c r="A572" s="15" t="s">
        <v>99</v>
      </c>
      <c r="B572" t="s">
        <v>100</v>
      </c>
      <c r="C572" t="s">
        <v>98</v>
      </c>
    </row>
    <row r="573" spans="1:3" x14ac:dyDescent="0.25">
      <c r="A573" s="15" t="s">
        <v>101</v>
      </c>
      <c r="B573" t="s">
        <v>102</v>
      </c>
      <c r="C573" t="s">
        <v>98</v>
      </c>
    </row>
    <row r="574" spans="1:3" x14ac:dyDescent="0.25">
      <c r="A574" s="15" t="s">
        <v>103</v>
      </c>
      <c r="B574" t="s">
        <v>104</v>
      </c>
      <c r="C574" t="s">
        <v>98</v>
      </c>
    </row>
    <row r="575" spans="1:3" x14ac:dyDescent="0.25">
      <c r="A575" s="15" t="s">
        <v>105</v>
      </c>
      <c r="B575" t="s">
        <v>106</v>
      </c>
      <c r="C575" t="s">
        <v>98</v>
      </c>
    </row>
    <row r="576" spans="1:3" x14ac:dyDescent="0.25">
      <c r="A576" s="15" t="s">
        <v>107</v>
      </c>
      <c r="B576" t="s">
        <v>108</v>
      </c>
      <c r="C576" t="s">
        <v>98</v>
      </c>
    </row>
    <row r="577" spans="1:3" x14ac:dyDescent="0.25">
      <c r="A577" s="15" t="s">
        <v>109</v>
      </c>
      <c r="B577" t="s">
        <v>110</v>
      </c>
      <c r="C577" t="s">
        <v>98</v>
      </c>
    </row>
    <row r="578" spans="1:3" x14ac:dyDescent="0.25">
      <c r="A578" s="15" t="s">
        <v>111</v>
      </c>
      <c r="B578" t="s">
        <v>112</v>
      </c>
      <c r="C578" t="s">
        <v>98</v>
      </c>
    </row>
    <row r="579" spans="1:3" x14ac:dyDescent="0.25">
      <c r="A579" s="15" t="s">
        <v>113</v>
      </c>
      <c r="B579" t="s">
        <v>114</v>
      </c>
      <c r="C579" t="s">
        <v>98</v>
      </c>
    </row>
    <row r="580" spans="1:3" x14ac:dyDescent="0.25">
      <c r="A580" s="15" t="s">
        <v>115</v>
      </c>
      <c r="B580" t="s">
        <v>116</v>
      </c>
      <c r="C580" t="s">
        <v>98</v>
      </c>
    </row>
    <row r="581" spans="1:3" x14ac:dyDescent="0.25">
      <c r="A581" s="15" t="s">
        <v>117</v>
      </c>
      <c r="B581" t="s">
        <v>118</v>
      </c>
      <c r="C581" t="s">
        <v>98</v>
      </c>
    </row>
    <row r="582" spans="1:3" x14ac:dyDescent="0.25">
      <c r="A582" s="15" t="s">
        <v>119</v>
      </c>
      <c r="B582" t="s">
        <v>120</v>
      </c>
      <c r="C582" t="s">
        <v>98</v>
      </c>
    </row>
    <row r="583" spans="1:3" x14ac:dyDescent="0.25">
      <c r="A583" s="15" t="s">
        <v>121</v>
      </c>
      <c r="B583" t="s">
        <v>122</v>
      </c>
      <c r="C583" t="s">
        <v>98</v>
      </c>
    </row>
    <row r="584" spans="1:3" x14ac:dyDescent="0.25">
      <c r="A584" s="15" t="s">
        <v>123</v>
      </c>
      <c r="B584" t="s">
        <v>124</v>
      </c>
      <c r="C584" t="s">
        <v>98</v>
      </c>
    </row>
    <row r="585" spans="1:3" x14ac:dyDescent="0.25">
      <c r="A585" s="15" t="s">
        <v>125</v>
      </c>
      <c r="B585" t="s">
        <v>126</v>
      </c>
      <c r="C585" t="s">
        <v>98</v>
      </c>
    </row>
    <row r="586" spans="1:3" x14ac:dyDescent="0.25">
      <c r="A586" s="15" t="s">
        <v>127</v>
      </c>
      <c r="B586" t="s">
        <v>128</v>
      </c>
      <c r="C586" t="s">
        <v>98</v>
      </c>
    </row>
    <row r="587" spans="1:3" x14ac:dyDescent="0.25">
      <c r="A587" s="15" t="s">
        <v>129</v>
      </c>
      <c r="B587" t="s">
        <v>130</v>
      </c>
      <c r="C587" t="s">
        <v>98</v>
      </c>
    </row>
    <row r="588" spans="1:3" x14ac:dyDescent="0.25">
      <c r="A588" s="15" t="s">
        <v>131</v>
      </c>
      <c r="B588" t="s">
        <v>132</v>
      </c>
      <c r="C588" t="s">
        <v>98</v>
      </c>
    </row>
    <row r="589" spans="1:3" x14ac:dyDescent="0.25">
      <c r="A589" s="15" t="s">
        <v>133</v>
      </c>
      <c r="B589" t="s">
        <v>134</v>
      </c>
      <c r="C589" t="s">
        <v>98</v>
      </c>
    </row>
    <row r="590" spans="1:3" x14ac:dyDescent="0.25">
      <c r="A590" s="15" t="s">
        <v>135</v>
      </c>
      <c r="B590" t="s">
        <v>243</v>
      </c>
      <c r="C590" t="s">
        <v>98</v>
      </c>
    </row>
    <row r="591" spans="1:3" x14ac:dyDescent="0.25">
      <c r="A591" s="15" t="s">
        <v>8392</v>
      </c>
      <c r="B591" t="s">
        <v>8581</v>
      </c>
      <c r="C591" t="s">
        <v>233</v>
      </c>
    </row>
    <row r="592" spans="1:3" x14ac:dyDescent="0.25">
      <c r="A592" s="15" t="s">
        <v>8394</v>
      </c>
      <c r="B592" t="s">
        <v>8492</v>
      </c>
      <c r="C592" t="s">
        <v>233</v>
      </c>
    </row>
    <row r="593" spans="1:3" x14ac:dyDescent="0.25">
      <c r="A593" s="15" t="s">
        <v>8553</v>
      </c>
      <c r="B593" t="s">
        <v>8492</v>
      </c>
      <c r="C593" t="s">
        <v>233</v>
      </c>
    </row>
    <row r="594" spans="1:3" x14ac:dyDescent="0.25">
      <c r="A594" s="15" t="s">
        <v>8554</v>
      </c>
      <c r="B594" t="s">
        <v>8492</v>
      </c>
      <c r="C594" t="s">
        <v>233</v>
      </c>
    </row>
    <row r="595" spans="1:3" x14ac:dyDescent="0.25">
      <c r="A595" s="15" t="s">
        <v>8444</v>
      </c>
      <c r="B595" t="s">
        <v>8493</v>
      </c>
      <c r="C595" t="s">
        <v>233</v>
      </c>
    </row>
    <row r="596" spans="1:3" x14ac:dyDescent="0.25">
      <c r="A596" s="15" t="s">
        <v>207</v>
      </c>
      <c r="B596" t="s">
        <v>208</v>
      </c>
      <c r="C596" t="s">
        <v>205</v>
      </c>
    </row>
    <row r="597" spans="1:3" x14ac:dyDescent="0.25">
      <c r="A597" s="15" t="s">
        <v>209</v>
      </c>
      <c r="B597" t="s">
        <v>210</v>
      </c>
      <c r="C597" t="s">
        <v>205</v>
      </c>
    </row>
    <row r="598" spans="1:3" x14ac:dyDescent="0.25">
      <c r="A598" s="15" t="s">
        <v>45</v>
      </c>
      <c r="B598" t="s">
        <v>8298</v>
      </c>
      <c r="C598" t="s">
        <v>232</v>
      </c>
    </row>
    <row r="599" spans="1:3" x14ac:dyDescent="0.25">
      <c r="A599" s="15" t="s">
        <v>215</v>
      </c>
      <c r="B599" t="s">
        <v>216</v>
      </c>
      <c r="C599" t="s">
        <v>213</v>
      </c>
    </row>
    <row r="600" spans="1:3" x14ac:dyDescent="0.25">
      <c r="A600" s="15" t="s">
        <v>46</v>
      </c>
      <c r="B600" t="s">
        <v>8301</v>
      </c>
      <c r="C600" t="s">
        <v>232</v>
      </c>
    </row>
    <row r="601" spans="1:3" x14ac:dyDescent="0.25">
      <c r="A601" s="15" t="s">
        <v>8287</v>
      </c>
      <c r="B601" t="s">
        <v>8288</v>
      </c>
      <c r="C601" t="s">
        <v>233</v>
      </c>
    </row>
    <row r="602" spans="1:3" x14ac:dyDescent="0.25">
      <c r="A602" s="15" t="s">
        <v>8289</v>
      </c>
      <c r="B602" t="s">
        <v>8290</v>
      </c>
      <c r="C602" t="s">
        <v>233</v>
      </c>
    </row>
    <row r="603" spans="1:3" x14ac:dyDescent="0.25">
      <c r="A603" s="15" t="s">
        <v>39</v>
      </c>
      <c r="B603" t="s">
        <v>8285</v>
      </c>
      <c r="C603" t="s">
        <v>232</v>
      </c>
    </row>
    <row r="604" spans="1:3" x14ac:dyDescent="0.25">
      <c r="A604" s="15" t="s">
        <v>41</v>
      </c>
      <c r="B604" t="s">
        <v>8288</v>
      </c>
      <c r="C604" t="s">
        <v>8494</v>
      </c>
    </row>
    <row r="605" spans="1:3" x14ac:dyDescent="0.25">
      <c r="A605" s="15" t="s">
        <v>8429</v>
      </c>
      <c r="B605" t="s">
        <v>8495</v>
      </c>
      <c r="C605" t="s">
        <v>233</v>
      </c>
    </row>
    <row r="606" spans="1:3" x14ac:dyDescent="0.25">
      <c r="A606" s="15" t="s">
        <v>8432</v>
      </c>
      <c r="B606" t="s">
        <v>8496</v>
      </c>
      <c r="C606" t="s">
        <v>233</v>
      </c>
    </row>
    <row r="607" spans="1:3" x14ac:dyDescent="0.25">
      <c r="A607" s="15" t="s">
        <v>48</v>
      </c>
      <c r="B607" t="s">
        <v>8305</v>
      </c>
      <c r="C607" t="s">
        <v>232</v>
      </c>
    </row>
    <row r="608" spans="1:3" x14ac:dyDescent="0.25">
      <c r="A608" s="15" t="s">
        <v>8456</v>
      </c>
      <c r="B608" t="s">
        <v>8497</v>
      </c>
      <c r="C608" t="s">
        <v>233</v>
      </c>
    </row>
    <row r="609" spans="1:3" x14ac:dyDescent="0.25">
      <c r="A609" s="15" t="s">
        <v>64</v>
      </c>
      <c r="B609" t="s">
        <v>8357</v>
      </c>
      <c r="C609" t="s">
        <v>232</v>
      </c>
    </row>
    <row r="610" spans="1:3" x14ac:dyDescent="0.25">
      <c r="A610" s="15" t="s">
        <v>8478</v>
      </c>
      <c r="B610" t="s">
        <v>8479</v>
      </c>
      <c r="C610" t="s">
        <v>8498</v>
      </c>
    </row>
    <row r="611" spans="1:3" x14ac:dyDescent="0.25">
      <c r="A611" s="15" t="s">
        <v>8353</v>
      </c>
      <c r="B611" t="s">
        <v>8499</v>
      </c>
      <c r="C611" t="s">
        <v>8500</v>
      </c>
    </row>
    <row r="612" spans="1:3" x14ac:dyDescent="0.25">
      <c r="A612" s="15" t="s">
        <v>62</v>
      </c>
      <c r="B612" t="s">
        <v>8501</v>
      </c>
      <c r="C612" t="s">
        <v>8500</v>
      </c>
    </row>
    <row r="613" spans="1:3" x14ac:dyDescent="0.25">
      <c r="A613" s="15" t="s">
        <v>8490</v>
      </c>
      <c r="B613" t="s">
        <v>8491</v>
      </c>
      <c r="C613" t="s">
        <v>232</v>
      </c>
    </row>
    <row r="614" spans="1:3" x14ac:dyDescent="0.25">
      <c r="A614" s="15" t="s">
        <v>8563</v>
      </c>
      <c r="B614" t="s">
        <v>8564</v>
      </c>
      <c r="C614" t="s">
        <v>233</v>
      </c>
    </row>
    <row r="615" spans="1:3" x14ac:dyDescent="0.25">
      <c r="A615" s="15" t="s">
        <v>8475</v>
      </c>
      <c r="B615" t="s">
        <v>8502</v>
      </c>
      <c r="C615" t="s">
        <v>8503</v>
      </c>
    </row>
    <row r="616" spans="1:3" x14ac:dyDescent="0.25">
      <c r="A616" s="15" t="s">
        <v>8569</v>
      </c>
      <c r="B616" t="s">
        <v>8571</v>
      </c>
      <c r="C616" t="s">
        <v>233</v>
      </c>
    </row>
    <row r="617" spans="1:3" x14ac:dyDescent="0.25">
      <c r="A617" s="15" t="s">
        <v>8570</v>
      </c>
      <c r="B617" t="s">
        <v>8572</v>
      </c>
      <c r="C617" t="s">
        <v>233</v>
      </c>
    </row>
    <row r="618" spans="1:3" x14ac:dyDescent="0.25">
      <c r="A618" s="15" t="s">
        <v>8565</v>
      </c>
      <c r="B618" t="s">
        <v>8566</v>
      </c>
      <c r="C618" t="s">
        <v>233</v>
      </c>
    </row>
    <row r="619" spans="1:3" x14ac:dyDescent="0.25">
      <c r="A619" s="15" t="s">
        <v>8441</v>
      </c>
      <c r="B619" t="s">
        <v>8504</v>
      </c>
      <c r="C619" t="s">
        <v>233</v>
      </c>
    </row>
    <row r="620" spans="1:3" x14ac:dyDescent="0.25">
      <c r="A620" s="15" t="s">
        <v>43</v>
      </c>
      <c r="B620" t="s">
        <v>8296</v>
      </c>
      <c r="C620" t="s">
        <v>232</v>
      </c>
    </row>
    <row r="621" spans="1:3" x14ac:dyDescent="0.25">
      <c r="A621" s="15" t="s">
        <v>8359</v>
      </c>
      <c r="B621" t="s">
        <v>8360</v>
      </c>
      <c r="C621" t="s">
        <v>233</v>
      </c>
    </row>
    <row r="622" spans="1:3" x14ac:dyDescent="0.25">
      <c r="A622" s="15" t="s">
        <v>8361</v>
      </c>
      <c r="B622" t="s">
        <v>8362</v>
      </c>
      <c r="C622" t="s">
        <v>233</v>
      </c>
    </row>
    <row r="623" spans="1:3" x14ac:dyDescent="0.25">
      <c r="A623" s="15" t="s">
        <v>8363</v>
      </c>
      <c r="B623" t="s">
        <v>8364</v>
      </c>
      <c r="C623" t="s">
        <v>233</v>
      </c>
    </row>
    <row r="624" spans="1:3" x14ac:dyDescent="0.25">
      <c r="A624" s="15" t="s">
        <v>8365</v>
      </c>
      <c r="B624" t="s">
        <v>8366</v>
      </c>
      <c r="C624" t="s">
        <v>233</v>
      </c>
    </row>
    <row r="625" spans="1:3" x14ac:dyDescent="0.25">
      <c r="A625" s="15" t="s">
        <v>8367</v>
      </c>
      <c r="B625" t="s">
        <v>8368</v>
      </c>
      <c r="C625" t="s">
        <v>233</v>
      </c>
    </row>
    <row r="626" spans="1:3" x14ac:dyDescent="0.25">
      <c r="A626" s="15" t="s">
        <v>65</v>
      </c>
      <c r="B626" t="s">
        <v>8371</v>
      </c>
      <c r="C626" t="s">
        <v>232</v>
      </c>
    </row>
    <row r="627" spans="1:3" x14ac:dyDescent="0.25">
      <c r="A627" s="15" t="s">
        <v>8372</v>
      </c>
      <c r="B627" t="s">
        <v>8373</v>
      </c>
      <c r="C627" t="s">
        <v>232</v>
      </c>
    </row>
    <row r="628" spans="1:3" x14ac:dyDescent="0.25">
      <c r="A628" s="15" t="s">
        <v>8369</v>
      </c>
      <c r="B628" t="s">
        <v>8370</v>
      </c>
      <c r="C628" t="s">
        <v>233</v>
      </c>
    </row>
    <row r="629" spans="1:3" x14ac:dyDescent="0.25">
      <c r="A629" s="15" t="s">
        <v>52</v>
      </c>
      <c r="B629" t="s">
        <v>8505</v>
      </c>
      <c r="C629" t="s">
        <v>232</v>
      </c>
    </row>
    <row r="630" spans="1:3" x14ac:dyDescent="0.25">
      <c r="A630" s="15" t="s">
        <v>8382</v>
      </c>
      <c r="B630" t="s">
        <v>8383</v>
      </c>
      <c r="C630" t="s">
        <v>8506</v>
      </c>
    </row>
    <row r="631" spans="1:3" x14ac:dyDescent="0.25">
      <c r="A631" s="15" t="s">
        <v>8552</v>
      </c>
      <c r="B631" t="s">
        <v>8559</v>
      </c>
      <c r="C631" t="s">
        <v>233</v>
      </c>
    </row>
    <row r="632" spans="1:3" x14ac:dyDescent="0.25">
      <c r="A632" s="15" t="s">
        <v>8562</v>
      </c>
      <c r="B632" t="s">
        <v>8560</v>
      </c>
      <c r="C632" t="s">
        <v>233</v>
      </c>
    </row>
    <row r="633" spans="1:3" x14ac:dyDescent="0.25">
      <c r="A633" s="15" t="s">
        <v>8384</v>
      </c>
      <c r="B633" t="s">
        <v>8383</v>
      </c>
      <c r="C633" t="s">
        <v>8506</v>
      </c>
    </row>
    <row r="634" spans="1:3" x14ac:dyDescent="0.25">
      <c r="A634" s="15" t="s">
        <v>66</v>
      </c>
      <c r="B634" t="s">
        <v>8507</v>
      </c>
      <c r="C634" t="s">
        <v>232</v>
      </c>
    </row>
    <row r="635" spans="1:3" x14ac:dyDescent="0.25">
      <c r="A635" s="15" t="s">
        <v>8459</v>
      </c>
      <c r="B635" t="s">
        <v>8460</v>
      </c>
      <c r="C635" t="s">
        <v>8508</v>
      </c>
    </row>
    <row r="636" spans="1:3" x14ac:dyDescent="0.25">
      <c r="A636" s="15" t="s">
        <v>8461</v>
      </c>
      <c r="B636" t="s">
        <v>8462</v>
      </c>
      <c r="C636" t="s">
        <v>8508</v>
      </c>
    </row>
    <row r="637" spans="1:3" x14ac:dyDescent="0.25">
      <c r="A637" s="15" t="s">
        <v>8401</v>
      </c>
      <c r="B637" t="s">
        <v>8402</v>
      </c>
      <c r="C637" t="s">
        <v>233</v>
      </c>
    </row>
    <row r="638" spans="1:3" x14ac:dyDescent="0.25">
      <c r="A638" s="15" t="s">
        <v>8574</v>
      </c>
      <c r="B638" t="s">
        <v>8402</v>
      </c>
      <c r="C638" t="s">
        <v>233</v>
      </c>
    </row>
    <row r="639" spans="1:3" x14ac:dyDescent="0.25">
      <c r="A639" s="15" t="s">
        <v>8575</v>
      </c>
      <c r="B639" t="s">
        <v>8402</v>
      </c>
      <c r="C639" t="s">
        <v>233</v>
      </c>
    </row>
    <row r="640" spans="1:3" x14ac:dyDescent="0.25">
      <c r="A640" s="15" t="s">
        <v>8403</v>
      </c>
      <c r="B640" t="s">
        <v>8592</v>
      </c>
      <c r="C640" t="s">
        <v>233</v>
      </c>
    </row>
    <row r="641" spans="1:3" x14ac:dyDescent="0.25">
      <c r="A641" s="15" t="s">
        <v>8576</v>
      </c>
      <c r="B641" t="s">
        <v>8592</v>
      </c>
      <c r="C641" t="s">
        <v>233</v>
      </c>
    </row>
    <row r="642" spans="1:3" x14ac:dyDescent="0.25">
      <c r="A642" s="15" t="s">
        <v>8577</v>
      </c>
      <c r="B642" t="s">
        <v>8592</v>
      </c>
      <c r="C642" t="s">
        <v>233</v>
      </c>
    </row>
    <row r="643" spans="1:3" x14ac:dyDescent="0.25">
      <c r="A643" s="15" t="s">
        <v>8578</v>
      </c>
      <c r="B643" t="s">
        <v>8593</v>
      </c>
      <c r="C643" t="s">
        <v>233</v>
      </c>
    </row>
    <row r="644" spans="1:3" x14ac:dyDescent="0.25">
      <c r="A644" s="15" t="s">
        <v>8579</v>
      </c>
      <c r="B644" t="s">
        <v>8593</v>
      </c>
      <c r="C644" t="s">
        <v>233</v>
      </c>
    </row>
    <row r="645" spans="1:3" x14ac:dyDescent="0.25">
      <c r="A645" s="15" t="s">
        <v>8580</v>
      </c>
      <c r="B645" t="s">
        <v>8593</v>
      </c>
      <c r="C645" t="s">
        <v>233</v>
      </c>
    </row>
    <row r="646" spans="1:3" x14ac:dyDescent="0.25">
      <c r="A646" s="15" t="s">
        <v>8585</v>
      </c>
      <c r="B646" t="s">
        <v>8568</v>
      </c>
      <c r="C646" t="s">
        <v>233</v>
      </c>
    </row>
    <row r="647" spans="1:3" x14ac:dyDescent="0.25">
      <c r="A647" s="15" t="s">
        <v>8567</v>
      </c>
      <c r="B647" t="s">
        <v>8568</v>
      </c>
      <c r="C647" t="s">
        <v>233</v>
      </c>
    </row>
    <row r="648" spans="1:3" x14ac:dyDescent="0.25">
      <c r="A648" s="15" t="s">
        <v>50</v>
      </c>
      <c r="B648" t="s">
        <v>8307</v>
      </c>
      <c r="C648" t="s">
        <v>8509</v>
      </c>
    </row>
    <row r="649" spans="1:3" x14ac:dyDescent="0.25">
      <c r="A649" s="15" t="s">
        <v>58</v>
      </c>
      <c r="B649" t="s">
        <v>8510</v>
      </c>
      <c r="C649" t="s">
        <v>8511</v>
      </c>
    </row>
    <row r="650" spans="1:3" x14ac:dyDescent="0.25">
      <c r="A650" s="15" t="s">
        <v>8314</v>
      </c>
      <c r="B650" t="s">
        <v>8315</v>
      </c>
      <c r="C650" t="s">
        <v>233</v>
      </c>
    </row>
    <row r="651" spans="1:3" x14ac:dyDescent="0.25">
      <c r="A651" s="15" t="s">
        <v>8316</v>
      </c>
      <c r="B651" t="s">
        <v>8317</v>
      </c>
      <c r="C651" t="s">
        <v>233</v>
      </c>
    </row>
    <row r="652" spans="1:3" x14ac:dyDescent="0.25">
      <c r="A652" s="15" t="s">
        <v>8318</v>
      </c>
      <c r="B652" t="s">
        <v>8319</v>
      </c>
      <c r="C652" t="s">
        <v>233</v>
      </c>
    </row>
    <row r="653" spans="1:3" x14ac:dyDescent="0.25">
      <c r="A653" s="15" t="s">
        <v>8320</v>
      </c>
      <c r="B653" t="s">
        <v>8321</v>
      </c>
      <c r="C653" t="s">
        <v>233</v>
      </c>
    </row>
    <row r="654" spans="1:3" x14ac:dyDescent="0.25">
      <c r="A654" s="15" t="s">
        <v>53</v>
      </c>
      <c r="B654" t="s">
        <v>8512</v>
      </c>
      <c r="C654" t="s">
        <v>232</v>
      </c>
    </row>
    <row r="655" spans="1:3" x14ac:dyDescent="0.25">
      <c r="A655" s="15" t="s">
        <v>42</v>
      </c>
      <c r="B655" t="s">
        <v>8292</v>
      </c>
      <c r="C655" t="s">
        <v>232</v>
      </c>
    </row>
    <row r="656" spans="1:3" x14ac:dyDescent="0.25">
      <c r="A656" s="15" t="s">
        <v>8293</v>
      </c>
      <c r="B656" t="s">
        <v>8513</v>
      </c>
      <c r="C656" t="s">
        <v>232</v>
      </c>
    </row>
    <row r="657" spans="1:3" x14ac:dyDescent="0.25">
      <c r="A657" s="15" t="s">
        <v>8332</v>
      </c>
      <c r="B657" t="s">
        <v>8514</v>
      </c>
      <c r="C657" t="s">
        <v>233</v>
      </c>
    </row>
    <row r="658" spans="1:3" x14ac:dyDescent="0.25">
      <c r="A658" s="15" t="s">
        <v>8341</v>
      </c>
      <c r="B658" t="s">
        <v>8515</v>
      </c>
      <c r="C658" t="s">
        <v>233</v>
      </c>
    </row>
    <row r="659" spans="1:3" x14ac:dyDescent="0.25">
      <c r="A659" s="15" t="s">
        <v>8466</v>
      </c>
      <c r="B659" t="s">
        <v>8516</v>
      </c>
      <c r="C659" t="s">
        <v>8517</v>
      </c>
    </row>
    <row r="660" spans="1:3" x14ac:dyDescent="0.25">
      <c r="A660" s="15" t="s">
        <v>8450</v>
      </c>
      <c r="B660" t="s">
        <v>8451</v>
      </c>
      <c r="C660" t="s">
        <v>233</v>
      </c>
    </row>
    <row r="661" spans="1:3" x14ac:dyDescent="0.25">
      <c r="A661" s="15" t="s">
        <v>8418</v>
      </c>
      <c r="B661" t="s">
        <v>8419</v>
      </c>
      <c r="C661" t="s">
        <v>233</v>
      </c>
    </row>
    <row r="662" spans="1:3" x14ac:dyDescent="0.25">
      <c r="A662" s="15" t="s">
        <v>8415</v>
      </c>
      <c r="B662" t="s">
        <v>8416</v>
      </c>
      <c r="C662" t="s">
        <v>233</v>
      </c>
    </row>
    <row r="663" spans="1:3" x14ac:dyDescent="0.25">
      <c r="A663" s="15" t="s">
        <v>60</v>
      </c>
      <c r="B663" t="s">
        <v>8518</v>
      </c>
      <c r="C663" t="s">
        <v>232</v>
      </c>
    </row>
    <row r="664" spans="1:3" x14ac:dyDescent="0.25">
      <c r="A664" s="15" t="s">
        <v>61</v>
      </c>
      <c r="B664" t="s">
        <v>8519</v>
      </c>
      <c r="C664" t="s">
        <v>232</v>
      </c>
    </row>
    <row r="665" spans="1:3" x14ac:dyDescent="0.25">
      <c r="A665" s="15" t="s">
        <v>51</v>
      </c>
      <c r="B665" t="s">
        <v>8309</v>
      </c>
      <c r="C665" t="s">
        <v>232</v>
      </c>
    </row>
    <row r="666" spans="1:3" x14ac:dyDescent="0.25">
      <c r="A666" s="15" t="s">
        <v>54</v>
      </c>
      <c r="B666" t="s">
        <v>8310</v>
      </c>
      <c r="C666" t="s">
        <v>232</v>
      </c>
    </row>
    <row r="667" spans="1:3" x14ac:dyDescent="0.25">
      <c r="A667" s="15" t="s">
        <v>55</v>
      </c>
      <c r="B667" t="s">
        <v>8520</v>
      </c>
      <c r="C667" t="s">
        <v>232</v>
      </c>
    </row>
    <row r="668" spans="1:3" x14ac:dyDescent="0.25">
      <c r="A668" s="15" t="s">
        <v>8481</v>
      </c>
      <c r="B668" t="s">
        <v>8521</v>
      </c>
      <c r="C668" t="s">
        <v>8522</v>
      </c>
    </row>
    <row r="669" spans="1:3" x14ac:dyDescent="0.25">
      <c r="A669" s="15" t="s">
        <v>8426</v>
      </c>
      <c r="B669" t="s">
        <v>8427</v>
      </c>
      <c r="C669" t="s">
        <v>233</v>
      </c>
    </row>
    <row r="670" spans="1:3" x14ac:dyDescent="0.25">
      <c r="A670" s="15" t="s">
        <v>8573</v>
      </c>
      <c r="B670" t="s">
        <v>8586</v>
      </c>
      <c r="C670" t="s">
        <v>233</v>
      </c>
    </row>
    <row r="671" spans="1:3" x14ac:dyDescent="0.25">
      <c r="A671" s="15" t="s">
        <v>8453</v>
      </c>
      <c r="B671" t="s">
        <v>8523</v>
      </c>
      <c r="C671" t="s">
        <v>233</v>
      </c>
    </row>
    <row r="672" spans="1:3" x14ac:dyDescent="0.25">
      <c r="A672" s="15" t="s">
        <v>8487</v>
      </c>
      <c r="B672" t="s">
        <v>8488</v>
      </c>
      <c r="C672" t="s">
        <v>233</v>
      </c>
    </row>
    <row r="673" spans="1:3" x14ac:dyDescent="0.25">
      <c r="A673" s="15" t="s">
        <v>8438</v>
      </c>
      <c r="B673" t="s">
        <v>8524</v>
      </c>
      <c r="C673" t="s">
        <v>233</v>
      </c>
    </row>
    <row r="674" spans="1:3" x14ac:dyDescent="0.25">
      <c r="A674" s="15" t="s">
        <v>47</v>
      </c>
      <c r="B674" t="s">
        <v>8303</v>
      </c>
      <c r="C674" t="s">
        <v>232</v>
      </c>
    </row>
    <row r="675" spans="1:3" x14ac:dyDescent="0.25">
      <c r="A675" s="15" t="s">
        <v>8484</v>
      </c>
      <c r="B675" t="s">
        <v>8485</v>
      </c>
      <c r="C675" t="s">
        <v>233</v>
      </c>
    </row>
    <row r="676" spans="1:3" x14ac:dyDescent="0.25">
      <c r="A676" s="15" t="s">
        <v>68</v>
      </c>
      <c r="B676" t="s">
        <v>8525</v>
      </c>
      <c r="C676" t="s">
        <v>232</v>
      </c>
    </row>
    <row r="677" spans="1:3" x14ac:dyDescent="0.25">
      <c r="A677" s="15" t="s">
        <v>8377</v>
      </c>
      <c r="B677" t="s">
        <v>8526</v>
      </c>
      <c r="C677" t="s">
        <v>8527</v>
      </c>
    </row>
    <row r="678" spans="1:3" x14ac:dyDescent="0.25">
      <c r="A678" s="15" t="s">
        <v>8405</v>
      </c>
      <c r="B678" t="s">
        <v>8528</v>
      </c>
      <c r="C678" t="s">
        <v>233</v>
      </c>
    </row>
    <row r="679" spans="1:3" x14ac:dyDescent="0.25">
      <c r="A679" s="15" t="s">
        <v>8407</v>
      </c>
      <c r="B679" t="s">
        <v>8529</v>
      </c>
      <c r="C679" t="s">
        <v>233</v>
      </c>
    </row>
    <row r="680" spans="1:3" x14ac:dyDescent="0.25">
      <c r="A680" s="15" t="s">
        <v>8583</v>
      </c>
      <c r="B680" t="s">
        <v>8584</v>
      </c>
      <c r="C680" t="s">
        <v>233</v>
      </c>
    </row>
    <row r="681" spans="1:3" x14ac:dyDescent="0.25">
      <c r="A681" s="15" t="s">
        <v>8472</v>
      </c>
      <c r="B681" t="s">
        <v>8530</v>
      </c>
      <c r="C681" t="s">
        <v>8531</v>
      </c>
    </row>
    <row r="682" spans="1:3" x14ac:dyDescent="0.25">
      <c r="A682" s="15" t="s">
        <v>8463</v>
      </c>
      <c r="B682" t="s">
        <v>8464</v>
      </c>
      <c r="C682" t="s">
        <v>8508</v>
      </c>
    </row>
    <row r="683" spans="1:3" x14ac:dyDescent="0.25">
      <c r="A683" s="15" t="s">
        <v>59</v>
      </c>
      <c r="B683" t="s">
        <v>8299</v>
      </c>
      <c r="C683" t="s">
        <v>232</v>
      </c>
    </row>
    <row r="684" spans="1:3" x14ac:dyDescent="0.25">
      <c r="A684" s="15" t="s">
        <v>8387</v>
      </c>
      <c r="B684" t="s">
        <v>8532</v>
      </c>
      <c r="C684" t="s">
        <v>233</v>
      </c>
    </row>
    <row r="685" spans="1:3" x14ac:dyDescent="0.25">
      <c r="A685" s="15" t="s">
        <v>8389</v>
      </c>
      <c r="B685" t="s">
        <v>8533</v>
      </c>
      <c r="C685" t="s">
        <v>233</v>
      </c>
    </row>
    <row r="686" spans="1:3" x14ac:dyDescent="0.25">
      <c r="A686" s="15" t="s">
        <v>8469</v>
      </c>
      <c r="B686" t="s">
        <v>8534</v>
      </c>
      <c r="C686" t="s">
        <v>8535</v>
      </c>
    </row>
    <row r="687" spans="1:3" x14ac:dyDescent="0.25">
      <c r="A687" s="15" t="s">
        <v>8421</v>
      </c>
      <c r="B687" t="s">
        <v>8536</v>
      </c>
      <c r="C687" t="s">
        <v>233</v>
      </c>
    </row>
    <row r="688" spans="1:3" x14ac:dyDescent="0.25">
      <c r="A688" s="15" t="s">
        <v>8423</v>
      </c>
      <c r="B688" t="s">
        <v>8537</v>
      </c>
      <c r="C688" t="s">
        <v>233</v>
      </c>
    </row>
    <row r="689" spans="1:3" x14ac:dyDescent="0.25">
      <c r="A689" s="15" t="s">
        <v>8329</v>
      </c>
      <c r="B689" t="s">
        <v>8538</v>
      </c>
      <c r="C689" t="s">
        <v>233</v>
      </c>
    </row>
    <row r="690" spans="1:3" x14ac:dyDescent="0.25">
      <c r="A690" s="15" t="s">
        <v>8435</v>
      </c>
      <c r="B690" t="s">
        <v>8436</v>
      </c>
      <c r="C690" t="s">
        <v>233</v>
      </c>
    </row>
    <row r="691" spans="1:3" x14ac:dyDescent="0.25">
      <c r="A691" s="15" t="s">
        <v>8396</v>
      </c>
      <c r="B691" t="s">
        <v>8540</v>
      </c>
      <c r="C691" t="s">
        <v>233</v>
      </c>
    </row>
    <row r="692" spans="1:3" x14ac:dyDescent="0.25">
      <c r="A692" s="15" t="s">
        <v>8555</v>
      </c>
      <c r="B692" t="s">
        <v>8540</v>
      </c>
      <c r="C692" t="s">
        <v>233</v>
      </c>
    </row>
    <row r="693" spans="1:3" x14ac:dyDescent="0.25">
      <c r="A693" s="15" t="s">
        <v>8556</v>
      </c>
      <c r="B693" t="s">
        <v>8540</v>
      </c>
      <c r="C693" t="s">
        <v>233</v>
      </c>
    </row>
    <row r="694" spans="1:3" x14ac:dyDescent="0.25">
      <c r="A694" s="15" t="s">
        <v>8398</v>
      </c>
      <c r="B694" t="s">
        <v>8539</v>
      </c>
      <c r="C694" t="s">
        <v>233</v>
      </c>
    </row>
    <row r="695" spans="1:3" x14ac:dyDescent="0.25">
      <c r="A695" s="15" t="s">
        <v>8557</v>
      </c>
      <c r="B695" t="s">
        <v>8539</v>
      </c>
      <c r="C695" t="s">
        <v>233</v>
      </c>
    </row>
    <row r="696" spans="1:3" x14ac:dyDescent="0.25">
      <c r="A696" s="15" t="s">
        <v>8558</v>
      </c>
      <c r="B696" t="s">
        <v>8539</v>
      </c>
      <c r="C696" t="s">
        <v>233</v>
      </c>
    </row>
    <row r="697" spans="1:3" x14ac:dyDescent="0.25">
      <c r="A697" s="15" t="s">
        <v>8326</v>
      </c>
      <c r="B697" t="s">
        <v>8327</v>
      </c>
      <c r="C697" t="s">
        <v>233</v>
      </c>
    </row>
    <row r="698" spans="1:3" x14ac:dyDescent="0.25">
      <c r="A698" s="15" t="s">
        <v>8410</v>
      </c>
      <c r="B698" t="s">
        <v>8411</v>
      </c>
      <c r="C698" t="s">
        <v>233</v>
      </c>
    </row>
    <row r="699" spans="1:3" x14ac:dyDescent="0.25">
      <c r="A699" s="15" t="s">
        <v>8412</v>
      </c>
      <c r="B699" t="s">
        <v>8541</v>
      </c>
      <c r="C699" t="s">
        <v>233</v>
      </c>
    </row>
    <row r="700" spans="1:3" x14ac:dyDescent="0.25">
      <c r="A700" s="15" t="s">
        <v>8338</v>
      </c>
      <c r="B700" t="s">
        <v>8339</v>
      </c>
      <c r="C700" t="s">
        <v>233</v>
      </c>
    </row>
    <row r="701" spans="1:3" x14ac:dyDescent="0.25">
      <c r="A701" s="15" t="s">
        <v>8447</v>
      </c>
      <c r="B701" t="s">
        <v>8542</v>
      </c>
      <c r="C701" t="s">
        <v>233</v>
      </c>
    </row>
    <row r="702" spans="1:3" x14ac:dyDescent="0.25">
      <c r="A702" s="15" t="s">
        <v>8344</v>
      </c>
      <c r="B702" t="s">
        <v>8543</v>
      </c>
      <c r="C702" t="s">
        <v>8544</v>
      </c>
    </row>
    <row r="703" spans="1:3" x14ac:dyDescent="0.25">
      <c r="A703" s="15" t="s">
        <v>8335</v>
      </c>
      <c r="B703" t="s">
        <v>8545</v>
      </c>
      <c r="C703" t="s">
        <v>233</v>
      </c>
    </row>
  </sheetData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Settings</vt:lpstr>
      <vt:lpstr>Database</vt:lpstr>
      <vt:lpstr>Interior Index</vt:lpstr>
      <vt:lpstr>Exterior Index</vt:lpstr>
      <vt:lpstr>UNIFORMAT</vt:lpstr>
      <vt:lpstr>MASTERFORMAT</vt:lpstr>
      <vt:lpstr>Keynote Export</vt:lpstr>
      <vt:lpstr>Database!Print_Area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Angela Chi</dc:creator>
  <cp:lastModifiedBy>Zhang, Sen</cp:lastModifiedBy>
  <cp:lastPrinted>2024-01-29T21:36:42Z</cp:lastPrinted>
  <dcterms:created xsi:type="dcterms:W3CDTF">2021-07-22T19:59:37Z</dcterms:created>
  <dcterms:modified xsi:type="dcterms:W3CDTF">2025-03-11T18:12:09Z</dcterms:modified>
</cp:coreProperties>
</file>